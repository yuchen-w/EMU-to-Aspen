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ocuments\GitHub\EMU-to-Aspen\"/>
    </mc:Choice>
  </mc:AlternateContent>
  <bookViews>
    <workbookView xWindow="0" yWindow="0" windowWidth="23040" windowHeight="9084"/>
  </bookViews>
  <sheets>
    <sheet name="qry_UgCable" sheetId="1" r:id="rId1"/>
    <sheet name="Sheet1" sheetId="2" r:id="rId2"/>
    <sheet name="test" sheetId="3" r:id="rId3"/>
    <sheet name="data" sheetId="4" r:id="rId4"/>
  </sheets>
  <functionGroups builtInGroupCount="18"/>
  <definedNames>
    <definedName name="_xlnm._FilterDatabase" localSheetId="0" hidden="1">qry_UgCable!$A$1:$AT$626</definedName>
    <definedName name="qry_UgCable">qry_UgCable!$A$1:$AL$626</definedName>
  </definedNames>
  <calcPr calcId="171027"/>
</workbook>
</file>

<file path=xl/calcChain.xml><?xml version="1.0" encoding="utf-8"?>
<calcChain xmlns="http://schemas.openxmlformats.org/spreadsheetml/2006/main">
  <c r="AO60" i="1" l="1"/>
  <c r="AO63" i="1"/>
  <c r="AO64" i="1"/>
  <c r="AO66" i="1"/>
  <c r="AO67" i="1"/>
  <c r="AO68" i="1"/>
  <c r="AO69" i="1"/>
  <c r="AO70" i="1"/>
  <c r="AO71" i="1"/>
  <c r="AO72" i="1"/>
  <c r="AO73" i="1"/>
  <c r="AO76" i="1"/>
  <c r="AO77" i="1"/>
  <c r="AO78" i="1"/>
  <c r="AO79" i="1"/>
  <c r="AO80" i="1"/>
  <c r="AO81" i="1"/>
  <c r="AO83" i="1"/>
  <c r="AO86" i="1"/>
  <c r="AO87" i="1"/>
  <c r="AO88" i="1"/>
  <c r="AO89" i="1"/>
  <c r="AO90" i="1"/>
  <c r="AO91" i="1"/>
  <c r="AO93" i="1"/>
  <c r="AO94" i="1"/>
  <c r="AO96" i="1"/>
  <c r="AO97" i="1"/>
  <c r="AO98" i="1"/>
  <c r="AO102" i="1"/>
  <c r="AO103" i="1"/>
  <c r="AO104" i="1"/>
  <c r="AO107" i="1"/>
  <c r="AO109" i="1"/>
  <c r="AO110" i="1"/>
  <c r="AO111" i="1"/>
  <c r="AO112" i="1"/>
  <c r="AO114" i="1"/>
  <c r="AO115" i="1"/>
  <c r="AO116" i="1"/>
  <c r="AO117" i="1"/>
  <c r="AO118" i="1"/>
  <c r="AO120" i="1"/>
  <c r="AO121" i="1"/>
  <c r="AO122" i="1"/>
  <c r="AO124" i="1"/>
  <c r="AO125" i="1"/>
  <c r="AO127" i="1"/>
  <c r="AO129" i="1"/>
  <c r="AO130" i="1"/>
  <c r="AO132" i="1"/>
  <c r="AO133" i="1"/>
  <c r="AO135" i="1"/>
  <c r="AO138" i="1"/>
  <c r="AO139" i="1"/>
  <c r="AO140" i="1"/>
  <c r="AO141" i="1"/>
  <c r="AO143" i="1"/>
  <c r="AO145" i="1"/>
  <c r="AO146" i="1"/>
  <c r="AO147" i="1"/>
  <c r="AO148" i="1"/>
  <c r="AO149" i="1"/>
  <c r="AO151" i="1"/>
  <c r="AO154" i="1"/>
  <c r="AO155" i="1"/>
  <c r="AO156" i="1"/>
  <c r="AO158" i="1"/>
  <c r="AO160" i="1"/>
  <c r="AO161" i="1"/>
  <c r="AO162" i="1"/>
  <c r="AO164" i="1"/>
  <c r="AO165" i="1"/>
  <c r="AO167" i="1"/>
  <c r="AO168" i="1"/>
  <c r="AO169" i="1"/>
  <c r="AO170" i="1"/>
  <c r="AO173" i="1"/>
  <c r="AO175" i="1"/>
  <c r="AO176" i="1"/>
  <c r="AO177" i="1"/>
  <c r="AO178" i="1"/>
  <c r="AO179" i="1"/>
  <c r="AO184" i="1"/>
  <c r="AO185" i="1"/>
  <c r="AO186" i="1"/>
  <c r="AO187" i="1"/>
  <c r="AO189" i="1"/>
  <c r="AO190" i="1"/>
  <c r="AO191" i="1"/>
  <c r="AO192" i="1"/>
  <c r="AO194" i="1"/>
  <c r="AO195" i="1"/>
  <c r="AO196" i="1"/>
  <c r="AO198" i="1"/>
  <c r="AO199" i="1"/>
  <c r="AO200" i="1"/>
  <c r="AO202" i="1"/>
  <c r="AO203" i="1"/>
  <c r="AO204" i="1"/>
  <c r="AO205" i="1"/>
  <c r="AO207" i="1"/>
  <c r="AO208" i="1"/>
  <c r="AO209" i="1"/>
  <c r="AO211" i="1"/>
  <c r="AO212" i="1"/>
  <c r="AO213" i="1"/>
  <c r="AO214" i="1"/>
  <c r="AO216" i="1"/>
  <c r="AO221" i="1"/>
  <c r="AO222" i="1"/>
  <c r="AO224" i="1"/>
  <c r="AO225" i="1"/>
  <c r="AO226" i="1"/>
  <c r="AO227" i="1"/>
  <c r="AO231" i="1"/>
  <c r="AO232" i="1"/>
  <c r="AO233" i="1"/>
  <c r="AO234" i="1"/>
  <c r="AO238" i="1"/>
  <c r="AO239" i="1"/>
  <c r="AO240" i="1"/>
  <c r="AO242" i="1"/>
  <c r="AO244" i="1"/>
  <c r="AO245" i="1"/>
  <c r="AO246" i="1"/>
  <c r="AO247" i="1"/>
  <c r="AO249" i="1"/>
  <c r="AO251" i="1"/>
  <c r="AO252" i="1"/>
  <c r="AO254" i="1"/>
  <c r="AO256" i="1"/>
  <c r="AO261" i="1"/>
  <c r="AO262" i="1"/>
  <c r="AO263" i="1"/>
  <c r="AO264" i="1"/>
  <c r="AO266" i="1"/>
  <c r="AO268" i="1"/>
  <c r="AO269" i="1"/>
  <c r="AO270" i="1"/>
  <c r="AO271" i="1"/>
  <c r="AO272" i="1"/>
  <c r="AO273" i="1"/>
  <c r="AO274" i="1"/>
  <c r="AO276" i="1"/>
  <c r="AO277" i="1"/>
  <c r="AO278" i="1"/>
  <c r="AO279" i="1"/>
  <c r="AO280" i="1"/>
  <c r="AO281" i="1"/>
  <c r="AO283" i="1"/>
  <c r="AO284" i="1"/>
  <c r="AO285" i="1"/>
  <c r="AO286" i="1"/>
  <c r="AO287" i="1"/>
  <c r="AO288" i="1"/>
  <c r="AO289" i="1"/>
  <c r="AO291" i="1"/>
  <c r="AO292" i="1"/>
  <c r="AO294" i="1"/>
  <c r="AO295" i="1"/>
  <c r="AO296" i="1"/>
  <c r="AO297" i="1"/>
  <c r="AO298" i="1"/>
  <c r="AO300" i="1"/>
  <c r="AO301" i="1"/>
  <c r="AO302" i="1"/>
  <c r="AO303" i="1"/>
  <c r="AO304" i="1"/>
  <c r="AO305" i="1"/>
  <c r="AO306" i="1"/>
  <c r="AO307" i="1"/>
  <c r="AO311" i="1"/>
  <c r="AO312" i="1"/>
  <c r="AO316" i="1"/>
  <c r="AO318" i="1"/>
  <c r="AO320" i="1"/>
  <c r="AO322" i="1"/>
  <c r="AO323" i="1"/>
  <c r="AO324" i="1"/>
  <c r="AO325" i="1"/>
  <c r="AO326" i="1"/>
  <c r="AO327" i="1"/>
  <c r="AO328" i="1"/>
  <c r="AO330" i="1"/>
  <c r="AO333" i="1"/>
  <c r="AO334" i="1"/>
  <c r="AO335" i="1"/>
  <c r="AO338" i="1"/>
  <c r="AO339" i="1"/>
  <c r="AO340" i="1"/>
  <c r="AO341" i="1"/>
  <c r="AO343" i="1"/>
  <c r="AO345" i="1"/>
  <c r="AO346" i="1"/>
  <c r="AO349" i="1"/>
  <c r="AO350" i="1"/>
  <c r="AO351" i="1"/>
  <c r="AO352" i="1"/>
  <c r="AO354" i="1"/>
  <c r="AO355" i="1"/>
  <c r="AO356" i="1"/>
  <c r="AO357" i="1"/>
  <c r="AO358" i="1"/>
  <c r="AO362" i="1"/>
  <c r="AO363" i="1"/>
  <c r="AO365" i="1"/>
  <c r="AO370" i="1"/>
  <c r="AO371" i="1"/>
  <c r="AO374" i="1"/>
  <c r="AO380" i="1"/>
  <c r="AO381" i="1"/>
  <c r="AO383" i="1"/>
  <c r="AO385" i="1"/>
  <c r="AO386" i="1"/>
  <c r="AO387" i="1"/>
  <c r="AO388" i="1"/>
  <c r="AO389" i="1"/>
  <c r="AO390" i="1"/>
  <c r="AO391" i="1"/>
  <c r="AO393" i="1"/>
  <c r="AO394" i="1"/>
  <c r="AO397" i="1"/>
  <c r="AO398" i="1"/>
  <c r="AO400" i="1"/>
  <c r="AO402" i="1"/>
  <c r="AO403" i="1"/>
  <c r="AO404" i="1"/>
  <c r="AO408" i="1"/>
  <c r="AO413" i="1"/>
  <c r="AO415" i="1"/>
  <c r="AO416" i="1"/>
  <c r="AO421" i="1"/>
  <c r="AO422" i="1"/>
  <c r="AO423" i="1"/>
  <c r="AO425" i="1"/>
  <c r="AO427" i="1"/>
  <c r="AO428" i="1"/>
  <c r="AO431" i="1"/>
  <c r="AO433" i="1"/>
  <c r="AO434" i="1"/>
  <c r="AO435" i="1"/>
  <c r="AO436" i="1"/>
  <c r="AO437" i="1"/>
  <c r="AO438" i="1"/>
  <c r="AO439" i="1"/>
  <c r="AO440" i="1"/>
  <c r="AO443" i="1"/>
  <c r="AO444" i="1"/>
  <c r="AO445" i="1"/>
  <c r="AO447" i="1"/>
  <c r="AO448" i="1"/>
  <c r="AO449" i="1"/>
  <c r="AO452" i="1"/>
  <c r="AO453" i="1"/>
  <c r="AO454" i="1"/>
  <c r="AO455" i="1"/>
  <c r="AO456" i="1"/>
  <c r="AO457" i="1"/>
  <c r="AO458" i="1"/>
  <c r="AO459" i="1"/>
  <c r="AO460" i="1"/>
  <c r="AO461" i="1"/>
  <c r="AO463" i="1"/>
  <c r="AO464" i="1"/>
  <c r="AO466" i="1"/>
  <c r="AO467" i="1"/>
  <c r="AO468" i="1"/>
  <c r="AO469" i="1"/>
  <c r="AO470" i="1"/>
  <c r="AO471" i="1"/>
  <c r="AO472" i="1"/>
  <c r="AO473" i="1"/>
  <c r="AO474" i="1"/>
  <c r="AO475" i="1"/>
  <c r="AO476" i="1"/>
  <c r="AO477" i="1"/>
  <c r="AO478" i="1"/>
  <c r="AO480" i="1"/>
  <c r="AO481" i="1"/>
  <c r="AO485" i="1"/>
  <c r="AO486" i="1"/>
  <c r="AO488" i="1"/>
  <c r="AO490" i="1"/>
  <c r="AO491" i="1"/>
  <c r="AO492" i="1"/>
  <c r="AO494" i="1"/>
  <c r="AO496" i="1"/>
  <c r="AO497" i="1"/>
  <c r="AO498" i="1"/>
  <c r="AO501" i="1"/>
  <c r="AO502" i="1"/>
  <c r="AO503" i="1"/>
  <c r="AO504" i="1"/>
  <c r="AO505" i="1"/>
  <c r="AO507" i="1"/>
  <c r="AO510" i="1"/>
  <c r="AO513" i="1"/>
  <c r="AO516" i="1"/>
  <c r="AO518" i="1"/>
  <c r="AO519" i="1"/>
  <c r="AO520" i="1"/>
  <c r="AO521" i="1"/>
  <c r="AO523" i="1"/>
  <c r="AO524" i="1"/>
  <c r="AO525" i="1"/>
  <c r="AO526" i="1"/>
  <c r="AO529" i="1"/>
  <c r="AO531" i="1"/>
  <c r="AO532" i="1"/>
  <c r="AO534" i="1"/>
  <c r="AO537" i="1"/>
  <c r="AO538" i="1"/>
  <c r="AO539" i="1"/>
  <c r="AO541" i="1"/>
  <c r="AO542" i="1"/>
  <c r="AO543" i="1"/>
  <c r="AO544" i="1"/>
  <c r="AO545" i="1"/>
  <c r="AO546" i="1"/>
  <c r="AO547" i="1"/>
  <c r="AO548" i="1"/>
  <c r="AO549" i="1"/>
  <c r="AO551" i="1"/>
  <c r="AO552" i="1"/>
  <c r="AO554" i="1"/>
  <c r="AO556" i="1"/>
  <c r="AO558" i="1"/>
  <c r="AO559" i="1"/>
  <c r="AO560" i="1"/>
  <c r="AO561" i="1"/>
  <c r="AO562" i="1"/>
  <c r="AO565" i="1"/>
  <c r="AO566" i="1"/>
  <c r="AO568" i="1"/>
  <c r="AO570" i="1"/>
  <c r="AO572" i="1"/>
  <c r="AO576" i="1"/>
  <c r="AO578" i="1"/>
  <c r="AO579" i="1"/>
  <c r="AO581" i="1"/>
  <c r="AO582" i="1"/>
  <c r="AO583" i="1"/>
  <c r="AO584" i="1"/>
  <c r="AO586" i="1"/>
  <c r="AO588" i="1"/>
  <c r="AO589" i="1"/>
  <c r="AO590" i="1"/>
  <c r="AO591" i="1"/>
  <c r="AO592" i="1"/>
  <c r="AO593" i="1"/>
  <c r="AO595" i="1"/>
  <c r="AO596" i="1"/>
  <c r="AO597" i="1"/>
  <c r="AO599" i="1"/>
  <c r="AO600" i="1"/>
  <c r="AO601" i="1"/>
  <c r="AO603" i="1"/>
  <c r="AO604" i="1"/>
  <c r="AO605" i="1"/>
  <c r="AO607" i="1"/>
  <c r="AO609" i="1"/>
  <c r="AO611" i="1"/>
  <c r="AO612" i="1"/>
  <c r="AO614" i="1"/>
  <c r="AO615" i="1"/>
  <c r="AO617" i="1"/>
  <c r="AO618" i="1"/>
  <c r="AO619" i="1"/>
  <c r="AO620" i="1"/>
  <c r="AO622" i="1"/>
  <c r="AO623" i="1"/>
  <c r="AO624" i="1"/>
  <c r="AO625" i="1"/>
  <c r="AO627" i="1"/>
  <c r="AO628" i="1"/>
  <c r="AO630" i="1"/>
  <c r="AO632" i="1"/>
  <c r="AO633" i="1"/>
  <c r="AO634" i="1"/>
  <c r="AO635" i="1"/>
  <c r="AO636" i="1"/>
  <c r="AO637" i="1"/>
  <c r="AO638" i="1"/>
  <c r="AO639" i="1"/>
  <c r="AO641" i="1"/>
  <c r="AO643" i="1"/>
  <c r="AO645" i="1"/>
  <c r="AO646" i="1"/>
  <c r="AO647" i="1"/>
  <c r="AO650" i="1"/>
  <c r="AO651" i="1"/>
  <c r="AO652" i="1"/>
  <c r="AO653" i="1"/>
  <c r="AO654" i="1"/>
  <c r="AO656" i="1"/>
  <c r="AO659" i="1"/>
  <c r="AO660" i="1"/>
  <c r="AO661" i="1"/>
  <c r="AO663" i="1"/>
  <c r="AO665" i="1"/>
  <c r="AO666" i="1"/>
  <c r="AO668" i="1"/>
  <c r="AO670" i="1"/>
  <c r="AO671" i="1"/>
  <c r="AO672" i="1"/>
  <c r="AO673" i="1"/>
  <c r="AO675" i="1"/>
  <c r="AO676" i="1"/>
  <c r="AO678" i="1"/>
  <c r="AO680" i="1"/>
  <c r="AO681" i="1"/>
  <c r="AO682" i="1"/>
  <c r="AO683" i="1"/>
  <c r="AO686" i="1"/>
  <c r="AO689" i="1"/>
  <c r="AO690" i="1"/>
  <c r="AO691" i="1"/>
  <c r="AO694" i="1"/>
  <c r="AO697" i="1"/>
  <c r="AO698" i="1"/>
  <c r="AO700" i="1"/>
  <c r="AO705" i="1"/>
  <c r="AO706" i="1"/>
  <c r="AO707" i="1"/>
  <c r="AO708" i="1"/>
  <c r="AO709" i="1"/>
  <c r="AO710" i="1"/>
  <c r="AO711" i="1"/>
  <c r="AO713" i="1"/>
  <c r="AO714" i="1"/>
  <c r="AO715" i="1"/>
  <c r="AO716" i="1"/>
  <c r="AO718" i="1"/>
  <c r="AO721" i="1"/>
  <c r="AO722" i="1"/>
  <c r="AO723" i="1"/>
  <c r="AO725" i="1"/>
  <c r="AO727" i="1"/>
  <c r="AO728" i="1"/>
  <c r="AO729" i="1"/>
  <c r="AO731" i="1"/>
  <c r="AO732" i="1"/>
  <c r="AO735" i="1"/>
  <c r="AO739" i="1"/>
  <c r="AO740" i="1"/>
  <c r="AO741" i="1"/>
  <c r="AO743" i="1"/>
  <c r="AO744" i="1"/>
  <c r="AO745" i="1"/>
  <c r="AO747" i="1"/>
  <c r="AO748" i="1"/>
  <c r="AO749" i="1"/>
  <c r="AO752" i="1"/>
  <c r="AO754" i="1"/>
  <c r="AO755" i="1"/>
  <c r="AO757" i="1"/>
  <c r="AO758" i="1"/>
  <c r="AO760" i="1"/>
  <c r="AO763" i="1"/>
  <c r="AO766" i="1"/>
  <c r="AO767" i="1"/>
  <c r="AO770" i="1"/>
  <c r="AO771" i="1"/>
  <c r="AO772" i="1"/>
  <c r="AO773" i="1"/>
  <c r="AO774" i="1"/>
  <c r="AO776" i="1"/>
  <c r="AO778" i="1"/>
  <c r="AO780" i="1"/>
  <c r="AO781" i="1"/>
  <c r="AO782" i="1"/>
  <c r="AO783" i="1"/>
  <c r="AO784" i="1"/>
  <c r="AO786" i="1"/>
  <c r="AO787" i="1"/>
  <c r="AO788" i="1"/>
  <c r="AO789" i="1"/>
  <c r="AO790" i="1"/>
  <c r="AO791" i="1"/>
  <c r="AO793" i="1"/>
  <c r="AO796" i="1"/>
  <c r="AO797" i="1"/>
  <c r="AO798" i="1"/>
  <c r="AO799" i="1"/>
  <c r="AO800" i="1"/>
  <c r="AO803" i="1"/>
  <c r="AO804" i="1"/>
  <c r="AO805" i="1"/>
  <c r="AO806" i="1"/>
  <c r="AO807" i="1"/>
  <c r="AO808" i="1"/>
  <c r="AO811" i="1"/>
  <c r="AO813" i="1"/>
  <c r="AO821" i="1"/>
  <c r="AO824" i="1"/>
  <c r="AO825" i="1"/>
  <c r="AO826" i="1"/>
  <c r="AO827" i="1"/>
  <c r="AO828" i="1"/>
  <c r="AO830" i="1"/>
  <c r="AO831" i="1"/>
  <c r="AO832" i="1"/>
  <c r="AO833" i="1"/>
  <c r="AO835" i="1"/>
  <c r="AO836" i="1"/>
  <c r="AO837" i="1"/>
  <c r="AO838" i="1"/>
  <c r="AO839" i="1"/>
  <c r="AO840" i="1"/>
  <c r="AO842" i="1"/>
  <c r="AO843" i="1"/>
  <c r="AO844" i="1"/>
  <c r="AO845" i="1"/>
  <c r="AO846" i="1"/>
  <c r="AO848" i="1"/>
  <c r="AO849" i="1"/>
  <c r="AO850" i="1"/>
  <c r="AO851" i="1"/>
  <c r="AO853" i="1"/>
  <c r="AO854" i="1"/>
  <c r="AO855" i="1"/>
  <c r="AO856" i="1"/>
  <c r="AO859" i="1"/>
  <c r="AO860" i="1"/>
  <c r="AO862" i="1"/>
  <c r="AO863" i="1"/>
  <c r="AO864" i="1"/>
  <c r="AO865" i="1"/>
  <c r="AO867" i="1"/>
  <c r="AO868" i="1"/>
  <c r="AO870" i="1"/>
  <c r="AO872" i="1"/>
  <c r="AO873" i="1"/>
  <c r="AO874" i="1"/>
  <c r="AO876" i="1"/>
  <c r="AO878" i="1"/>
  <c r="AO879" i="1"/>
  <c r="AO882" i="1"/>
  <c r="AO883" i="1"/>
  <c r="AO884" i="1"/>
  <c r="AO885" i="1"/>
  <c r="AO887" i="1"/>
  <c r="AO889" i="1"/>
  <c r="AO891" i="1"/>
  <c r="AO893" i="1"/>
  <c r="AO894" i="1"/>
  <c r="AO895" i="1"/>
  <c r="AO898" i="1"/>
  <c r="AO899" i="1"/>
  <c r="AO903" i="1"/>
  <c r="AO904" i="1"/>
  <c r="AO906" i="1"/>
  <c r="AO907" i="1"/>
  <c r="AO909" i="1"/>
  <c r="AO910" i="1"/>
  <c r="AO911" i="1"/>
  <c r="AO913" i="1"/>
  <c r="AO915" i="1"/>
  <c r="AO916" i="1"/>
  <c r="AO918" i="1"/>
  <c r="AO919" i="1"/>
  <c r="AO921" i="1"/>
  <c r="AO922" i="1"/>
  <c r="AO924" i="1"/>
  <c r="AO925" i="1"/>
  <c r="AO927" i="1"/>
  <c r="AO928" i="1"/>
  <c r="AO929" i="1"/>
  <c r="AO930" i="1"/>
  <c r="AO932" i="1"/>
  <c r="AO933" i="1"/>
  <c r="AO937" i="1"/>
  <c r="AO938" i="1"/>
  <c r="AO943" i="1"/>
  <c r="AO945" i="1"/>
  <c r="AO947" i="1"/>
  <c r="AO948" i="1"/>
  <c r="AO949" i="1"/>
  <c r="AO952" i="1"/>
  <c r="AO953" i="1"/>
  <c r="AO954" i="1"/>
  <c r="AO956" i="1"/>
  <c r="AO957" i="1"/>
  <c r="AO959" i="1"/>
  <c r="AO960" i="1"/>
  <c r="AO961" i="1"/>
  <c r="AO963" i="1"/>
  <c r="AO964" i="1"/>
  <c r="AO965" i="1"/>
  <c r="AO966" i="1"/>
  <c r="AO967" i="1"/>
  <c r="AO968" i="1"/>
  <c r="AO969" i="1"/>
  <c r="AO970" i="1"/>
  <c r="AO971" i="1"/>
  <c r="AO973" i="1"/>
  <c r="AO974" i="1"/>
  <c r="AO976" i="1"/>
  <c r="AO977" i="1"/>
  <c r="AO978" i="1"/>
  <c r="AO979" i="1"/>
  <c r="AO980" i="1"/>
  <c r="AO981" i="1"/>
  <c r="AO982" i="1"/>
  <c r="AO983" i="1"/>
  <c r="AO984" i="1"/>
  <c r="AO985" i="1"/>
  <c r="AO987" i="1"/>
  <c r="AO988" i="1"/>
  <c r="AO991" i="1"/>
  <c r="AO992" i="1"/>
  <c r="AO993" i="1"/>
  <c r="AO995" i="1"/>
  <c r="AO996" i="1"/>
  <c r="AO997" i="1"/>
  <c r="AO998" i="1"/>
  <c r="AO999" i="1"/>
  <c r="AO1000" i="1"/>
  <c r="AO1001" i="1"/>
  <c r="AO1003" i="1"/>
  <c r="AO1004" i="1"/>
  <c r="AO1005" i="1"/>
  <c r="AO1007" i="1"/>
  <c r="AO1008" i="1"/>
  <c r="AO1009" i="1"/>
  <c r="AO1010" i="1"/>
  <c r="AO1012" i="1"/>
  <c r="AO1013" i="1"/>
  <c r="AO1014" i="1"/>
  <c r="AO1015" i="1"/>
  <c r="AO1016" i="1"/>
  <c r="AO1018" i="1"/>
  <c r="AO1019" i="1"/>
  <c r="AO1022" i="1"/>
  <c r="AO1023" i="1"/>
  <c r="AO1026" i="1"/>
  <c r="AO1027" i="1"/>
  <c r="AO1028" i="1"/>
  <c r="AO1031" i="1"/>
  <c r="AO1033" i="1"/>
  <c r="AO1034" i="1"/>
  <c r="AO1040" i="1"/>
  <c r="AO1041" i="1"/>
  <c r="AO1042" i="1"/>
  <c r="AO1044" i="1"/>
  <c r="AO1045" i="1"/>
  <c r="AO1046" i="1"/>
  <c r="AO1048" i="1"/>
  <c r="AO1049" i="1"/>
  <c r="AO1050" i="1"/>
  <c r="AO1051" i="1"/>
  <c r="AO1052" i="1"/>
  <c r="AO1053" i="1"/>
  <c r="AO1056" i="1"/>
  <c r="AO1059" i="1"/>
  <c r="AO1060" i="1"/>
  <c r="AO1062" i="1"/>
  <c r="AO1063" i="1"/>
  <c r="AO1064" i="1"/>
  <c r="AO1065" i="1"/>
  <c r="AO1067" i="1"/>
  <c r="AO1070" i="1"/>
  <c r="AO1071" i="1"/>
  <c r="AO1073" i="1"/>
  <c r="AO1076" i="1"/>
  <c r="AO1077" i="1"/>
  <c r="AO1079" i="1"/>
  <c r="AO1080" i="1"/>
  <c r="AO1081" i="1"/>
  <c r="AO1082" i="1"/>
  <c r="AO1083" i="1"/>
  <c r="AO1084" i="1"/>
  <c r="AO1085" i="1"/>
  <c r="AO1086" i="1"/>
  <c r="AO1092" i="1"/>
  <c r="AN60" i="1"/>
  <c r="AN63" i="1"/>
  <c r="AN64" i="1"/>
  <c r="AN66" i="1"/>
  <c r="AN67" i="1"/>
  <c r="AN68" i="1"/>
  <c r="AN69" i="1"/>
  <c r="AN70" i="1"/>
  <c r="AN71" i="1"/>
  <c r="AN72" i="1"/>
  <c r="AN73" i="1"/>
  <c r="AN76" i="1"/>
  <c r="AN77" i="1"/>
  <c r="AN78" i="1"/>
  <c r="AN79" i="1"/>
  <c r="AN80" i="1"/>
  <c r="AN81" i="1"/>
  <c r="AN83" i="1"/>
  <c r="AN86" i="1"/>
  <c r="AN87" i="1"/>
  <c r="AN88" i="1"/>
  <c r="AN89" i="1"/>
  <c r="AN90" i="1"/>
  <c r="AN91" i="1"/>
  <c r="AN93" i="1"/>
  <c r="AN94" i="1"/>
  <c r="AN96" i="1"/>
  <c r="AN97" i="1"/>
  <c r="AN98" i="1"/>
  <c r="AN102" i="1"/>
  <c r="AN103" i="1"/>
  <c r="AN104" i="1"/>
  <c r="AN107" i="1"/>
  <c r="AN109" i="1"/>
  <c r="AN110" i="1"/>
  <c r="AN111" i="1"/>
  <c r="AN112" i="1"/>
  <c r="AN114" i="1"/>
  <c r="AN115" i="1"/>
  <c r="AN116" i="1"/>
  <c r="AN117" i="1"/>
  <c r="AN118" i="1"/>
  <c r="AN120" i="1"/>
  <c r="AN121" i="1"/>
  <c r="AN122" i="1"/>
  <c r="AN124" i="1"/>
  <c r="AN125" i="1"/>
  <c r="AN127" i="1"/>
  <c r="AN129" i="1"/>
  <c r="AN130" i="1"/>
  <c r="AN132" i="1"/>
  <c r="AN133" i="1"/>
  <c r="AN135" i="1"/>
  <c r="AN138" i="1"/>
  <c r="AN139" i="1"/>
  <c r="AN140" i="1"/>
  <c r="AN141" i="1"/>
  <c r="AN143" i="1"/>
  <c r="AN145" i="1"/>
  <c r="AN146" i="1"/>
  <c r="AN147" i="1"/>
  <c r="AN148" i="1"/>
  <c r="AN149" i="1"/>
  <c r="AN151" i="1"/>
  <c r="AN154" i="1"/>
  <c r="AN155" i="1"/>
  <c r="AN156" i="1"/>
  <c r="AN158" i="1"/>
  <c r="AN160" i="1"/>
  <c r="AN161" i="1"/>
  <c r="AN162" i="1"/>
  <c r="AN164" i="1"/>
  <c r="AN165" i="1"/>
  <c r="AN167" i="1"/>
  <c r="AN168" i="1"/>
  <c r="AN169" i="1"/>
  <c r="AN170" i="1"/>
  <c r="AN173" i="1"/>
  <c r="AN175" i="1"/>
  <c r="AN176" i="1"/>
  <c r="AN177" i="1"/>
  <c r="AN178" i="1"/>
  <c r="AN179" i="1"/>
  <c r="AN184" i="1"/>
  <c r="AN185" i="1"/>
  <c r="AN186" i="1"/>
  <c r="AN187" i="1"/>
  <c r="AN189" i="1"/>
  <c r="AN190" i="1"/>
  <c r="AN191" i="1"/>
  <c r="AN192" i="1"/>
  <c r="AN194" i="1"/>
  <c r="AN195" i="1"/>
  <c r="AN196" i="1"/>
  <c r="AN198" i="1"/>
  <c r="AN199" i="1"/>
  <c r="AN200" i="1"/>
  <c r="AN202" i="1"/>
  <c r="AN203" i="1"/>
  <c r="AN204" i="1"/>
  <c r="AN205" i="1"/>
  <c r="AN207" i="1"/>
  <c r="AN208" i="1"/>
  <c r="AN209" i="1"/>
  <c r="AN211" i="1"/>
  <c r="AN212" i="1"/>
  <c r="AN213" i="1"/>
  <c r="AN214" i="1"/>
  <c r="AN216" i="1"/>
  <c r="AN221" i="1"/>
  <c r="AN222" i="1"/>
  <c r="AN224" i="1"/>
  <c r="AN225" i="1"/>
  <c r="AN226" i="1"/>
  <c r="AN227" i="1"/>
  <c r="AN231" i="1"/>
  <c r="AN232" i="1"/>
  <c r="AN233" i="1"/>
  <c r="AN234" i="1"/>
  <c r="AN238" i="1"/>
  <c r="AN239" i="1"/>
  <c r="AN240" i="1"/>
  <c r="AN242" i="1"/>
  <c r="AN244" i="1"/>
  <c r="AN245" i="1"/>
  <c r="AN246" i="1"/>
  <c r="AN247" i="1"/>
  <c r="AN249" i="1"/>
  <c r="AN251" i="1"/>
  <c r="AN252" i="1"/>
  <c r="AN254" i="1"/>
  <c r="AN256" i="1"/>
  <c r="AN261" i="1"/>
  <c r="AN262" i="1"/>
  <c r="AN263" i="1"/>
  <c r="AN264" i="1"/>
  <c r="AN266" i="1"/>
  <c r="AN268" i="1"/>
  <c r="AN269" i="1"/>
  <c r="AN270" i="1"/>
  <c r="AN271" i="1"/>
  <c r="AN272" i="1"/>
  <c r="AN273" i="1"/>
  <c r="AN274" i="1"/>
  <c r="AN276" i="1"/>
  <c r="AN277" i="1"/>
  <c r="AN278" i="1"/>
  <c r="AN279" i="1"/>
  <c r="AN280" i="1"/>
  <c r="AN281" i="1"/>
  <c r="AN283" i="1"/>
  <c r="AN284" i="1"/>
  <c r="AN285" i="1"/>
  <c r="AN286" i="1"/>
  <c r="AN287" i="1"/>
  <c r="AN288" i="1"/>
  <c r="AN289" i="1"/>
  <c r="AN291" i="1"/>
  <c r="AN292" i="1"/>
  <c r="AN294" i="1"/>
  <c r="AN295" i="1"/>
  <c r="AN296" i="1"/>
  <c r="AN297" i="1"/>
  <c r="AN298" i="1"/>
  <c r="AN300" i="1"/>
  <c r="AN301" i="1"/>
  <c r="AN302" i="1"/>
  <c r="AN303" i="1"/>
  <c r="AN304" i="1"/>
  <c r="AN305" i="1"/>
  <c r="AN306" i="1"/>
  <c r="AN307" i="1"/>
  <c r="AN311" i="1"/>
  <c r="AN312" i="1"/>
  <c r="AN316" i="1"/>
  <c r="AN318" i="1"/>
  <c r="AN320" i="1"/>
  <c r="AN322" i="1"/>
  <c r="AN323" i="1"/>
  <c r="AN324" i="1"/>
  <c r="AN325" i="1"/>
  <c r="AN326" i="1"/>
  <c r="AN327" i="1"/>
  <c r="AN328" i="1"/>
  <c r="AN330" i="1"/>
  <c r="AN333" i="1"/>
  <c r="AN334" i="1"/>
  <c r="AN335" i="1"/>
  <c r="AN338" i="1"/>
  <c r="AN339" i="1"/>
  <c r="AN340" i="1"/>
  <c r="AN341" i="1"/>
  <c r="AN343" i="1"/>
  <c r="AN345" i="1"/>
  <c r="AN346" i="1"/>
  <c r="AN349" i="1"/>
  <c r="AN350" i="1"/>
  <c r="AN351" i="1"/>
  <c r="AN352" i="1"/>
  <c r="AN354" i="1"/>
  <c r="AN355" i="1"/>
  <c r="AN356" i="1"/>
  <c r="AN357" i="1"/>
  <c r="AN358" i="1"/>
  <c r="AN362" i="1"/>
  <c r="AN363" i="1"/>
  <c r="AN365" i="1"/>
  <c r="AN370" i="1"/>
  <c r="AN371" i="1"/>
  <c r="AN374" i="1"/>
  <c r="AN380" i="1"/>
  <c r="AN381" i="1"/>
  <c r="AN383" i="1"/>
  <c r="AN385" i="1"/>
  <c r="AN386" i="1"/>
  <c r="AN387" i="1"/>
  <c r="AN388" i="1"/>
  <c r="AN389" i="1"/>
  <c r="AN390" i="1"/>
  <c r="AN391" i="1"/>
  <c r="AN393" i="1"/>
  <c r="AN394" i="1"/>
  <c r="AN397" i="1"/>
  <c r="AN398" i="1"/>
  <c r="AN400" i="1"/>
  <c r="AN402" i="1"/>
  <c r="AN403" i="1"/>
  <c r="AN404" i="1"/>
  <c r="AN408" i="1"/>
  <c r="AN413" i="1"/>
  <c r="AN415" i="1"/>
  <c r="AN416" i="1"/>
  <c r="AN421" i="1"/>
  <c r="AN422" i="1"/>
  <c r="AN423" i="1"/>
  <c r="AN425" i="1"/>
  <c r="AN427" i="1"/>
  <c r="AN428" i="1"/>
  <c r="AN431" i="1"/>
  <c r="AN433" i="1"/>
  <c r="AN434" i="1"/>
  <c r="AN435" i="1"/>
  <c r="AN436" i="1"/>
  <c r="AN437" i="1"/>
  <c r="AN438" i="1"/>
  <c r="AN439" i="1"/>
  <c r="AN440" i="1"/>
  <c r="AN443" i="1"/>
  <c r="AN444" i="1"/>
  <c r="AN445" i="1"/>
  <c r="AN447" i="1"/>
  <c r="AN448" i="1"/>
  <c r="AN449" i="1"/>
  <c r="AN452" i="1"/>
  <c r="AN453" i="1"/>
  <c r="AN454" i="1"/>
  <c r="AN455" i="1"/>
  <c r="AN456" i="1"/>
  <c r="AN457" i="1"/>
  <c r="AN458" i="1"/>
  <c r="AN459" i="1"/>
  <c r="AN460" i="1"/>
  <c r="AN461" i="1"/>
  <c r="AN463" i="1"/>
  <c r="AN464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80" i="1"/>
  <c r="AN481" i="1"/>
  <c r="AN485" i="1"/>
  <c r="AN486" i="1"/>
  <c r="AN488" i="1"/>
  <c r="AN490" i="1"/>
  <c r="AN491" i="1"/>
  <c r="AN492" i="1"/>
  <c r="AN494" i="1"/>
  <c r="AN496" i="1"/>
  <c r="AN497" i="1"/>
  <c r="AN498" i="1"/>
  <c r="AN501" i="1"/>
  <c r="AN502" i="1"/>
  <c r="AN503" i="1"/>
  <c r="AN504" i="1"/>
  <c r="AN505" i="1"/>
  <c r="AN507" i="1"/>
  <c r="AN510" i="1"/>
  <c r="AN513" i="1"/>
  <c r="AN516" i="1"/>
  <c r="AN518" i="1"/>
  <c r="AN519" i="1"/>
  <c r="AN520" i="1"/>
  <c r="AN521" i="1"/>
  <c r="AN523" i="1"/>
  <c r="AN524" i="1"/>
  <c r="AN525" i="1"/>
  <c r="AN526" i="1"/>
  <c r="AN529" i="1"/>
  <c r="AN531" i="1"/>
  <c r="AN532" i="1"/>
  <c r="AN534" i="1"/>
  <c r="AN537" i="1"/>
  <c r="AN538" i="1"/>
  <c r="AN539" i="1"/>
  <c r="AN541" i="1"/>
  <c r="AN542" i="1"/>
  <c r="AN543" i="1"/>
  <c r="AN544" i="1"/>
  <c r="AN545" i="1"/>
  <c r="AN546" i="1"/>
  <c r="AN547" i="1"/>
  <c r="AN548" i="1"/>
  <c r="AN549" i="1"/>
  <c r="AN551" i="1"/>
  <c r="AN552" i="1"/>
  <c r="AN554" i="1"/>
  <c r="AN556" i="1"/>
  <c r="AN558" i="1"/>
  <c r="AN559" i="1"/>
  <c r="AN560" i="1"/>
  <c r="AN561" i="1"/>
  <c r="AN562" i="1"/>
  <c r="AN565" i="1"/>
  <c r="AN566" i="1"/>
  <c r="AN568" i="1"/>
  <c r="AN570" i="1"/>
  <c r="AN572" i="1"/>
  <c r="AN576" i="1"/>
  <c r="AN578" i="1"/>
  <c r="AN579" i="1"/>
  <c r="AN581" i="1"/>
  <c r="AN582" i="1"/>
  <c r="AN583" i="1"/>
  <c r="AN584" i="1"/>
  <c r="AN586" i="1"/>
  <c r="AN588" i="1"/>
  <c r="AN589" i="1"/>
  <c r="AN590" i="1"/>
  <c r="AN591" i="1"/>
  <c r="AN592" i="1"/>
  <c r="AN593" i="1"/>
  <c r="AN595" i="1"/>
  <c r="AN596" i="1"/>
  <c r="AN597" i="1"/>
  <c r="AN599" i="1"/>
  <c r="AN600" i="1"/>
  <c r="AN601" i="1"/>
  <c r="AN603" i="1"/>
  <c r="AN604" i="1"/>
  <c r="AN605" i="1"/>
  <c r="AN607" i="1"/>
  <c r="AN609" i="1"/>
  <c r="AN611" i="1"/>
  <c r="AN612" i="1"/>
  <c r="AN614" i="1"/>
  <c r="AN615" i="1"/>
  <c r="AN617" i="1"/>
  <c r="AN618" i="1"/>
  <c r="AN619" i="1"/>
  <c r="AN620" i="1"/>
  <c r="AN622" i="1"/>
  <c r="AN623" i="1"/>
  <c r="AN624" i="1"/>
  <c r="AN625" i="1"/>
  <c r="AN627" i="1"/>
  <c r="AN628" i="1"/>
  <c r="AN630" i="1"/>
  <c r="AN632" i="1"/>
  <c r="AN633" i="1"/>
  <c r="AN634" i="1"/>
  <c r="AN635" i="1"/>
  <c r="AN636" i="1"/>
  <c r="AN637" i="1"/>
  <c r="AN638" i="1"/>
  <c r="AN639" i="1"/>
  <c r="AN641" i="1"/>
  <c r="AN643" i="1"/>
  <c r="AN645" i="1"/>
  <c r="AN646" i="1"/>
  <c r="AN647" i="1"/>
  <c r="AN650" i="1"/>
  <c r="AN651" i="1"/>
  <c r="AN652" i="1"/>
  <c r="AN653" i="1"/>
  <c r="AN654" i="1"/>
  <c r="AN656" i="1"/>
  <c r="AN659" i="1"/>
  <c r="AN660" i="1"/>
  <c r="AN661" i="1"/>
  <c r="AN663" i="1"/>
  <c r="AN665" i="1"/>
  <c r="AN666" i="1"/>
  <c r="AN668" i="1"/>
  <c r="AN670" i="1"/>
  <c r="AN671" i="1"/>
  <c r="AN672" i="1"/>
  <c r="AN673" i="1"/>
  <c r="AN675" i="1"/>
  <c r="AN676" i="1"/>
  <c r="AN678" i="1"/>
  <c r="AN680" i="1"/>
  <c r="AN681" i="1"/>
  <c r="AN682" i="1"/>
  <c r="AN683" i="1"/>
  <c r="AN686" i="1"/>
  <c r="AN689" i="1"/>
  <c r="AN690" i="1"/>
  <c r="AN691" i="1"/>
  <c r="AN694" i="1"/>
  <c r="AN697" i="1"/>
  <c r="AN698" i="1"/>
  <c r="AN700" i="1"/>
  <c r="AN705" i="1"/>
  <c r="AN706" i="1"/>
  <c r="AN707" i="1"/>
  <c r="AN708" i="1"/>
  <c r="AN709" i="1"/>
  <c r="AN710" i="1"/>
  <c r="AN711" i="1"/>
  <c r="AN713" i="1"/>
  <c r="AN714" i="1"/>
  <c r="AN715" i="1"/>
  <c r="AN716" i="1"/>
  <c r="AN718" i="1"/>
  <c r="AN721" i="1"/>
  <c r="AN722" i="1"/>
  <c r="AN723" i="1"/>
  <c r="AN725" i="1"/>
  <c r="AN727" i="1"/>
  <c r="AN728" i="1"/>
  <c r="AN729" i="1"/>
  <c r="AN731" i="1"/>
  <c r="AN732" i="1"/>
  <c r="AN735" i="1"/>
  <c r="AN739" i="1"/>
  <c r="AN740" i="1"/>
  <c r="AN741" i="1"/>
  <c r="AN743" i="1"/>
  <c r="AN744" i="1"/>
  <c r="AN745" i="1"/>
  <c r="AN747" i="1"/>
  <c r="AN748" i="1"/>
  <c r="AN749" i="1"/>
  <c r="AN752" i="1"/>
  <c r="AN754" i="1"/>
  <c r="AN755" i="1"/>
  <c r="AN757" i="1"/>
  <c r="AN758" i="1"/>
  <c r="AN760" i="1"/>
  <c r="AN763" i="1"/>
  <c r="AN766" i="1"/>
  <c r="AN767" i="1"/>
  <c r="AN770" i="1"/>
  <c r="AN771" i="1"/>
  <c r="AN772" i="1"/>
  <c r="AN773" i="1"/>
  <c r="AN774" i="1"/>
  <c r="AN776" i="1"/>
  <c r="AN778" i="1"/>
  <c r="AN780" i="1"/>
  <c r="AN781" i="1"/>
  <c r="AN782" i="1"/>
  <c r="AN783" i="1"/>
  <c r="AN784" i="1"/>
  <c r="AN786" i="1"/>
  <c r="AN787" i="1"/>
  <c r="AN788" i="1"/>
  <c r="AN789" i="1"/>
  <c r="AN790" i="1"/>
  <c r="AN791" i="1"/>
  <c r="AN793" i="1"/>
  <c r="AN796" i="1"/>
  <c r="AN797" i="1"/>
  <c r="AN798" i="1"/>
  <c r="AN799" i="1"/>
  <c r="AN800" i="1"/>
  <c r="AN803" i="1"/>
  <c r="AN804" i="1"/>
  <c r="AN805" i="1"/>
  <c r="AN806" i="1"/>
  <c r="AN807" i="1"/>
  <c r="AN808" i="1"/>
  <c r="AN811" i="1"/>
  <c r="AN813" i="1"/>
  <c r="AN821" i="1"/>
  <c r="AN824" i="1"/>
  <c r="AN825" i="1"/>
  <c r="AN826" i="1"/>
  <c r="AN827" i="1"/>
  <c r="AN828" i="1"/>
  <c r="AN830" i="1"/>
  <c r="AN831" i="1"/>
  <c r="AN832" i="1"/>
  <c r="AN833" i="1"/>
  <c r="AN835" i="1"/>
  <c r="AN836" i="1"/>
  <c r="AN837" i="1"/>
  <c r="AN838" i="1"/>
  <c r="AN839" i="1"/>
  <c r="AN840" i="1"/>
  <c r="AN842" i="1"/>
  <c r="AN843" i="1"/>
  <c r="AN844" i="1"/>
  <c r="AN845" i="1"/>
  <c r="AN846" i="1"/>
  <c r="AN848" i="1"/>
  <c r="AN849" i="1"/>
  <c r="AN850" i="1"/>
  <c r="AN851" i="1"/>
  <c r="AN853" i="1"/>
  <c r="AN854" i="1"/>
  <c r="AN855" i="1"/>
  <c r="AN856" i="1"/>
  <c r="AN859" i="1"/>
  <c r="AN860" i="1"/>
  <c r="AN862" i="1"/>
  <c r="AN863" i="1"/>
  <c r="AN864" i="1"/>
  <c r="AN865" i="1"/>
  <c r="AN867" i="1"/>
  <c r="AN868" i="1"/>
  <c r="AN870" i="1"/>
  <c r="AN872" i="1"/>
  <c r="AN873" i="1"/>
  <c r="AN874" i="1"/>
  <c r="AN876" i="1"/>
  <c r="AN878" i="1"/>
  <c r="AN879" i="1"/>
  <c r="AN882" i="1"/>
  <c r="AN883" i="1"/>
  <c r="AN884" i="1"/>
  <c r="AN885" i="1"/>
  <c r="AN887" i="1"/>
  <c r="AN889" i="1"/>
  <c r="AN891" i="1"/>
  <c r="AN893" i="1"/>
  <c r="AN894" i="1"/>
  <c r="AN895" i="1"/>
  <c r="AN898" i="1"/>
  <c r="AN899" i="1"/>
  <c r="AN903" i="1"/>
  <c r="AN904" i="1"/>
  <c r="AN906" i="1"/>
  <c r="AN907" i="1"/>
  <c r="AN909" i="1"/>
  <c r="AN910" i="1"/>
  <c r="AN911" i="1"/>
  <c r="AN913" i="1"/>
  <c r="AN915" i="1"/>
  <c r="AN916" i="1"/>
  <c r="AN918" i="1"/>
  <c r="AN919" i="1"/>
  <c r="AN921" i="1"/>
  <c r="AN922" i="1"/>
  <c r="AN924" i="1"/>
  <c r="AN925" i="1"/>
  <c r="AN927" i="1"/>
  <c r="AN928" i="1"/>
  <c r="AN929" i="1"/>
  <c r="AN930" i="1"/>
  <c r="AN932" i="1"/>
  <c r="AN933" i="1"/>
  <c r="AN937" i="1"/>
  <c r="AN938" i="1"/>
  <c r="AN943" i="1"/>
  <c r="AN945" i="1"/>
  <c r="AN947" i="1"/>
  <c r="AN948" i="1"/>
  <c r="AN949" i="1"/>
  <c r="AN952" i="1"/>
  <c r="AN953" i="1"/>
  <c r="AN954" i="1"/>
  <c r="AN956" i="1"/>
  <c r="AN957" i="1"/>
  <c r="AN959" i="1"/>
  <c r="AN960" i="1"/>
  <c r="AN961" i="1"/>
  <c r="AN963" i="1"/>
  <c r="AN964" i="1"/>
  <c r="AN965" i="1"/>
  <c r="AN966" i="1"/>
  <c r="AN967" i="1"/>
  <c r="AN968" i="1"/>
  <c r="AN969" i="1"/>
  <c r="AN970" i="1"/>
  <c r="AN971" i="1"/>
  <c r="AN973" i="1"/>
  <c r="AN974" i="1"/>
  <c r="AN976" i="1"/>
  <c r="AN977" i="1"/>
  <c r="AN978" i="1"/>
  <c r="AN979" i="1"/>
  <c r="AN980" i="1"/>
  <c r="AN981" i="1"/>
  <c r="AN982" i="1"/>
  <c r="AN983" i="1"/>
  <c r="AN984" i="1"/>
  <c r="AN985" i="1"/>
  <c r="AN987" i="1"/>
  <c r="AN988" i="1"/>
  <c r="AN991" i="1"/>
  <c r="AN992" i="1"/>
  <c r="AN993" i="1"/>
  <c r="AN995" i="1"/>
  <c r="AN996" i="1"/>
  <c r="AN997" i="1"/>
  <c r="AN998" i="1"/>
  <c r="AN999" i="1"/>
  <c r="AN1000" i="1"/>
  <c r="AN1001" i="1"/>
  <c r="AN1003" i="1"/>
  <c r="AN1004" i="1"/>
  <c r="AN1005" i="1"/>
  <c r="AN1007" i="1"/>
  <c r="AN1008" i="1"/>
  <c r="AN1009" i="1"/>
  <c r="AN1010" i="1"/>
  <c r="AN1012" i="1"/>
  <c r="AN1013" i="1"/>
  <c r="AN1014" i="1"/>
  <c r="AN1015" i="1"/>
  <c r="AN1016" i="1"/>
  <c r="AN1018" i="1"/>
  <c r="AN1019" i="1"/>
  <c r="AN1022" i="1"/>
  <c r="AN1023" i="1"/>
  <c r="AN1026" i="1"/>
  <c r="AN1027" i="1"/>
  <c r="AN1028" i="1"/>
  <c r="AN1031" i="1"/>
  <c r="AN1033" i="1"/>
  <c r="AN1034" i="1"/>
  <c r="AN1040" i="1"/>
  <c r="AN1041" i="1"/>
  <c r="AN1042" i="1"/>
  <c r="AN1044" i="1"/>
  <c r="AN1045" i="1"/>
  <c r="AN1046" i="1"/>
  <c r="AN1048" i="1"/>
  <c r="AN1049" i="1"/>
  <c r="AN1050" i="1"/>
  <c r="AN1051" i="1"/>
  <c r="AN1052" i="1"/>
  <c r="AN1053" i="1"/>
  <c r="AN1056" i="1"/>
  <c r="AN1059" i="1"/>
  <c r="AN1060" i="1"/>
  <c r="AN1062" i="1"/>
  <c r="AN1063" i="1"/>
  <c r="AN1064" i="1"/>
  <c r="AN1065" i="1"/>
  <c r="AN1067" i="1"/>
  <c r="AN1070" i="1"/>
  <c r="AN1071" i="1"/>
  <c r="AN1073" i="1"/>
  <c r="AN1076" i="1"/>
  <c r="AN1077" i="1"/>
  <c r="AN1079" i="1"/>
  <c r="AN1080" i="1"/>
  <c r="AN1081" i="1"/>
  <c r="AN1082" i="1"/>
  <c r="AN1083" i="1"/>
  <c r="AN1084" i="1"/>
  <c r="AN1085" i="1"/>
  <c r="AN1086" i="1"/>
  <c r="AN1092" i="1"/>
  <c r="AO3" i="1"/>
  <c r="AO4" i="1"/>
  <c r="AO5" i="1"/>
  <c r="AO6" i="1"/>
  <c r="AO7" i="1"/>
  <c r="AO8" i="1"/>
  <c r="AO9" i="1"/>
  <c r="AO10" i="1"/>
  <c r="AO11" i="1"/>
  <c r="AO12" i="1"/>
  <c r="AO13" i="1"/>
  <c r="AO15" i="1"/>
  <c r="AO16" i="1"/>
  <c r="AO17" i="1"/>
  <c r="AO20" i="1"/>
  <c r="AO22" i="1"/>
  <c r="AO23" i="1"/>
  <c r="AO25" i="1"/>
  <c r="AO26" i="1"/>
  <c r="AO27" i="1"/>
  <c r="AO28" i="1"/>
  <c r="AO29" i="1"/>
  <c r="AO30" i="1"/>
  <c r="AO32" i="1"/>
  <c r="AO33" i="1"/>
  <c r="AO34" i="1"/>
  <c r="AO35" i="1"/>
  <c r="AO37" i="1"/>
  <c r="AO38" i="1"/>
  <c r="AO39" i="1"/>
  <c r="AO41" i="1"/>
  <c r="AO42" i="1"/>
  <c r="AO43" i="1"/>
  <c r="AO44" i="1"/>
  <c r="AO45" i="1"/>
  <c r="AO46" i="1"/>
  <c r="AO47" i="1"/>
  <c r="AO48" i="1"/>
  <c r="AO50" i="1"/>
  <c r="AO51" i="1"/>
  <c r="AO52" i="1"/>
  <c r="AO53" i="1"/>
  <c r="AO54" i="1"/>
  <c r="AO55" i="1"/>
  <c r="AO57" i="1"/>
  <c r="AO58" i="1"/>
  <c r="AO59" i="1"/>
  <c r="AN3" i="1"/>
  <c r="AN4" i="1"/>
  <c r="AN5" i="1"/>
  <c r="AN6" i="1"/>
  <c r="AN7" i="1"/>
  <c r="AN8" i="1"/>
  <c r="AN9" i="1"/>
  <c r="AN10" i="1"/>
  <c r="AN11" i="1"/>
  <c r="AN12" i="1"/>
  <c r="AN13" i="1"/>
  <c r="AN15" i="1"/>
  <c r="AN16" i="1"/>
  <c r="AN17" i="1"/>
  <c r="AN20" i="1"/>
  <c r="AN22" i="1"/>
  <c r="AN23" i="1"/>
  <c r="AN25" i="1"/>
  <c r="AN26" i="1"/>
  <c r="AN27" i="1"/>
  <c r="AN28" i="1"/>
  <c r="AN29" i="1"/>
  <c r="AN30" i="1"/>
  <c r="AN32" i="1"/>
  <c r="AN33" i="1"/>
  <c r="AN34" i="1"/>
  <c r="AN35" i="1"/>
  <c r="AN37" i="1"/>
  <c r="AN38" i="1"/>
  <c r="AN39" i="1"/>
  <c r="AN41" i="1"/>
  <c r="AN42" i="1"/>
  <c r="AN43" i="1"/>
  <c r="AN44" i="1"/>
  <c r="AN45" i="1"/>
  <c r="AN46" i="1"/>
  <c r="AN47" i="1"/>
  <c r="AN48" i="1"/>
  <c r="AN50" i="1"/>
  <c r="AN51" i="1"/>
  <c r="AN52" i="1"/>
  <c r="AN53" i="1"/>
  <c r="AN54" i="1"/>
  <c r="AN55" i="1"/>
  <c r="AN57" i="1"/>
  <c r="AN58" i="1"/>
  <c r="AN59" i="1"/>
  <c r="AM2" i="1"/>
  <c r="AM3" i="1"/>
  <c r="AM4" i="1"/>
  <c r="AM5" i="1"/>
  <c r="AM6" i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111" i="1"/>
  <c r="AM112" i="1"/>
  <c r="AM113" i="1"/>
  <c r="AM114" i="1"/>
  <c r="AM115" i="1"/>
  <c r="AM116" i="1"/>
  <c r="AM117" i="1"/>
  <c r="AM118" i="1"/>
  <c r="AM119" i="1"/>
  <c r="AM120" i="1"/>
  <c r="AM121" i="1"/>
  <c r="AM122" i="1"/>
  <c r="AM123" i="1"/>
  <c r="AM124" i="1"/>
  <c r="AM125" i="1"/>
  <c r="AM126" i="1"/>
  <c r="AM127" i="1"/>
  <c r="AM128" i="1"/>
  <c r="AM129" i="1"/>
  <c r="AM130" i="1"/>
  <c r="AM131" i="1"/>
  <c r="AM132" i="1"/>
  <c r="AM133" i="1"/>
  <c r="AM134" i="1"/>
  <c r="AM135" i="1"/>
  <c r="AM136" i="1"/>
  <c r="AM137" i="1"/>
  <c r="AM138" i="1"/>
  <c r="AM139" i="1"/>
  <c r="AM140" i="1"/>
  <c r="AM141" i="1"/>
  <c r="AM142" i="1"/>
  <c r="AM143" i="1"/>
  <c r="AM144" i="1"/>
  <c r="AM145" i="1"/>
  <c r="AM146" i="1"/>
  <c r="AM147" i="1"/>
  <c r="AM148" i="1"/>
  <c r="AM149" i="1"/>
  <c r="AM150" i="1"/>
  <c r="AM151" i="1"/>
  <c r="AM152" i="1"/>
  <c r="AM153" i="1"/>
  <c r="AM154" i="1"/>
  <c r="AM155" i="1"/>
  <c r="AM156" i="1"/>
  <c r="AM157" i="1"/>
  <c r="AM158" i="1"/>
  <c r="AM159" i="1"/>
  <c r="AM160" i="1"/>
  <c r="AM161" i="1"/>
  <c r="AM162" i="1"/>
  <c r="AM163" i="1"/>
  <c r="AM164" i="1"/>
  <c r="AM165" i="1"/>
  <c r="AM166" i="1"/>
  <c r="AM167" i="1"/>
  <c r="AM168" i="1"/>
  <c r="AM169" i="1"/>
  <c r="AM170" i="1"/>
  <c r="AM171" i="1"/>
  <c r="AM172" i="1"/>
  <c r="AM173" i="1"/>
  <c r="AM174" i="1"/>
  <c r="AM175" i="1"/>
  <c r="AM176" i="1"/>
  <c r="AM177" i="1"/>
  <c r="AM178" i="1"/>
  <c r="AM179" i="1"/>
  <c r="AM180" i="1"/>
  <c r="AM181" i="1"/>
  <c r="AM182" i="1"/>
  <c r="AM183" i="1"/>
  <c r="AM184" i="1"/>
  <c r="AM185" i="1"/>
  <c r="AM186" i="1"/>
  <c r="AM187" i="1"/>
  <c r="AM188" i="1"/>
  <c r="AM189" i="1"/>
  <c r="AM190" i="1"/>
  <c r="AM191" i="1"/>
  <c r="AM192" i="1"/>
  <c r="AM193" i="1"/>
  <c r="AM194" i="1"/>
  <c r="AM195" i="1"/>
  <c r="AM196" i="1"/>
  <c r="AM197" i="1"/>
  <c r="AM198" i="1"/>
  <c r="AM199" i="1"/>
  <c r="AM200" i="1"/>
  <c r="AM201" i="1"/>
  <c r="AM202" i="1"/>
  <c r="AM203" i="1"/>
  <c r="AM204" i="1"/>
  <c r="AM205" i="1"/>
  <c r="AM206" i="1"/>
  <c r="AM207" i="1"/>
  <c r="AM208" i="1"/>
  <c r="AM209" i="1"/>
  <c r="AM210" i="1"/>
  <c r="AM211" i="1"/>
  <c r="AM212" i="1"/>
  <c r="AM213" i="1"/>
  <c r="AM214" i="1"/>
  <c r="AM215" i="1"/>
  <c r="AM216" i="1"/>
  <c r="AM217" i="1"/>
  <c r="AM218" i="1"/>
  <c r="AM219" i="1"/>
  <c r="AM220" i="1"/>
  <c r="AM221" i="1"/>
  <c r="AM222" i="1"/>
  <c r="AM223" i="1"/>
  <c r="AM224" i="1"/>
  <c r="AM225" i="1"/>
  <c r="AM226" i="1"/>
  <c r="AM227" i="1"/>
  <c r="AM228" i="1"/>
  <c r="AM229" i="1"/>
  <c r="AM230" i="1"/>
  <c r="AM231" i="1"/>
  <c r="AM232" i="1"/>
  <c r="AM233" i="1"/>
  <c r="AM234" i="1"/>
  <c r="AM235" i="1"/>
  <c r="AM236" i="1"/>
  <c r="AM237" i="1"/>
  <c r="AM238" i="1"/>
  <c r="AM239" i="1"/>
  <c r="AM240" i="1"/>
  <c r="AM241" i="1"/>
  <c r="AM242" i="1"/>
  <c r="AM243" i="1"/>
  <c r="AM244" i="1"/>
  <c r="AM245" i="1"/>
  <c r="AM246" i="1"/>
  <c r="AM247" i="1"/>
  <c r="AM248" i="1"/>
  <c r="AM249" i="1"/>
  <c r="AM250" i="1"/>
  <c r="AM251" i="1"/>
  <c r="AM252" i="1"/>
  <c r="AM253" i="1"/>
  <c r="AM254" i="1"/>
  <c r="AM255" i="1"/>
  <c r="AM256" i="1"/>
  <c r="AM257" i="1"/>
  <c r="AM258" i="1"/>
  <c r="AM259" i="1"/>
  <c r="AM260" i="1"/>
  <c r="AM261" i="1"/>
  <c r="AM262" i="1"/>
  <c r="AM263" i="1"/>
  <c r="AM264" i="1"/>
  <c r="AM265" i="1"/>
  <c r="AM266" i="1"/>
  <c r="AM267" i="1"/>
  <c r="AM268" i="1"/>
  <c r="AM269" i="1"/>
  <c r="AM270" i="1"/>
  <c r="AM271" i="1"/>
  <c r="AM272" i="1"/>
  <c r="AM273" i="1"/>
  <c r="AM274" i="1"/>
  <c r="AM275" i="1"/>
  <c r="AM276" i="1"/>
  <c r="AM277" i="1"/>
  <c r="AM278" i="1"/>
  <c r="AM279" i="1"/>
  <c r="AM280" i="1"/>
  <c r="AM281" i="1"/>
  <c r="AM282" i="1"/>
  <c r="AM283" i="1"/>
  <c r="AM284" i="1"/>
  <c r="AM285" i="1"/>
  <c r="AM286" i="1"/>
  <c r="AM287" i="1"/>
  <c r="AM288" i="1"/>
  <c r="AM289" i="1"/>
  <c r="AM290" i="1"/>
  <c r="AM291" i="1"/>
  <c r="AM292" i="1"/>
  <c r="AM293" i="1"/>
  <c r="AM294" i="1"/>
  <c r="AM295" i="1"/>
  <c r="AM296" i="1"/>
  <c r="AM297" i="1"/>
  <c r="AM298" i="1"/>
  <c r="AM299" i="1"/>
  <c r="AM300" i="1"/>
  <c r="AM301" i="1"/>
  <c r="AM302" i="1"/>
  <c r="AM303" i="1"/>
  <c r="AM304" i="1"/>
  <c r="AM305" i="1"/>
  <c r="AM306" i="1"/>
  <c r="AM307" i="1"/>
  <c r="AM308" i="1"/>
  <c r="AM309" i="1"/>
  <c r="AM310" i="1"/>
  <c r="AM311" i="1"/>
  <c r="AM312" i="1"/>
  <c r="AM313" i="1"/>
  <c r="AM314" i="1"/>
  <c r="AM315" i="1"/>
  <c r="AM316" i="1"/>
  <c r="AM317" i="1"/>
  <c r="AM318" i="1"/>
  <c r="AM319" i="1"/>
  <c r="AM320" i="1"/>
  <c r="AM321" i="1"/>
  <c r="AM322" i="1"/>
  <c r="AM323" i="1"/>
  <c r="AM324" i="1"/>
  <c r="AM325" i="1"/>
  <c r="AM326" i="1"/>
  <c r="AM327" i="1"/>
  <c r="AM328" i="1"/>
  <c r="AM329" i="1"/>
  <c r="AM330" i="1"/>
  <c r="AM331" i="1"/>
  <c r="AM332" i="1"/>
  <c r="AM333" i="1"/>
  <c r="AM334" i="1"/>
  <c r="AM335" i="1"/>
  <c r="AM336" i="1"/>
  <c r="AM337" i="1"/>
  <c r="AM338" i="1"/>
  <c r="AM339" i="1"/>
  <c r="AM340" i="1"/>
  <c r="AM341" i="1"/>
  <c r="AM342" i="1"/>
  <c r="AM343" i="1"/>
  <c r="AM344" i="1"/>
  <c r="AM345" i="1"/>
  <c r="AM346" i="1"/>
  <c r="AM347" i="1"/>
  <c r="AM348" i="1"/>
  <c r="AM349" i="1"/>
  <c r="AM350" i="1"/>
  <c r="AM351" i="1"/>
  <c r="AM352" i="1"/>
  <c r="AM353" i="1"/>
  <c r="AM354" i="1"/>
  <c r="AM355" i="1"/>
  <c r="AM356" i="1"/>
  <c r="AM357" i="1"/>
  <c r="AM358" i="1"/>
  <c r="AM359" i="1"/>
  <c r="AM360" i="1"/>
  <c r="AM361" i="1"/>
  <c r="AM362" i="1"/>
  <c r="AM363" i="1"/>
  <c r="AM364" i="1"/>
  <c r="AM365" i="1"/>
  <c r="AM366" i="1"/>
  <c r="AM367" i="1"/>
  <c r="AM368" i="1"/>
  <c r="AM369" i="1"/>
  <c r="AM370" i="1"/>
  <c r="AM371" i="1"/>
  <c r="AM372" i="1"/>
  <c r="AM373" i="1"/>
  <c r="AM374" i="1"/>
  <c r="AM375" i="1"/>
  <c r="AM376" i="1"/>
  <c r="AM377" i="1"/>
  <c r="AM378" i="1"/>
  <c r="AM379" i="1"/>
  <c r="AM380" i="1"/>
  <c r="AM381" i="1"/>
  <c r="AM382" i="1"/>
  <c r="AM383" i="1"/>
  <c r="AM384" i="1"/>
  <c r="AM385" i="1"/>
  <c r="AM386" i="1"/>
  <c r="AM387" i="1"/>
  <c r="AM388" i="1"/>
  <c r="AM389" i="1"/>
  <c r="AM390" i="1"/>
  <c r="AM391" i="1"/>
  <c r="AM392" i="1"/>
  <c r="AM393" i="1"/>
  <c r="AM394" i="1"/>
  <c r="AM395" i="1"/>
  <c r="AM396" i="1"/>
  <c r="AM397" i="1"/>
  <c r="AM398" i="1"/>
  <c r="AM399" i="1"/>
  <c r="AM400" i="1"/>
  <c r="AM401" i="1"/>
  <c r="AM402" i="1"/>
  <c r="AM403" i="1"/>
  <c r="AM404" i="1"/>
  <c r="AM405" i="1"/>
  <c r="AM406" i="1"/>
  <c r="AM407" i="1"/>
  <c r="AM408" i="1"/>
  <c r="AM409" i="1"/>
  <c r="AM410" i="1"/>
  <c r="AM411" i="1"/>
  <c r="AM412" i="1"/>
  <c r="AM413" i="1"/>
  <c r="AM414" i="1"/>
  <c r="AM415" i="1"/>
  <c r="AM416" i="1"/>
  <c r="AM417" i="1"/>
  <c r="AM418" i="1"/>
  <c r="AM419" i="1"/>
  <c r="AM420" i="1"/>
  <c r="AM421" i="1"/>
  <c r="AM422" i="1"/>
  <c r="AM423" i="1"/>
  <c r="AM424" i="1"/>
  <c r="AM425" i="1"/>
  <c r="AM426" i="1"/>
  <c r="AM427" i="1"/>
  <c r="AM428" i="1"/>
  <c r="AM429" i="1"/>
  <c r="AM430" i="1"/>
  <c r="AM431" i="1"/>
  <c r="AM432" i="1"/>
  <c r="AM433" i="1"/>
  <c r="AM434" i="1"/>
  <c r="AM435" i="1"/>
  <c r="AM436" i="1"/>
  <c r="AM437" i="1"/>
  <c r="AM438" i="1"/>
  <c r="AM439" i="1"/>
  <c r="AM440" i="1"/>
  <c r="AM441" i="1"/>
  <c r="AM442" i="1"/>
  <c r="AM443" i="1"/>
  <c r="AM444" i="1"/>
  <c r="AM445" i="1"/>
  <c r="AM446" i="1"/>
  <c r="AM447" i="1"/>
  <c r="AM448" i="1"/>
  <c r="AM449" i="1"/>
  <c r="AM450" i="1"/>
  <c r="AM451" i="1"/>
  <c r="AM452" i="1"/>
  <c r="AM453" i="1"/>
  <c r="AM454" i="1"/>
  <c r="AM455" i="1"/>
  <c r="AM456" i="1"/>
  <c r="AM457" i="1"/>
  <c r="AM458" i="1"/>
  <c r="AM459" i="1"/>
  <c r="AM460" i="1"/>
  <c r="AM461" i="1"/>
  <c r="AM462" i="1"/>
  <c r="AM463" i="1"/>
  <c r="AM464" i="1"/>
  <c r="AM465" i="1"/>
  <c r="AM466" i="1"/>
  <c r="AM467" i="1"/>
  <c r="AM468" i="1"/>
  <c r="AM469" i="1"/>
  <c r="AM470" i="1"/>
  <c r="AM471" i="1"/>
  <c r="AM472" i="1"/>
  <c r="AM473" i="1"/>
  <c r="AM474" i="1"/>
  <c r="AM475" i="1"/>
  <c r="AM476" i="1"/>
  <c r="AM477" i="1"/>
  <c r="AM478" i="1"/>
  <c r="AM479" i="1"/>
  <c r="AM480" i="1"/>
  <c r="AM481" i="1"/>
  <c r="AM482" i="1"/>
  <c r="AM483" i="1"/>
  <c r="AM484" i="1"/>
  <c r="AM485" i="1"/>
  <c r="AM486" i="1"/>
  <c r="AM487" i="1"/>
  <c r="AM488" i="1"/>
  <c r="AM489" i="1"/>
  <c r="AM490" i="1"/>
  <c r="AM491" i="1"/>
  <c r="AM492" i="1"/>
  <c r="AM493" i="1"/>
  <c r="AM494" i="1"/>
  <c r="AM495" i="1"/>
  <c r="AM496" i="1"/>
  <c r="AM497" i="1"/>
  <c r="AM498" i="1"/>
  <c r="AM499" i="1"/>
  <c r="AM500" i="1"/>
  <c r="AM501" i="1"/>
  <c r="AM502" i="1"/>
  <c r="AM503" i="1"/>
  <c r="AM504" i="1"/>
  <c r="AM505" i="1"/>
  <c r="AM506" i="1"/>
  <c r="AM507" i="1"/>
  <c r="AM508" i="1"/>
  <c r="AM509" i="1"/>
  <c r="AM510" i="1"/>
  <c r="AM511" i="1"/>
  <c r="AM512" i="1"/>
  <c r="AM513" i="1"/>
  <c r="AM514" i="1"/>
  <c r="AM515" i="1"/>
  <c r="AM516" i="1"/>
  <c r="AM517" i="1"/>
  <c r="AM518" i="1"/>
  <c r="AM519" i="1"/>
  <c r="AM520" i="1"/>
  <c r="AM521" i="1"/>
  <c r="AM522" i="1"/>
  <c r="AM523" i="1"/>
  <c r="AM524" i="1"/>
  <c r="AM525" i="1"/>
  <c r="AM526" i="1"/>
  <c r="AM527" i="1"/>
  <c r="AM528" i="1"/>
  <c r="AM529" i="1"/>
  <c r="AM530" i="1"/>
  <c r="AM531" i="1"/>
  <c r="AM532" i="1"/>
  <c r="AM533" i="1"/>
  <c r="AM534" i="1"/>
  <c r="AM535" i="1"/>
  <c r="AM536" i="1"/>
  <c r="AM537" i="1"/>
  <c r="AM538" i="1"/>
  <c r="AM539" i="1"/>
  <c r="AM540" i="1"/>
  <c r="AM541" i="1"/>
  <c r="AM542" i="1"/>
  <c r="AM543" i="1"/>
  <c r="AM544" i="1"/>
  <c r="AM545" i="1"/>
  <c r="AM546" i="1"/>
  <c r="AM547" i="1"/>
  <c r="AM548" i="1"/>
  <c r="AM549" i="1"/>
  <c r="AM550" i="1"/>
  <c r="AM551" i="1"/>
  <c r="AM552" i="1"/>
  <c r="AM553" i="1"/>
  <c r="AM554" i="1"/>
  <c r="AM555" i="1"/>
  <c r="AM556" i="1"/>
  <c r="AM557" i="1"/>
  <c r="AM558" i="1"/>
  <c r="AM559" i="1"/>
  <c r="AM560" i="1"/>
  <c r="AM561" i="1"/>
  <c r="AM562" i="1"/>
  <c r="AM563" i="1"/>
  <c r="AM564" i="1"/>
  <c r="AM565" i="1"/>
  <c r="AM566" i="1"/>
  <c r="AM567" i="1"/>
  <c r="AM568" i="1"/>
  <c r="AM569" i="1"/>
  <c r="AM570" i="1"/>
  <c r="AM571" i="1"/>
  <c r="AM572" i="1"/>
  <c r="AM573" i="1"/>
  <c r="AM574" i="1"/>
  <c r="AM575" i="1"/>
  <c r="AM576" i="1"/>
  <c r="AM577" i="1"/>
  <c r="AM578" i="1"/>
  <c r="AM579" i="1"/>
  <c r="AM580" i="1"/>
  <c r="AM581" i="1"/>
  <c r="AM582" i="1"/>
  <c r="AM583" i="1"/>
  <c r="AM584" i="1"/>
  <c r="AM585" i="1"/>
  <c r="AM586" i="1"/>
  <c r="AM587" i="1"/>
  <c r="AM588" i="1"/>
  <c r="AM589" i="1"/>
  <c r="AM590" i="1"/>
  <c r="AM591" i="1"/>
  <c r="AM592" i="1"/>
  <c r="AM593" i="1"/>
  <c r="AM594" i="1"/>
  <c r="AM595" i="1"/>
  <c r="AM596" i="1"/>
  <c r="AM597" i="1"/>
  <c r="AM598" i="1"/>
  <c r="AM599" i="1"/>
  <c r="AM600" i="1"/>
  <c r="AM601" i="1"/>
  <c r="AM602" i="1"/>
  <c r="AM603" i="1"/>
  <c r="AM604" i="1"/>
  <c r="AM605" i="1"/>
  <c r="AM606" i="1"/>
  <c r="AM607" i="1"/>
  <c r="AM608" i="1"/>
  <c r="AM609" i="1"/>
  <c r="AM610" i="1"/>
  <c r="AM611" i="1"/>
  <c r="AM612" i="1"/>
  <c r="AM613" i="1"/>
  <c r="AM614" i="1"/>
  <c r="AM615" i="1"/>
  <c r="AM616" i="1"/>
  <c r="AM617" i="1"/>
  <c r="AM618" i="1"/>
  <c r="AM619" i="1"/>
  <c r="AM620" i="1"/>
  <c r="AM621" i="1"/>
  <c r="AM622" i="1"/>
  <c r="AM623" i="1"/>
  <c r="AM624" i="1"/>
  <c r="AM625" i="1"/>
  <c r="AM626" i="1"/>
  <c r="AM627" i="1"/>
  <c r="AM628" i="1"/>
  <c r="AM629" i="1"/>
  <c r="AM630" i="1"/>
  <c r="AM631" i="1"/>
  <c r="AM632" i="1"/>
  <c r="AM633" i="1"/>
  <c r="AM634" i="1"/>
  <c r="AM635" i="1"/>
  <c r="AM636" i="1"/>
  <c r="AM637" i="1"/>
  <c r="AM638" i="1"/>
  <c r="AM639" i="1"/>
  <c r="AM640" i="1"/>
  <c r="AM641" i="1"/>
  <c r="AM642" i="1"/>
  <c r="AM643" i="1"/>
  <c r="AM644" i="1"/>
  <c r="AM645" i="1"/>
  <c r="AM646" i="1"/>
  <c r="AM647" i="1"/>
  <c r="AM648" i="1"/>
  <c r="AM649" i="1"/>
  <c r="AM650" i="1"/>
  <c r="AM651" i="1"/>
  <c r="AM652" i="1"/>
  <c r="AM653" i="1"/>
  <c r="AM654" i="1"/>
  <c r="AM655" i="1"/>
  <c r="AM656" i="1"/>
  <c r="AM657" i="1"/>
  <c r="AM658" i="1"/>
  <c r="AM659" i="1"/>
  <c r="AM660" i="1"/>
  <c r="AM661" i="1"/>
  <c r="AM662" i="1"/>
  <c r="AM663" i="1"/>
  <c r="AM664" i="1"/>
  <c r="AM665" i="1"/>
  <c r="AM666" i="1"/>
  <c r="AM667" i="1"/>
  <c r="AM668" i="1"/>
  <c r="AM669" i="1"/>
  <c r="AM670" i="1"/>
  <c r="AM671" i="1"/>
  <c r="AM672" i="1"/>
  <c r="AM673" i="1"/>
  <c r="AM674" i="1"/>
  <c r="AM675" i="1"/>
  <c r="AM676" i="1"/>
  <c r="AM677" i="1"/>
  <c r="AM678" i="1"/>
  <c r="AM679" i="1"/>
  <c r="AM680" i="1"/>
  <c r="AM681" i="1"/>
  <c r="AM682" i="1"/>
  <c r="AM683" i="1"/>
  <c r="AM684" i="1"/>
  <c r="AM685" i="1"/>
  <c r="AM686" i="1"/>
  <c r="AM687" i="1"/>
  <c r="AM688" i="1"/>
  <c r="AM689" i="1"/>
  <c r="AM690" i="1"/>
  <c r="AM691" i="1"/>
  <c r="AM692" i="1"/>
  <c r="AM693" i="1"/>
  <c r="AM694" i="1"/>
  <c r="AM695" i="1"/>
  <c r="AM696" i="1"/>
  <c r="AM697" i="1"/>
  <c r="AM698" i="1"/>
  <c r="AM699" i="1"/>
  <c r="AM700" i="1"/>
  <c r="AM701" i="1"/>
  <c r="AM702" i="1"/>
  <c r="AM703" i="1"/>
  <c r="AM704" i="1"/>
  <c r="AM705" i="1"/>
  <c r="AM706" i="1"/>
  <c r="AM707" i="1"/>
  <c r="AM708" i="1"/>
  <c r="AM709" i="1"/>
  <c r="AM710" i="1"/>
  <c r="AM711" i="1"/>
  <c r="AM712" i="1"/>
  <c r="AM713" i="1"/>
  <c r="AM714" i="1"/>
  <c r="AM715" i="1"/>
  <c r="AM716" i="1"/>
  <c r="AM717" i="1"/>
  <c r="AM718" i="1"/>
  <c r="AM719" i="1"/>
  <c r="AM720" i="1"/>
  <c r="AM721" i="1"/>
  <c r="AM722" i="1"/>
  <c r="AM723" i="1"/>
  <c r="AM724" i="1"/>
  <c r="AM725" i="1"/>
  <c r="AM726" i="1"/>
  <c r="AM727" i="1"/>
  <c r="AM728" i="1"/>
  <c r="AM729" i="1"/>
  <c r="AM730" i="1"/>
  <c r="AM731" i="1"/>
  <c r="AM732" i="1"/>
  <c r="AM733" i="1"/>
  <c r="AM734" i="1"/>
  <c r="AM735" i="1"/>
  <c r="AM736" i="1"/>
  <c r="AM737" i="1"/>
  <c r="AM738" i="1"/>
  <c r="AM739" i="1"/>
  <c r="AM740" i="1"/>
  <c r="AM741" i="1"/>
  <c r="AM742" i="1"/>
  <c r="AM743" i="1"/>
  <c r="AM744" i="1"/>
  <c r="AM745" i="1"/>
  <c r="AM746" i="1"/>
  <c r="AM747" i="1"/>
  <c r="AM748" i="1"/>
  <c r="AM749" i="1"/>
  <c r="AM750" i="1"/>
  <c r="AM751" i="1"/>
  <c r="AM752" i="1"/>
  <c r="AM753" i="1"/>
  <c r="AM754" i="1"/>
  <c r="AM755" i="1"/>
  <c r="AM756" i="1"/>
  <c r="AM757" i="1"/>
  <c r="AM758" i="1"/>
  <c r="AM759" i="1"/>
  <c r="AM760" i="1"/>
  <c r="AM761" i="1"/>
  <c r="AM762" i="1"/>
  <c r="AM763" i="1"/>
  <c r="AM764" i="1"/>
  <c r="AM765" i="1"/>
  <c r="AM766" i="1"/>
  <c r="AM767" i="1"/>
  <c r="AM768" i="1"/>
  <c r="AM769" i="1"/>
  <c r="AM770" i="1"/>
  <c r="AM771" i="1"/>
  <c r="AM772" i="1"/>
  <c r="AM773" i="1"/>
  <c r="AM774" i="1"/>
  <c r="AM775" i="1"/>
  <c r="AM776" i="1"/>
  <c r="AM777" i="1"/>
  <c r="AM778" i="1"/>
  <c r="AM779" i="1"/>
  <c r="AM780" i="1"/>
  <c r="AM781" i="1"/>
  <c r="AM782" i="1"/>
  <c r="AM783" i="1"/>
  <c r="AM784" i="1"/>
  <c r="AM785" i="1"/>
  <c r="AM786" i="1"/>
  <c r="AM787" i="1"/>
  <c r="AM788" i="1"/>
  <c r="AM789" i="1"/>
  <c r="AM790" i="1"/>
  <c r="AM791" i="1"/>
  <c r="AM792" i="1"/>
  <c r="AM793" i="1"/>
  <c r="AM794" i="1"/>
  <c r="AM795" i="1"/>
  <c r="AM796" i="1"/>
  <c r="AM797" i="1"/>
  <c r="AM798" i="1"/>
  <c r="AM799" i="1"/>
  <c r="AM800" i="1"/>
  <c r="AM801" i="1"/>
  <c r="AM802" i="1"/>
  <c r="AM803" i="1"/>
  <c r="AM804" i="1"/>
  <c r="AM805" i="1"/>
  <c r="AM806" i="1"/>
  <c r="AM807" i="1"/>
  <c r="AM808" i="1"/>
  <c r="AM809" i="1"/>
  <c r="AM810" i="1"/>
  <c r="AM811" i="1"/>
  <c r="AM812" i="1"/>
  <c r="AM813" i="1"/>
  <c r="AM814" i="1"/>
  <c r="AM815" i="1"/>
  <c r="AM816" i="1"/>
  <c r="AM817" i="1"/>
  <c r="AM818" i="1"/>
  <c r="AM819" i="1"/>
  <c r="AM820" i="1"/>
  <c r="AM821" i="1"/>
  <c r="AM822" i="1"/>
  <c r="AM823" i="1"/>
  <c r="AM824" i="1"/>
  <c r="AM825" i="1"/>
  <c r="AM826" i="1"/>
  <c r="AM827" i="1"/>
  <c r="AM828" i="1"/>
  <c r="AM829" i="1"/>
  <c r="AM830" i="1"/>
  <c r="AM831" i="1"/>
  <c r="AM832" i="1"/>
  <c r="AM833" i="1"/>
  <c r="AM834" i="1"/>
  <c r="AM835" i="1"/>
  <c r="AM836" i="1"/>
  <c r="AM837" i="1"/>
  <c r="AM838" i="1"/>
  <c r="AM839" i="1"/>
  <c r="AM840" i="1"/>
  <c r="AM841" i="1"/>
  <c r="AM842" i="1"/>
  <c r="AM843" i="1"/>
  <c r="AM844" i="1"/>
  <c r="AM845" i="1"/>
  <c r="AM846" i="1"/>
  <c r="AM847" i="1"/>
  <c r="AM848" i="1"/>
  <c r="AM849" i="1"/>
  <c r="AM850" i="1"/>
  <c r="AM851" i="1"/>
  <c r="AM852" i="1"/>
  <c r="AM853" i="1"/>
  <c r="AM854" i="1"/>
  <c r="AM855" i="1"/>
  <c r="AM856" i="1"/>
  <c r="AM857" i="1"/>
  <c r="AM858" i="1"/>
  <c r="AM859" i="1"/>
  <c r="AM860" i="1"/>
  <c r="AM861" i="1"/>
  <c r="AM862" i="1"/>
  <c r="AM863" i="1"/>
  <c r="AM864" i="1"/>
  <c r="AM865" i="1"/>
  <c r="AM866" i="1"/>
  <c r="AM867" i="1"/>
  <c r="AM868" i="1"/>
  <c r="AM869" i="1"/>
  <c r="AM870" i="1"/>
  <c r="AM871" i="1"/>
  <c r="AM872" i="1"/>
  <c r="AM873" i="1"/>
  <c r="AM874" i="1"/>
  <c r="AM875" i="1"/>
  <c r="AM876" i="1"/>
  <c r="AM877" i="1"/>
  <c r="AM878" i="1"/>
  <c r="AM879" i="1"/>
  <c r="AM880" i="1"/>
  <c r="AM881" i="1"/>
  <c r="AM882" i="1"/>
  <c r="AM883" i="1"/>
  <c r="AM884" i="1"/>
  <c r="AM885" i="1"/>
  <c r="AM886" i="1"/>
  <c r="AM887" i="1"/>
  <c r="AM888" i="1"/>
  <c r="AM889" i="1"/>
  <c r="AM890" i="1"/>
  <c r="AM891" i="1"/>
  <c r="AM892" i="1"/>
  <c r="AM893" i="1"/>
  <c r="AM894" i="1"/>
  <c r="AM895" i="1"/>
  <c r="AM896" i="1"/>
  <c r="AM897" i="1"/>
  <c r="AM898" i="1"/>
  <c r="AM899" i="1"/>
  <c r="AM900" i="1"/>
  <c r="AM901" i="1"/>
  <c r="AM902" i="1"/>
  <c r="AM903" i="1"/>
  <c r="AM904" i="1"/>
  <c r="AM905" i="1"/>
  <c r="AM906" i="1"/>
  <c r="AM907" i="1"/>
  <c r="AM908" i="1"/>
  <c r="AM909" i="1"/>
  <c r="AM910" i="1"/>
  <c r="AM911" i="1"/>
  <c r="AM912" i="1"/>
  <c r="AM913" i="1"/>
  <c r="AM914" i="1"/>
  <c r="AM915" i="1"/>
  <c r="AM916" i="1"/>
  <c r="AM917" i="1"/>
  <c r="AM918" i="1"/>
  <c r="AM919" i="1"/>
  <c r="AM920" i="1"/>
  <c r="AM921" i="1"/>
  <c r="AM922" i="1"/>
  <c r="AM923" i="1"/>
  <c r="AM924" i="1"/>
  <c r="AM925" i="1"/>
  <c r="AM926" i="1"/>
  <c r="AM927" i="1"/>
  <c r="AM928" i="1"/>
  <c r="AM929" i="1"/>
  <c r="AM930" i="1"/>
  <c r="AM931" i="1"/>
  <c r="AM932" i="1"/>
  <c r="AM933" i="1"/>
  <c r="AM934" i="1"/>
  <c r="AM935" i="1"/>
  <c r="AM936" i="1"/>
  <c r="AM937" i="1"/>
  <c r="AM938" i="1"/>
  <c r="AM939" i="1"/>
  <c r="AM940" i="1"/>
  <c r="AM941" i="1"/>
  <c r="AM942" i="1"/>
  <c r="AM943" i="1"/>
  <c r="AM944" i="1"/>
  <c r="AM945" i="1"/>
  <c r="AM946" i="1"/>
  <c r="AM947" i="1"/>
  <c r="AM948" i="1"/>
  <c r="AM949" i="1"/>
  <c r="AM950" i="1"/>
  <c r="AM951" i="1"/>
  <c r="AM952" i="1"/>
  <c r="AM953" i="1"/>
  <c r="AM954" i="1"/>
  <c r="AM955" i="1"/>
  <c r="AM956" i="1"/>
  <c r="AM957" i="1"/>
  <c r="AM958" i="1"/>
  <c r="AM959" i="1"/>
  <c r="AM960" i="1"/>
  <c r="AM961" i="1"/>
  <c r="AM962" i="1"/>
  <c r="AM963" i="1"/>
  <c r="AM964" i="1"/>
  <c r="AM965" i="1"/>
  <c r="AM966" i="1"/>
  <c r="AM967" i="1"/>
  <c r="AM968" i="1"/>
  <c r="AM969" i="1"/>
  <c r="AM970" i="1"/>
  <c r="AM971" i="1"/>
  <c r="AM972" i="1"/>
  <c r="AM973" i="1"/>
  <c r="AM974" i="1"/>
  <c r="AM975" i="1"/>
  <c r="AM976" i="1"/>
  <c r="AM977" i="1"/>
  <c r="AM978" i="1"/>
  <c r="AM979" i="1"/>
  <c r="AM980" i="1"/>
  <c r="AM981" i="1"/>
  <c r="AM982" i="1"/>
  <c r="AM983" i="1"/>
  <c r="AM984" i="1"/>
  <c r="AM985" i="1"/>
  <c r="AM986" i="1"/>
  <c r="AM987" i="1"/>
  <c r="AM988" i="1"/>
  <c r="AM989" i="1"/>
  <c r="AM990" i="1"/>
  <c r="AM991" i="1"/>
  <c r="AM992" i="1"/>
  <c r="AM993" i="1"/>
  <c r="AM994" i="1"/>
  <c r="AM995" i="1"/>
  <c r="AM996" i="1"/>
  <c r="AM997" i="1"/>
  <c r="AM998" i="1"/>
  <c r="AM999" i="1"/>
  <c r="AM1000" i="1"/>
  <c r="AM1001" i="1"/>
  <c r="AM1002" i="1"/>
  <c r="AM1003" i="1"/>
  <c r="AM1004" i="1"/>
  <c r="AM1005" i="1"/>
  <c r="AM1006" i="1"/>
  <c r="AM1007" i="1"/>
  <c r="AM1008" i="1"/>
  <c r="AM1009" i="1"/>
  <c r="AM1010" i="1"/>
  <c r="AM1011" i="1"/>
  <c r="AM1012" i="1"/>
  <c r="AM1013" i="1"/>
  <c r="AM1014" i="1"/>
  <c r="AM1015" i="1"/>
  <c r="AM1016" i="1"/>
  <c r="AM1017" i="1"/>
  <c r="AM1018" i="1"/>
  <c r="AM1019" i="1"/>
  <c r="AM1020" i="1"/>
  <c r="AM1021" i="1"/>
  <c r="AM1022" i="1"/>
  <c r="AM1023" i="1"/>
  <c r="AM1024" i="1"/>
  <c r="AM1025" i="1"/>
  <c r="AM1026" i="1"/>
  <c r="AM1027" i="1"/>
  <c r="AM1028" i="1"/>
  <c r="AM1029" i="1"/>
  <c r="AM1030" i="1"/>
  <c r="AM1031" i="1"/>
  <c r="AM1032" i="1"/>
  <c r="AM1033" i="1"/>
  <c r="AM1034" i="1"/>
  <c r="AM1035" i="1"/>
  <c r="AM1036" i="1"/>
  <c r="AM1037" i="1"/>
  <c r="AM1038" i="1"/>
  <c r="AM1039" i="1"/>
  <c r="AM1040" i="1"/>
  <c r="AM1041" i="1"/>
  <c r="AM1042" i="1"/>
  <c r="AM1043" i="1"/>
  <c r="AM1044" i="1"/>
  <c r="AM1045" i="1"/>
  <c r="AM1046" i="1"/>
  <c r="AM1047" i="1"/>
  <c r="AM1048" i="1"/>
  <c r="AM1049" i="1"/>
  <c r="AM1050" i="1"/>
  <c r="AM1051" i="1"/>
  <c r="AM1052" i="1"/>
  <c r="AM1053" i="1"/>
  <c r="AM1054" i="1"/>
  <c r="AM1055" i="1"/>
  <c r="AM1056" i="1"/>
  <c r="AM1057" i="1"/>
  <c r="AM1058" i="1"/>
  <c r="AM1059" i="1"/>
  <c r="AM1060" i="1"/>
  <c r="AM1061" i="1"/>
  <c r="AM1062" i="1"/>
  <c r="AM1063" i="1"/>
  <c r="AM1064" i="1"/>
  <c r="AM1065" i="1"/>
  <c r="AM1066" i="1"/>
  <c r="AM1067" i="1"/>
  <c r="AM1068" i="1"/>
  <c r="AM1069" i="1"/>
  <c r="AM1070" i="1"/>
  <c r="AM1071" i="1"/>
  <c r="AM1072" i="1"/>
  <c r="AM1073" i="1"/>
  <c r="AM1074" i="1"/>
  <c r="AM1075" i="1"/>
  <c r="AM1076" i="1"/>
  <c r="AM1077" i="1"/>
  <c r="AM1078" i="1"/>
  <c r="AM1079" i="1"/>
  <c r="AM1080" i="1"/>
  <c r="AM1081" i="1"/>
  <c r="AM1082" i="1"/>
  <c r="AM1083" i="1"/>
  <c r="AM1084" i="1"/>
  <c r="AM1085" i="1"/>
  <c r="AM1086" i="1"/>
  <c r="AM1087" i="1"/>
  <c r="AM1088" i="1"/>
  <c r="AM1089" i="1"/>
  <c r="AM1090" i="1"/>
  <c r="AM1091" i="1"/>
  <c r="AM1092" i="1"/>
  <c r="AN12" i="3" l="1"/>
  <c r="AM12" i="3"/>
  <c r="AO11" i="3"/>
  <c r="AN11" i="3"/>
  <c r="AM11" i="3"/>
  <c r="AN10" i="3"/>
  <c r="AM10" i="3"/>
  <c r="AN9" i="3"/>
  <c r="AM9" i="3"/>
  <c r="AN8" i="3"/>
  <c r="AM8" i="3"/>
  <c r="AO7" i="3"/>
  <c r="AO8" i="3" s="1"/>
  <c r="AN7" i="3"/>
  <c r="AM7" i="3"/>
  <c r="AM6" i="3"/>
  <c r="AM5" i="3"/>
  <c r="AM4" i="3"/>
  <c r="AO3" i="3"/>
  <c r="AM3" i="3"/>
  <c r="AO2" i="3"/>
  <c r="AN2" i="3"/>
  <c r="AN3" i="3" s="1"/>
  <c r="AM2" i="3"/>
  <c r="AN12" i="4"/>
  <c r="AO11" i="4"/>
  <c r="AN11" i="4"/>
  <c r="AM12" i="4"/>
  <c r="AM11" i="4"/>
  <c r="AO2" i="4"/>
  <c r="AN3" i="4"/>
  <c r="AN2" i="4"/>
  <c r="AN9" i="4"/>
  <c r="AN10" i="4"/>
  <c r="AM10" i="4"/>
  <c r="AM9" i="4"/>
  <c r="AO8" i="4" l="1"/>
  <c r="AN8" i="4"/>
  <c r="AM8" i="4"/>
  <c r="AO7" i="4"/>
  <c r="AN7" i="4"/>
  <c r="AM7" i="4"/>
  <c r="AO3" i="4"/>
  <c r="AM3" i="4"/>
  <c r="AM6" i="4"/>
  <c r="AM5" i="4"/>
  <c r="AM4" i="4"/>
  <c r="AM2" i="4"/>
</calcChain>
</file>

<file path=xl/sharedStrings.xml><?xml version="1.0" encoding="utf-8"?>
<sst xmlns="http://schemas.openxmlformats.org/spreadsheetml/2006/main" count="12859" uniqueCount="2842">
  <si>
    <t>recordType</t>
  </si>
  <si>
    <t>version</t>
  </si>
  <si>
    <t>filePos</t>
  </si>
  <si>
    <t>elementID</t>
  </si>
  <si>
    <t>bvo</t>
  </si>
  <si>
    <t>source</t>
  </si>
  <si>
    <t>breaker</t>
  </si>
  <si>
    <t>tile</t>
  </si>
  <si>
    <t>floor</t>
  </si>
  <si>
    <t>startX</t>
  </si>
  <si>
    <t>startY</t>
  </si>
  <si>
    <t>endX</t>
  </si>
  <si>
    <t>endY</t>
  </si>
  <si>
    <t>assumed</t>
  </si>
  <si>
    <t>cableNo</t>
  </si>
  <si>
    <t>cParallel</t>
  </si>
  <si>
    <t>cicDate</t>
  </si>
  <si>
    <t>cicRef</t>
  </si>
  <si>
    <t>inDate</t>
  </si>
  <si>
    <t>dVolt</t>
  </si>
  <si>
    <t>oVolt</t>
  </si>
  <si>
    <t>owner</t>
  </si>
  <si>
    <t>rClass</t>
  </si>
  <si>
    <t>submarine</t>
  </si>
  <si>
    <t>tCore</t>
  </si>
  <si>
    <t>material</t>
  </si>
  <si>
    <t>armour</t>
  </si>
  <si>
    <t>AofCRef</t>
  </si>
  <si>
    <t>length</t>
  </si>
  <si>
    <t>mcRef</t>
  </si>
  <si>
    <t>glcIn</t>
  </si>
  <si>
    <t>glcOut</t>
  </si>
  <si>
    <t>enmac</t>
  </si>
  <si>
    <t>outDate</t>
  </si>
  <si>
    <t>fullyDucted</t>
  </si>
  <si>
    <t>gisId</t>
  </si>
  <si>
    <t>topoId</t>
  </si>
  <si>
    <t>hydrogel</t>
  </si>
  <si>
    <t>0001</t>
  </si>
  <si>
    <t>SP0482</t>
  </si>
  <si>
    <t>N</t>
  </si>
  <si>
    <t>SP0581</t>
  </si>
  <si>
    <t>SP0481</t>
  </si>
  <si>
    <t>SP0580</t>
  </si>
  <si>
    <t>0002</t>
  </si>
  <si>
    <t>SP0579</t>
  </si>
  <si>
    <t>4115-FAULT</t>
  </si>
  <si>
    <t>0003</t>
  </si>
  <si>
    <t>SP0682</t>
  </si>
  <si>
    <t>4115-36090-201225</t>
  </si>
  <si>
    <t>SP0782</t>
  </si>
  <si>
    <t>SP0781</t>
  </si>
  <si>
    <t>SP0783</t>
  </si>
  <si>
    <t>SP0681</t>
  </si>
  <si>
    <t>SP0582</t>
  </si>
  <si>
    <t>9999-19206-201150</t>
  </si>
  <si>
    <t>9999-10014-201150</t>
  </si>
  <si>
    <t>0004</t>
  </si>
  <si>
    <t>SP0480</t>
  </si>
  <si>
    <t>0005</t>
  </si>
  <si>
    <t>0006</t>
  </si>
  <si>
    <t>SP0680</t>
  </si>
  <si>
    <t>0008</t>
  </si>
  <si>
    <t>SP0380</t>
  </si>
  <si>
    <t>9999-12743-201150</t>
  </si>
  <si>
    <t>SP0381</t>
  </si>
  <si>
    <t>0009</t>
  </si>
  <si>
    <t>SP0684</t>
  </si>
  <si>
    <t>SP0583</t>
  </si>
  <si>
    <t>SP0685</t>
  </si>
  <si>
    <t>9999-15971-201150</t>
  </si>
  <si>
    <t>SP0683</t>
  </si>
  <si>
    <t>9999-18204-201150</t>
  </si>
  <si>
    <t>9999-03520-201150</t>
  </si>
  <si>
    <t>9999-15944-201150</t>
  </si>
  <si>
    <t>9999-07050-201150</t>
  </si>
  <si>
    <t>0012</t>
  </si>
  <si>
    <t>9999-15007-201150</t>
  </si>
  <si>
    <t>9999-17142-201150</t>
  </si>
  <si>
    <t>0013</t>
  </si>
  <si>
    <t>0014</t>
  </si>
  <si>
    <t>Y</t>
  </si>
  <si>
    <t>0015</t>
  </si>
  <si>
    <t>SP0479</t>
  </si>
  <si>
    <t>4115-56944-201221</t>
  </si>
  <si>
    <t>0018</t>
  </si>
  <si>
    <t>0019</t>
  </si>
  <si>
    <t>SP0780</t>
  </si>
  <si>
    <t>0020</t>
  </si>
  <si>
    <t>SP0882</t>
  </si>
  <si>
    <t>9999-12662-201150</t>
  </si>
  <si>
    <t>0021</t>
  </si>
  <si>
    <t>0022</t>
  </si>
  <si>
    <t>SP0179</t>
  </si>
  <si>
    <t>SP0279</t>
  </si>
  <si>
    <t>SP0180</t>
  </si>
  <si>
    <t>SP0280</t>
  </si>
  <si>
    <t>0023</t>
  </si>
  <si>
    <t>0024</t>
  </si>
  <si>
    <t>SP0578</t>
  </si>
  <si>
    <t>4115-61084-201233</t>
  </si>
  <si>
    <t>9999-12633-201150</t>
  </si>
  <si>
    <t>0025</t>
  </si>
  <si>
    <t>9999-19246-201150</t>
  </si>
  <si>
    <t>9999-05700-201150</t>
  </si>
  <si>
    <t>0026</t>
  </si>
  <si>
    <t>SP0784</t>
  </si>
  <si>
    <t>SP0785</t>
  </si>
  <si>
    <t>9999-12656-201150</t>
  </si>
  <si>
    <t>0027</t>
  </si>
  <si>
    <t>0028</t>
  </si>
  <si>
    <t>SP0679</t>
  </si>
  <si>
    <t>1434-MAP COR</t>
  </si>
  <si>
    <t>0029</t>
  </si>
  <si>
    <t>9999-05227-201150</t>
  </si>
  <si>
    <t>0030</t>
  </si>
  <si>
    <t>0031</t>
  </si>
  <si>
    <t>SP0181</t>
  </si>
  <si>
    <t>9999-19965-201150</t>
  </si>
  <si>
    <t>9999-19940-201150</t>
  </si>
  <si>
    <t>0032</t>
  </si>
  <si>
    <t>T1</t>
  </si>
  <si>
    <t>T2</t>
  </si>
  <si>
    <t>T3</t>
  </si>
  <si>
    <t>T4</t>
  </si>
  <si>
    <t>START CO</t>
  </si>
  <si>
    <t>FINISH CO</t>
  </si>
  <si>
    <t>RADDLEBARN FARM DR.</t>
  </si>
  <si>
    <t>SPARREY DR.</t>
  </si>
  <si>
    <t>ITNET LABURNUM RD.</t>
  </si>
  <si>
    <t>RADDLEBARN RD.</t>
  </si>
  <si>
    <t>ELLIOTT RD.</t>
  </si>
  <si>
    <t>405126.9,280994.32</t>
  </si>
  <si>
    <t>405011.42,281677.98</t>
  </si>
  <si>
    <t>405011.71,281677.63</t>
  </si>
  <si>
    <t>405011.86,281678.07</t>
  </si>
  <si>
    <t>405082.25,281455.88</t>
  </si>
  <si>
    <t>404846.86,282000</t>
  </si>
  <si>
    <t>404880.24,282000</t>
  </si>
  <si>
    <t>joint241</t>
  </si>
  <si>
    <t>joint441</t>
  </si>
  <si>
    <t>405011.422,281677.983</t>
  </si>
  <si>
    <t>405011.709,281677.628</t>
  </si>
  <si>
    <t>405011.86,281678.067</t>
  </si>
  <si>
    <t>405082.245,281455.876</t>
  </si>
  <si>
    <t>405082.704,281455.089</t>
  </si>
  <si>
    <t>405082.854,281455.765</t>
  </si>
  <si>
    <t>404853.717,281420.821</t>
  </si>
  <si>
    <t>404853.963,281421.6</t>
  </si>
  <si>
    <t>404853.167,281421.29</t>
  </si>
  <si>
    <t>404853.195,281420.745</t>
  </si>
  <si>
    <t>404853.41,281421.743</t>
  </si>
  <si>
    <t>404782.494,282026.189</t>
  </si>
  <si>
    <t>404782.968,282026.409</t>
  </si>
  <si>
    <t>404782.325,282026.849</t>
  </si>
  <si>
    <t>404434.241,282357.951</t>
  </si>
  <si>
    <t>404433.446,282357.549</t>
  </si>
  <si>
    <t>405585.135,279536.494</t>
  </si>
  <si>
    <t>405585.247,279535.977</t>
  </si>
  <si>
    <t>405585.776,279536.304</t>
  </si>
  <si>
    <t>405449.123,279926.378</t>
  </si>
  <si>
    <t>405449.775,279926.842</t>
  </si>
  <si>
    <t>405448.993,279927.095</t>
  </si>
  <si>
    <t>405487.431,279448.329</t>
  </si>
  <si>
    <t>405486.907,279448.042</t>
  </si>
  <si>
    <t>405487.445,279447.545</t>
  </si>
  <si>
    <t>405633.649,279844</t>
  </si>
  <si>
    <t>405634.029,279844.376</t>
  </si>
  <si>
    <t>405633.269,279844.244</t>
  </si>
  <si>
    <t>405516.591,279827.765</t>
  </si>
  <si>
    <t>405517.533,279828.987</t>
  </si>
  <si>
    <t>405622.788,279797.032</t>
  </si>
  <si>
    <t>405622.473,279796.644</t>
  </si>
  <si>
    <t>405623.075,279796.462</t>
  </si>
  <si>
    <t>405488.305,280147.785</t>
  </si>
  <si>
    <t>405485.29,280147.459</t>
  </si>
  <si>
    <t>405488.499,280146.835</t>
  </si>
  <si>
    <t>407118.453,282080.203</t>
  </si>
  <si>
    <t>407118.804,282080.035</t>
  </si>
  <si>
    <t>407118.811,282080.546</t>
  </si>
  <si>
    <t>407350.077,282107.462</t>
  </si>
  <si>
    <t>407350.014,282107.902</t>
  </si>
  <si>
    <t>407349.501,282107.688</t>
  </si>
  <si>
    <t>406837.986,281323.276</t>
  </si>
  <si>
    <t>406837.416,281323.599</t>
  </si>
  <si>
    <t>407123.237,281435.66</t>
  </si>
  <si>
    <t>407123.56,281435.401</t>
  </si>
  <si>
    <t>407124.114,281435.588</t>
  </si>
  <si>
    <t>407290.405,283161.171</t>
  </si>
  <si>
    <t>407290.415,283161.629</t>
  </si>
  <si>
    <t>407289.765,283161.463</t>
  </si>
  <si>
    <t>407186.904,283496.274</t>
  </si>
  <si>
    <t>407187.106,283495.799</t>
  </si>
  <si>
    <t>407187.533,283496.23</t>
  </si>
  <si>
    <t>407178.918,283977.38</t>
  </si>
  <si>
    <t>407178.171,283977.393</t>
  </si>
  <si>
    <t>407520.121,282966.666</t>
  </si>
  <si>
    <t>407520.44,282966.946</t>
  </si>
  <si>
    <t>407519.974,282967.192</t>
  </si>
  <si>
    <t>407467.577,282595.165</t>
  </si>
  <si>
    <t>407467.394,282593.818</t>
  </si>
  <si>
    <t>407467.492,282594.389</t>
  </si>
  <si>
    <t>404695.129,281285.791</t>
  </si>
  <si>
    <t>404695.04,281286.181</t>
  </si>
  <si>
    <t>404694.31,281285.967</t>
  </si>
  <si>
    <t>405051.993,279890.68</t>
  </si>
  <si>
    <t>405180.969,280039.201</t>
  </si>
  <si>
    <t>405181.292,280039.506</t>
  </si>
  <si>
    <t>405180.719,280039.769</t>
  </si>
  <si>
    <t>405345.443,280319.097</t>
  </si>
  <si>
    <t>405346.038,280319.765</t>
  </si>
  <si>
    <t>405343.592,280320.682</t>
  </si>
  <si>
    <t>405327.175,280351.825</t>
  </si>
  <si>
    <t>405243.786,280624.276</t>
  </si>
  <si>
    <t>405243.517,280624.68</t>
  </si>
  <si>
    <t>405243.077,280624.124</t>
  </si>
  <si>
    <t>405145.609,280983.233</t>
  </si>
  <si>
    <t>406166.484,281034.626</t>
  </si>
  <si>
    <t>406165.755,281034.676</t>
  </si>
  <si>
    <t>406166.076,281034.252</t>
  </si>
  <si>
    <t>406500.994,281022.867</t>
  </si>
  <si>
    <t>406501.327,281022.941</t>
  </si>
  <si>
    <t>406501.231,281023.286</t>
  </si>
  <si>
    <t>406320.748,280868.617</t>
  </si>
  <si>
    <t>406322.088,280867.688</t>
  </si>
  <si>
    <t>406318.938,280866.616</t>
  </si>
  <si>
    <t>406837.706,281323.102</t>
  </si>
  <si>
    <t>405440.267,280453.13</t>
  </si>
  <si>
    <t>405439.832,280452.161</t>
  </si>
  <si>
    <t>405440.295,280452.476</t>
  </si>
  <si>
    <t>405440.291,280452.796</t>
  </si>
  <si>
    <t>405440.295,280452.14</t>
  </si>
  <si>
    <t>405696.284,280956.757</t>
  </si>
  <si>
    <t>405696.231,280956.381</t>
  </si>
  <si>
    <t>405696.738,280956.757</t>
  </si>
  <si>
    <t>405248.797,280788.995</t>
  </si>
  <si>
    <t>405248.319,280788.879</t>
  </si>
  <si>
    <t>405248.641,280788.383</t>
  </si>
  <si>
    <t>405432.778,280886.383</t>
  </si>
  <si>
    <t>405432.199,280886.327</t>
  </si>
  <si>
    <t>405433.232,280886.139</t>
  </si>
  <si>
    <t>405166.386,280960.486</t>
  </si>
  <si>
    <t>405165.879,280960.404</t>
  </si>
  <si>
    <t>405166.198,280959.865</t>
  </si>
  <si>
    <t>403880.883,280896.829</t>
  </si>
  <si>
    <t>403881.11,280897.108</t>
  </si>
  <si>
    <t>403879.904,280894.295</t>
  </si>
  <si>
    <t>404009.073,281094.887</t>
  </si>
  <si>
    <t>404371.016,281300.918</t>
  </si>
  <si>
    <t>404370.572,281300.81</t>
  </si>
  <si>
    <t>404370.871,281300.195</t>
  </si>
  <si>
    <t>404777.319,281081.446</t>
  </si>
  <si>
    <t>404776.999,281081.371</t>
  </si>
  <si>
    <t>404777.269,281080.781</t>
  </si>
  <si>
    <t>404884.206,280983.142</t>
  </si>
  <si>
    <t>404883.806,280982.99</t>
  </si>
  <si>
    <t>404884.264,280982.503</t>
  </si>
  <si>
    <t>406725.239,284120.242</t>
  </si>
  <si>
    <t>406725.594,284120.269</t>
  </si>
  <si>
    <t>406725.354,284120.732</t>
  </si>
  <si>
    <t>406578.058,283896.674</t>
  </si>
  <si>
    <t>406578.315,283896.122</t>
  </si>
  <si>
    <t>405702.935,282100.831</t>
  </si>
  <si>
    <t>405702.616,282100.467</t>
  </si>
  <si>
    <t>406389.903,284218.81</t>
  </si>
  <si>
    <t>405756.527,282249.613</t>
  </si>
  <si>
    <t>405755.968,282249.718</t>
  </si>
  <si>
    <t>405756.001,282248.981</t>
  </si>
  <si>
    <t>405725.632,282650.196</t>
  </si>
  <si>
    <t>405725.126,282649.302</t>
  </si>
  <si>
    <t>405725.415,282649.782</t>
  </si>
  <si>
    <t>406567.518,284332.855</t>
  </si>
  <si>
    <t>406567.352,284332.496</t>
  </si>
  <si>
    <t>406567.899,284332.444</t>
  </si>
  <si>
    <t>406650.419,284835.619</t>
  </si>
  <si>
    <t>406649.952,284835.83</t>
  </si>
  <si>
    <t>406649.669,284835.38</t>
  </si>
  <si>
    <t>405786.136,282869.274</t>
  </si>
  <si>
    <t>405786.151,282868.935</t>
  </si>
  <si>
    <t>405786.643,282869.217</t>
  </si>
  <si>
    <t>405895.078,283107.188</t>
  </si>
  <si>
    <t>405895.007,283107.582</t>
  </si>
  <si>
    <t>405885.766,283104.76</t>
  </si>
  <si>
    <t>406353.166,284071.362</t>
  </si>
  <si>
    <t>406353.39,284071.757</t>
  </si>
  <si>
    <t>406352.646,284071.848</t>
  </si>
  <si>
    <t>406979,285788.146</t>
  </si>
  <si>
    <t>406978.992,285787.43</t>
  </si>
  <si>
    <t>406979.651,285787.715</t>
  </si>
  <si>
    <t>406438.125,284398.232</t>
  </si>
  <si>
    <t>406438.48,284398.045</t>
  </si>
  <si>
    <t>406438.558,284398.747</t>
  </si>
  <si>
    <t>406366.33,282314.776</t>
  </si>
  <si>
    <t>406366.082,282314.546</t>
  </si>
  <si>
    <t>406366.549,282314.378</t>
  </si>
  <si>
    <t>406367.734,282094.776</t>
  </si>
  <si>
    <t>406367.991,282094.619</t>
  </si>
  <si>
    <t>406368.111,282095.082</t>
  </si>
  <si>
    <t>407207.304,283108.635</t>
  </si>
  <si>
    <t>407207.342,283108.245</t>
  </si>
  <si>
    <t>407207.819,283108.409</t>
  </si>
  <si>
    <t>406917.227,283127.604</t>
  </si>
  <si>
    <t>406917.631,283127.501</t>
  </si>
  <si>
    <t>406917.601,283128.209</t>
  </si>
  <si>
    <t>405632.129,281601.251</t>
  </si>
  <si>
    <t>405633.127,281601.679</t>
  </si>
  <si>
    <t>405991.787,282141.101</t>
  </si>
  <si>
    <t>405993.596,282142.015</t>
  </si>
  <si>
    <t>405991.832,282146.201</t>
  </si>
  <si>
    <t>406553.914,282598.499</t>
  </si>
  <si>
    <t>406553.872,282598.916</t>
  </si>
  <si>
    <t>406553.527,282598.66</t>
  </si>
  <si>
    <t>405233.713,282177.563</t>
  </si>
  <si>
    <t>405234.104,282177.489</t>
  </si>
  <si>
    <t>405383.625,282060.629</t>
  </si>
  <si>
    <t>405382.787,282061.219</t>
  </si>
  <si>
    <t>405382.16,282060.492</t>
  </si>
  <si>
    <t>405383.061,282059.699</t>
  </si>
  <si>
    <t>407654.504,283287.029</t>
  </si>
  <si>
    <t>407654.489,283287.404</t>
  </si>
  <si>
    <t>407653.739,283287.311</t>
  </si>
  <si>
    <t>407654.493,283287.71</t>
  </si>
  <si>
    <t>407653.744,283287.931</t>
  </si>
  <si>
    <t>407046.352,282612.374</t>
  </si>
  <si>
    <t>407187.486,282753.114</t>
  </si>
  <si>
    <t>407304.294,282860.694</t>
  </si>
  <si>
    <t>407304.661,282860.606</t>
  </si>
  <si>
    <t>407304.661,282861.208</t>
  </si>
  <si>
    <t>406811.758,282848.264</t>
  </si>
  <si>
    <t>406811.511,282848.662</t>
  </si>
  <si>
    <t>406811.125,282848.318</t>
  </si>
  <si>
    <t>406556.216,282968.159</t>
  </si>
  <si>
    <t>406557.103,282967.001</t>
  </si>
  <si>
    <t>406556.78,282968.226</t>
  </si>
  <si>
    <t>406556.296,282967.696</t>
  </si>
  <si>
    <t>406556.839,282967.595</t>
  </si>
  <si>
    <t>405004.239,281174.298</t>
  </si>
  <si>
    <t>405004.088,281174.655</t>
  </si>
  <si>
    <t>405003.676,281174.284</t>
  </si>
  <si>
    <t>404848.147,281154.877</t>
  </si>
  <si>
    <t>404848.186,281154.408</t>
  </si>
  <si>
    <t>404848.282,281153.895</t>
  </si>
  <si>
    <t>404849.157,281155.1</t>
  </si>
  <si>
    <t>404847.975,281155.335</t>
  </si>
  <si>
    <t>404536.756,279884.337</t>
  </si>
  <si>
    <t>404535.209,279883.447</t>
  </si>
  <si>
    <t>404827.325,279703.579</t>
  </si>
  <si>
    <t>404827.539,279704.23</t>
  </si>
  <si>
    <t>404826.907,279704.672</t>
  </si>
  <si>
    <t>404827.753,279704.646</t>
  </si>
  <si>
    <t>404826.204,279704.603</t>
  </si>
  <si>
    <t>404826.196,279705.005</t>
  </si>
  <si>
    <t>405051.643,279890.41</t>
  </si>
  <si>
    <t>405051.393,279890.932</t>
  </si>
  <si>
    <t>403350.216,280364.946</t>
  </si>
  <si>
    <t>403350.216,280364.483</t>
  </si>
  <si>
    <t>404324.724,280122.429</t>
  </si>
  <si>
    <t>404324.22,280122.293</t>
  </si>
  <si>
    <t>404721.468,280275.882</t>
  </si>
  <si>
    <t>404721.634,280275.564</t>
  </si>
  <si>
    <t>404721.858,280275.886</t>
  </si>
  <si>
    <t>404938.293,280662.135</t>
  </si>
  <si>
    <t>404938.253,280661.716</t>
  </si>
  <si>
    <t>404938.859,280661.904</t>
  </si>
  <si>
    <t>404583.323,280797.404</t>
  </si>
  <si>
    <t>404583.471,280796.991</t>
  </si>
  <si>
    <t>404583.885,280797.466</t>
  </si>
  <si>
    <t>404848.517,281153.002</t>
  </si>
  <si>
    <t>404848.381,281153.501</t>
  </si>
  <si>
    <t>404849.368,281153.654</t>
  </si>
  <si>
    <t>406332.568,281348.797</t>
  </si>
  <si>
    <t>406332.52,281348.311</t>
  </si>
  <si>
    <t>406333.164,281348.353</t>
  </si>
  <si>
    <t>405680.709,281542.072</t>
  </si>
  <si>
    <t>405681.099,281541.984</t>
  </si>
  <si>
    <t>405680.933,281542.529</t>
  </si>
  <si>
    <t>405807.948,281503.265</t>
  </si>
  <si>
    <t>405808.793,281503.102</t>
  </si>
  <si>
    <t>405808.356,281503.673</t>
  </si>
  <si>
    <t>406793.877,281101.303</t>
  </si>
  <si>
    <t>406794.552,281101.051</t>
  </si>
  <si>
    <t>406794.266,281101.598</t>
  </si>
  <si>
    <t>407494.835,280312.394</t>
  </si>
  <si>
    <t>407494.333,280311.921</t>
  </si>
  <si>
    <t>407494.496,280311.59</t>
  </si>
  <si>
    <t>407494.233,280312.232</t>
  </si>
  <si>
    <t>405145.325,280983.487</t>
  </si>
  <si>
    <t>408121.511,282900.252</t>
  </si>
  <si>
    <t>408121.777,282900.551</t>
  </si>
  <si>
    <t>408121.147,282900.792</t>
  </si>
  <si>
    <t>407502.95,280665.538</t>
  </si>
  <si>
    <t>407503.412,280665.991</t>
  </si>
  <si>
    <t>407559.652,281887.099</t>
  </si>
  <si>
    <t>407559.026,281887.662</t>
  </si>
  <si>
    <t>407559.098,281887.09</t>
  </si>
  <si>
    <t>407696.648,282330.592</t>
  </si>
  <si>
    <t>407696.062,282330.455</t>
  </si>
  <si>
    <t>407695.958,282331.157</t>
  </si>
  <si>
    <t>407696.292,282331.398</t>
  </si>
  <si>
    <t>407384.579,281096.593</t>
  </si>
  <si>
    <t>407384.841,281095.136</t>
  </si>
  <si>
    <t>407384.766,281095.862</t>
  </si>
  <si>
    <t>407383.677,281095.214</t>
  </si>
  <si>
    <t>407381.7,281093.812</t>
  </si>
  <si>
    <t>407494.483,280312.452</t>
  </si>
  <si>
    <t>407821.796,282649.6</t>
  </si>
  <si>
    <t>407822.215,282649.576</t>
  </si>
  <si>
    <t>407824.019,282649.645</t>
  </si>
  <si>
    <t>407401.994,281400.895</t>
  </si>
  <si>
    <t>407402.394,281400.887</t>
  </si>
  <si>
    <t>407402.144,281401.404</t>
  </si>
  <si>
    <t>408121.209,282579.078</t>
  </si>
  <si>
    <t>408120.921,282578.825</t>
  </si>
  <si>
    <t>408121.328,282578.574</t>
  </si>
  <si>
    <t>407615.155,282136.616</t>
  </si>
  <si>
    <t>407614.586,282136.583</t>
  </si>
  <si>
    <t>407977.534,282836.06</t>
  </si>
  <si>
    <t>407980.409,282831.9</t>
  </si>
  <si>
    <t>407312.563,281515.259</t>
  </si>
  <si>
    <t>407312.546,281514.859</t>
  </si>
  <si>
    <t>407311.895,281514.851</t>
  </si>
  <si>
    <t>407312.027,281515.426</t>
  </si>
  <si>
    <t>407431.071,281716.247</t>
  </si>
  <si>
    <t>407430.915,281701.117</t>
  </si>
  <si>
    <t>406730.725,280770.187</t>
  </si>
  <si>
    <t>406730.351,280770.043</t>
  </si>
  <si>
    <t>406730.746,280769.627</t>
  </si>
  <si>
    <t>406526.507,280827.066</t>
  </si>
  <si>
    <t>406527.024,280827.072</t>
  </si>
  <si>
    <t>406527.56,280827.122</t>
  </si>
  <si>
    <t>406527.018,280827.766</t>
  </si>
  <si>
    <t>407217.579,280536.294</t>
  </si>
  <si>
    <t>407217.742,280535.723</t>
  </si>
  <si>
    <t>407218.131,280536.283</t>
  </si>
  <si>
    <t>407165.487,280826.478</t>
  </si>
  <si>
    <t>407164.914,280826.397</t>
  </si>
  <si>
    <t>407164.415,280826.279</t>
  </si>
  <si>
    <t>405550.663,281207.015</t>
  </si>
  <si>
    <t>405550.155,281207.23</t>
  </si>
  <si>
    <t>405550.21,281206.694</t>
  </si>
  <si>
    <t>405632.556,281602.374</t>
  </si>
  <si>
    <t>405839.523,282029.105</t>
  </si>
  <si>
    <t>405838.744,282029.056</t>
  </si>
  <si>
    <t>405839.141,282028.553</t>
  </si>
  <si>
    <t>405355.697,281404.96</t>
  </si>
  <si>
    <t>405355.427,281405.371</t>
  </si>
  <si>
    <t>405355.063,281404.901</t>
  </si>
  <si>
    <t>405444.654,281320.649</t>
  </si>
  <si>
    <t>405444.807,281321.171</t>
  </si>
  <si>
    <t>405444.167,281321.189</t>
  </si>
  <si>
    <t>406923.718,280612.268</t>
  </si>
  <si>
    <t>406923.206,280612.258</t>
  </si>
  <si>
    <t>406923.477,280611.644</t>
  </si>
  <si>
    <t>406446.278,280589.65</t>
  </si>
  <si>
    <t>406445.911,280589.475</t>
  </si>
  <si>
    <t>406445.562,280589.32</t>
  </si>
  <si>
    <t>405913.312,280972.49</t>
  </si>
  <si>
    <t>405913.006,280972.394</t>
  </si>
  <si>
    <t>405913.266,280972.023</t>
  </si>
  <si>
    <t>402191.597,279909.521</t>
  </si>
  <si>
    <t>402191.125,279908.924</t>
  </si>
  <si>
    <t>402190.947,279909.554</t>
  </si>
  <si>
    <t>402192.107,279909.075</t>
  </si>
  <si>
    <t>402191.62,279908.614</t>
  </si>
  <si>
    <t>402337.58,279969.748</t>
  </si>
  <si>
    <t>402336.845,279969.767</t>
  </si>
  <si>
    <t>402337.119,279968.863</t>
  </si>
  <si>
    <t>401574.139,279382.439</t>
  </si>
  <si>
    <t>401574.372,279382.799</t>
  </si>
  <si>
    <t>401573.889,279382.142</t>
  </si>
  <si>
    <t>401802.629,279363.448</t>
  </si>
  <si>
    <t>401802.571,279362.88</t>
  </si>
  <si>
    <t>401803.182,279363.097</t>
  </si>
  <si>
    <t>401790.507,279992.519</t>
  </si>
  <si>
    <t>401790.088,279992.576</t>
  </si>
  <si>
    <t>401790.118,279991.865</t>
  </si>
  <si>
    <t>401438.809,280070.762</t>
  </si>
  <si>
    <t>401438.857,280070.445</t>
  </si>
  <si>
    <t>401439.268,280070.781</t>
  </si>
  <si>
    <t>404205.026,280806.368</t>
  </si>
  <si>
    <t>404204.96,280806.791</t>
  </si>
  <si>
    <t>404204.452,280806.435</t>
  </si>
  <si>
    <t>402609.869,280369.915</t>
  </si>
  <si>
    <t>402609.522,280370.218</t>
  </si>
  <si>
    <t>402609.377,280369.865</t>
  </si>
  <si>
    <t>402510.373,280146.983</t>
  </si>
  <si>
    <t>402510.036,280146.58</t>
  </si>
  <si>
    <t>402510.572,280146.458</t>
  </si>
  <si>
    <t>401937.682,280444.629</t>
  </si>
  <si>
    <t>401937.866,280443.93</t>
  </si>
  <si>
    <t>403076.341,280776.018</t>
  </si>
  <si>
    <t>403076.525,280776.347</t>
  </si>
  <si>
    <t>403075.849,280776.455</t>
  </si>
  <si>
    <t>404317.059,280481.856</t>
  </si>
  <si>
    <t>404316.894,280482.339</t>
  </si>
  <si>
    <t>404317.205,280481.528</t>
  </si>
  <si>
    <t>404899.493,279475.432</t>
  </si>
  <si>
    <t>405047.862,278980.51</t>
  </si>
  <si>
    <t>405048.897,278981.127</t>
  </si>
  <si>
    <t>405047.826,278981.063</t>
  </si>
  <si>
    <t>405518.107,279825.701</t>
  </si>
  <si>
    <t>405518.14,279825.164</t>
  </si>
  <si>
    <t>405519.07,279824.738</t>
  </si>
  <si>
    <t>405518.747,279825.605</t>
  </si>
  <si>
    <t>405518.876,279825.245</t>
  </si>
  <si>
    <t>404900.161,279475.767</t>
  </si>
  <si>
    <t>404900.394,279475.407</t>
  </si>
  <si>
    <t>404899.616,279475.121</t>
  </si>
  <si>
    <t>404900.098,279475.097</t>
  </si>
  <si>
    <t>404899.841,279474.656</t>
  </si>
  <si>
    <t>404900.123,279474.325</t>
  </si>
  <si>
    <t>404900.641,279475.034</t>
  </si>
  <si>
    <t>404900.76,279474.653</t>
  </si>
  <si>
    <t>404001.178,279271.904</t>
  </si>
  <si>
    <t>404000.931,279272.272</t>
  </si>
  <si>
    <t>404000.565,279271.774</t>
  </si>
  <si>
    <t>404337.413,279334.155</t>
  </si>
  <si>
    <t>404337.568,279333.344</t>
  </si>
  <si>
    <t>404337.906,279333.732</t>
  </si>
  <si>
    <t>404337.163,279333.582</t>
  </si>
  <si>
    <t>405548.023,280101.506</t>
  </si>
  <si>
    <t>406987.533,281761.308</t>
  </si>
  <si>
    <t>406987.041,281760.947</t>
  </si>
  <si>
    <t>406988.025,281761.65</t>
  </si>
  <si>
    <t>407323.342,281758.411</t>
  </si>
  <si>
    <t>407327.335,281759.442</t>
  </si>
  <si>
    <t>407322.717,281758.003</t>
  </si>
  <si>
    <t>407323.009,281758.25</t>
  </si>
  <si>
    <t>407328.325,281757.045</t>
  </si>
  <si>
    <t>406668.929,281223.88</t>
  </si>
  <si>
    <t>406669.178,281223.627</t>
  </si>
  <si>
    <t>406669.398,281224.035</t>
  </si>
  <si>
    <t>405435.336,280838.048</t>
  </si>
  <si>
    <t>405434.935,280838.024</t>
  </si>
  <si>
    <t>405435.146,280837.523</t>
  </si>
  <si>
    <t>407203.038,284976.599</t>
  </si>
  <si>
    <t>407203.396,284976.865</t>
  </si>
  <si>
    <t>406894.908,283623.569</t>
  </si>
  <si>
    <t>406894.427,283623.633</t>
  </si>
  <si>
    <t>406894.537,283623.122</t>
  </si>
  <si>
    <t>406453.889,281698.237</t>
  </si>
  <si>
    <t>406077.185,281662.174</t>
  </si>
  <si>
    <t>406077.206,281662.672</t>
  </si>
  <si>
    <t>406076.814,281662.486</t>
  </si>
  <si>
    <t>406972.626,284136.253</t>
  </si>
  <si>
    <t>406972.877,284136.593</t>
  </si>
  <si>
    <t>406972.268,284136.768</t>
  </si>
  <si>
    <t>407199.264,285427.317</t>
  </si>
  <si>
    <t>407198.828,285427.435</t>
  </si>
  <si>
    <t>407198.732,285426.807</t>
  </si>
  <si>
    <t>407076.72,285650.094</t>
  </si>
  <si>
    <t>407075.243,285647.218</t>
  </si>
  <si>
    <t>407187.399,285146.225</t>
  </si>
  <si>
    <t>407187.21,285145.873</t>
  </si>
  <si>
    <t>407187.792,285145.768</t>
  </si>
  <si>
    <t>406557.214,282968.194</t>
  </si>
  <si>
    <t>405151.528,280631.574</t>
  </si>
  <si>
    <t>405150.947,280631.542</t>
  </si>
  <si>
    <t>405151.223,280631.195</t>
  </si>
  <si>
    <t>406053.883,279962.592</t>
  </si>
  <si>
    <t>406053.323,279962.779</t>
  </si>
  <si>
    <t>406053.319,279962.202</t>
  </si>
  <si>
    <t>406420.115,280367.594</t>
  </si>
  <si>
    <t>406420.006,280366.912</t>
  </si>
  <si>
    <t>406420.546,280367.217</t>
  </si>
  <si>
    <t>405855.713,280311.535</t>
  </si>
  <si>
    <t>405855.417,280312.003</t>
  </si>
  <si>
    <t>405854.976,280311.405</t>
  </si>
  <si>
    <t>405570.762,280687.208</t>
  </si>
  <si>
    <t>405583.103,280690.345</t>
  </si>
  <si>
    <t>405570.886,280686.731</t>
  </si>
  <si>
    <t>405572.206,280688.274</t>
  </si>
  <si>
    <t>405593.899,280597.018</t>
  </si>
  <si>
    <t>405594.296,280597.072</t>
  </si>
  <si>
    <t>405593.926,280597.555</t>
  </si>
  <si>
    <t>405674.136,280592.597</t>
  </si>
  <si>
    <t>405673.892,280593.311</t>
  </si>
  <si>
    <t>405673.631,280592.802</t>
  </si>
  <si>
    <t>405864.604,280785.059</t>
  </si>
  <si>
    <t>405047.889,278981.64</t>
  </si>
  <si>
    <t>405907.611,279519.231</t>
  </si>
  <si>
    <t>405484.746,278849.573</t>
  </si>
  <si>
    <t>405484.93,278850.032</t>
  </si>
  <si>
    <t>405484.976,278850.47</t>
  </si>
  <si>
    <t>405484.162,278850.152</t>
  </si>
  <si>
    <t>405822.087,278929.466</t>
  </si>
  <si>
    <t>405822.813,278928.608</t>
  </si>
  <si>
    <t>405821.775,278929.23</t>
  </si>
  <si>
    <t>405822.786,278929.851</t>
  </si>
  <si>
    <t>405406.378,278863.68</t>
  </si>
  <si>
    <t>405406.422,278864.15</t>
  </si>
  <si>
    <t>405405.673,278864.11</t>
  </si>
  <si>
    <t>405654.869,278449.735</t>
  </si>
  <si>
    <t>405654.936,278450.164</t>
  </si>
  <si>
    <t>405653.819,278449.992</t>
  </si>
  <si>
    <t>405654.219,278449.785</t>
  </si>
  <si>
    <t>405655.488,278449.965</t>
  </si>
  <si>
    <t>405654.359,278450.434</t>
  </si>
  <si>
    <t>405987.346,278577.941</t>
  </si>
  <si>
    <t>405986.899,278577.824</t>
  </si>
  <si>
    <t>405334.409,278128.319</t>
  </si>
  <si>
    <t>405758.159,279311.308</t>
  </si>
  <si>
    <t>405758.361,279310.882</t>
  </si>
  <si>
    <t>405757.976,279311.733</t>
  </si>
  <si>
    <t>405156.701,278550.849</t>
  </si>
  <si>
    <t>405453.541,279054.484</t>
  </si>
  <si>
    <t>405453.005,279054.521</t>
  </si>
  <si>
    <t>405452.521,279054.216</t>
  </si>
  <si>
    <t>405341.211,278487.211</t>
  </si>
  <si>
    <t>405340.768,278486.613</t>
  </si>
  <si>
    <t>405341.256,278486.755</t>
  </si>
  <si>
    <t>405581.078,278670.3</t>
  </si>
  <si>
    <t>405581.399,278670.306</t>
  </si>
  <si>
    <t>405581.23,278670.743</t>
  </si>
  <si>
    <t>405365.082,278708.96</t>
  </si>
  <si>
    <t>405365.438,278709.724</t>
  </si>
  <si>
    <t>405365.924,278709.194</t>
  </si>
  <si>
    <t>405974.343,278293.131</t>
  </si>
  <si>
    <t>405973.873,278293.26</t>
  </si>
  <si>
    <t>405973.862,278292.643</t>
  </si>
  <si>
    <t>405690.415,278207.896</t>
  </si>
  <si>
    <t>405690.084,278207.573</t>
  </si>
  <si>
    <t>405690.677,278207.318</t>
  </si>
  <si>
    <t>405248.127,278297.724</t>
  </si>
  <si>
    <t>405246.302,278297.636</t>
  </si>
  <si>
    <t>405246.743,278297.339</t>
  </si>
  <si>
    <t>404759.007,281125.893</t>
  </si>
  <si>
    <t>404758.916,281126.381</t>
  </si>
  <si>
    <t>404758.296,281126.046</t>
  </si>
  <si>
    <t>402189.771,279909.493</t>
  </si>
  <si>
    <t>402191.186,279908.471</t>
  </si>
  <si>
    <t>401946.406,281101.905</t>
  </si>
  <si>
    <t>401946.889,281101.549</t>
  </si>
  <si>
    <t>402077.652,280778.349</t>
  </si>
  <si>
    <t>402078.051,280778.509</t>
  </si>
  <si>
    <t>402077.538,280778.899</t>
  </si>
  <si>
    <t>401938.14,280444.608</t>
  </si>
  <si>
    <t>402161.741,280132.12</t>
  </si>
  <si>
    <t>401772.735,280678.841</t>
  </si>
  <si>
    <t>401772.469,280678.417</t>
  </si>
  <si>
    <t>401773.037,280678.34</t>
  </si>
  <si>
    <t>402269.083,280535.867</t>
  </si>
  <si>
    <t>402275.596,280540.402</t>
  </si>
  <si>
    <t>402268.761,280536.252</t>
  </si>
  <si>
    <t>402270.094,280534.944</t>
  </si>
  <si>
    <t>403511.111,281225.943</t>
  </si>
  <si>
    <t>403510.1,281225.952</t>
  </si>
  <si>
    <t>403510.645,281225.148</t>
  </si>
  <si>
    <t>403511.944,281225.161</t>
  </si>
  <si>
    <t>403520.192,280805.29</t>
  </si>
  <si>
    <t>403520.399,280804.907</t>
  </si>
  <si>
    <t>403520.742,280805.384</t>
  </si>
  <si>
    <t>402797.077,280414.794</t>
  </si>
  <si>
    <t>402797.981,280414.701</t>
  </si>
  <si>
    <t>402797.29,280414.162</t>
  </si>
  <si>
    <t>402797.389,280415.004</t>
  </si>
  <si>
    <t>402797.678,280415.201</t>
  </si>
  <si>
    <t>403430.501,281653.311</t>
  </si>
  <si>
    <t>403430.728,281653.722</t>
  </si>
  <si>
    <t>403131.833,281044.31</t>
  </si>
  <si>
    <t>403131.844,281044.649</t>
  </si>
  <si>
    <t>403131.491,281044.447</t>
  </si>
  <si>
    <t>403297.643,281160.067</t>
  </si>
  <si>
    <t>403297.233,281160.262</t>
  </si>
  <si>
    <t>403208.478,280809.976</t>
  </si>
  <si>
    <t>403208.26,280809.64</t>
  </si>
  <si>
    <t>STURGE LIFFORD LA.</t>
  </si>
  <si>
    <t>SELCO TIMBER</t>
  </si>
  <si>
    <t>PATRICK MOTORS</t>
  </si>
  <si>
    <t>SALVAGE DEPT. LIFFORD LA.</t>
  </si>
  <si>
    <t>SLOUGH ESTATES NO. 1</t>
  </si>
  <si>
    <t>EBURY RD.</t>
  </si>
  <si>
    <t>FRANCES RD.</t>
  </si>
  <si>
    <t>WESTFIELD RD.</t>
  </si>
  <si>
    <t>12 GRANGE RD.</t>
  </si>
  <si>
    <t>VICARAGE RD.</t>
  </si>
  <si>
    <t>ABBOTS RD.</t>
  </si>
  <si>
    <t>MOSELEY HALL HOSPITAL</t>
  </si>
  <si>
    <t>SALISBURY RD.</t>
  </si>
  <si>
    <t>OAKFIELD RD. MOSELEY</t>
  </si>
  <si>
    <t>BT OPENREACH 179 ALCESTER ROAD B HA</t>
  </si>
  <si>
    <t>ALCESTER RD. MOSELEY</t>
  </si>
  <si>
    <t>CADBURY NO. 2</t>
  </si>
  <si>
    <t>MIDLAND RD. COTTERIDGE</t>
  </si>
  <si>
    <t>1783 PERSHORE RD.</t>
  </si>
  <si>
    <t>DELL RD.</t>
  </si>
  <si>
    <t>COMPRESSOR ACCESSORIES BREEDON CROS</t>
  </si>
  <si>
    <t>CAMERON PRICE</t>
  </si>
  <si>
    <t>BOURNVILLE LOCAL</t>
  </si>
  <si>
    <t>THE HAZELWELL</t>
  </si>
  <si>
    <t>277 VICARAGE RD.</t>
  </si>
  <si>
    <t>MILLBROOK RD.</t>
  </si>
  <si>
    <t>G. K. N. PERSHORE RD.</t>
  </si>
  <si>
    <t>STIRCHLEY TRAD. EST.</t>
  </si>
  <si>
    <t>B HAM. POWDER COATING</t>
  </si>
  <si>
    <t>HAZELWELL RD.</t>
  </si>
  <si>
    <t>RUBBERPLAS MARYVALE RD.</t>
  </si>
  <si>
    <t>BOURNVILLE LA.</t>
  </si>
  <si>
    <t>ED. DEPT. HAY GREEN LA.</t>
  </si>
  <si>
    <t>WOODBROOKE RD.</t>
  </si>
  <si>
    <t>CADBURYS DINING BLOCK</t>
  </si>
  <si>
    <t>CADBURY NO. 3</t>
  </si>
  <si>
    <t>EDGBASTON CRICKET GROUND</t>
  </si>
  <si>
    <t>MIDLANDS ARTS CENTRE NO.1</t>
  </si>
  <si>
    <t>ED. DEPT. SELLY PK. RD.</t>
  </si>
  <si>
    <t>WICKETS TOWER</t>
  </si>
  <si>
    <t>929 PERSHORE RD.</t>
  </si>
  <si>
    <t>KENSINGTON RD.</t>
  </si>
  <si>
    <t>UNIVERSITY STUDENTS RES. PERSHORE R</t>
  </si>
  <si>
    <t>ELMWOOD CT.</t>
  </si>
  <si>
    <t>723 PERSHORE RD SELLY OAK</t>
  </si>
  <si>
    <t>PERSHORE RD.</t>
  </si>
  <si>
    <t>NORTH DR.</t>
  </si>
  <si>
    <t>MONZA HO. BRISTOL ST.</t>
  </si>
  <si>
    <t>BOUNDARY HO.</t>
  </si>
  <si>
    <t>296 MOOR GRN. LA.</t>
  </si>
  <si>
    <t>DADS LA.</t>
  </si>
  <si>
    <t>MENTAL UNIT MOSELEY HALL HOSPITAL</t>
  </si>
  <si>
    <t>MOORCROFT RD.</t>
  </si>
  <si>
    <t>PAVILION CINEMA</t>
  </si>
  <si>
    <t>DOGPOOL LA.</t>
  </si>
  <si>
    <t>MOOR GRN. LA.</t>
  </si>
  <si>
    <t>WOODSIDE RD.</t>
  </si>
  <si>
    <t>WESTMINSTER RD. SELLY PK.</t>
  </si>
  <si>
    <t>MOSELEY VILL.</t>
  </si>
  <si>
    <t>UFFCULME CLINIC</t>
  </si>
  <si>
    <t>20 MOOR GRN. LA.</t>
  </si>
  <si>
    <t>THE REDDINGS</t>
  </si>
  <si>
    <t>CALA HOMES QUEENSBRIDGE</t>
  </si>
  <si>
    <t>HOLDERS LA.</t>
  </si>
  <si>
    <t>CADBURY NO. 7</t>
  </si>
  <si>
    <t>CADBURY NO. 1</t>
  </si>
  <si>
    <t>63 NORTHFIELD RD.</t>
  </si>
  <si>
    <t>COTTERIDGE</t>
  </si>
  <si>
    <t>MULBERRY RD.</t>
  </si>
  <si>
    <t>SELLY OAK RD.</t>
  </si>
  <si>
    <t>FRANKLIN RD.</t>
  </si>
  <si>
    <t>65 FRANKLIN RD.</t>
  </si>
  <si>
    <t>LINDEN RD.</t>
  </si>
  <si>
    <t>PINEAPPLE RD.</t>
  </si>
  <si>
    <t>SEVERN TRENT PMP. STA.</t>
  </si>
  <si>
    <t>CARTLAND RD.</t>
  </si>
  <si>
    <t>GROVE RD. KINGS HEATH</t>
  </si>
  <si>
    <t>ALCESTER LANES END</t>
  </si>
  <si>
    <t>MCCARTHY &amp; STONE SCHOOL RD</t>
  </si>
  <si>
    <t>231 ALCESTER RD. S</t>
  </si>
  <si>
    <t>HEATHFIELD RD. KINGS HEATH</t>
  </si>
  <si>
    <t>ASHFIELD RD.</t>
  </si>
  <si>
    <t>HOWARD RD.</t>
  </si>
  <si>
    <t>PATON GR.</t>
  </si>
  <si>
    <t>MOSSFIELD RD.</t>
  </si>
  <si>
    <t>COTTON LA.</t>
  </si>
  <si>
    <t>ED. DEPT. VALENTINE RD.</t>
  </si>
  <si>
    <t>OXFORD RD.</t>
  </si>
  <si>
    <t>SAINSBURYS ALL SAINTS RD.</t>
  </si>
  <si>
    <t>WOOLWORTH INSTITUTE RD.</t>
  </si>
  <si>
    <t>LO-COST SUPERMARKET KINGS HEATH</t>
  </si>
  <si>
    <t>PARTONS RD.</t>
  </si>
  <si>
    <t>KINGS RD. DEPOT</t>
  </si>
  <si>
    <t>LIVINGSTONE RD.</t>
  </si>
  <si>
    <t>128 HAZELHURST RD.</t>
  </si>
  <si>
    <t>G.P.O. HAZELWELL LA.</t>
  </si>
  <si>
    <t>DOGPOOL LA. CARE VILL.</t>
  </si>
  <si>
    <t>CO-OP UMBERSLADE RD.</t>
  </si>
  <si>
    <t>HAZELWELL ST.</t>
  </si>
  <si>
    <t>LISTOWEL RD.</t>
  </si>
  <si>
    <t>144 KINGS RD.</t>
  </si>
  <si>
    <t>MILLHAVEN AVE.</t>
  </si>
  <si>
    <t>NORTHFIELD</t>
  </si>
  <si>
    <t>GROSVENOR SHOPPING CRT.</t>
  </si>
  <si>
    <t>LOFTHOUSE GROVE</t>
  </si>
  <si>
    <t>SAINSBURYS NORTHFIELD</t>
  </si>
  <si>
    <t>VINEYARD RD.</t>
  </si>
  <si>
    <t>MERRITTS BROOK LA.</t>
  </si>
  <si>
    <t>78 SELLY OAK RD.</t>
  </si>
  <si>
    <t>NIGEL AVE.</t>
  </si>
  <si>
    <t>ST. LAURENCE RD.</t>
  </si>
  <si>
    <t>60 MEADOW BROOK RD.</t>
  </si>
  <si>
    <t>269 BRISTOL RD. S.</t>
  </si>
  <si>
    <t>218 SELLY OAK RD.</t>
  </si>
  <si>
    <t>SLOUGH ESTATES NO. 3</t>
  </si>
  <si>
    <t>KINGS NORTON</t>
  </si>
  <si>
    <t>TRIPLEX NO. 2</t>
  </si>
  <si>
    <t>TRIPLEX NO. 1</t>
  </si>
  <si>
    <t>SHOPFITTINGS LIFFORD LA.</t>
  </si>
  <si>
    <t>209 GRANGE RD.</t>
  </si>
  <si>
    <t>SILVER ST.</t>
  </si>
  <si>
    <t>CAMP HILL SCHOOL B HAM</t>
  </si>
  <si>
    <t>IVY RD BIRMINGHAM</t>
  </si>
  <si>
    <t>ALEXANDRA RD.</t>
  </si>
  <si>
    <t>RUSSELL RD.</t>
  </si>
  <si>
    <t>BRENT RD.</t>
  </si>
  <si>
    <t>19 LYNDWORTH RD.</t>
  </si>
  <si>
    <t>CANNON HILL RD.</t>
  </si>
  <si>
    <t>BARROW WALK</t>
  </si>
  <si>
    <t>MOWBRAY ST.</t>
  </si>
  <si>
    <t>PRINCESS RD.</t>
  </si>
  <si>
    <t>AVERY ESTATES</t>
  </si>
  <si>
    <t>LIFFORD CL. GARAGES</t>
  </si>
  <si>
    <t>HARTON WAY</t>
  </si>
  <si>
    <t>ALLENS CROFT RD.</t>
  </si>
  <si>
    <t>ROCKWELL AUTOMOTIVES</t>
  </si>
  <si>
    <t>LIFFORD HO.</t>
  </si>
  <si>
    <t>FORDHOUSE LA.</t>
  </si>
  <si>
    <t>HAZELWELL CRES.</t>
  </si>
  <si>
    <t>LINDSWORTH RD.</t>
  </si>
  <si>
    <t>FACET RD.</t>
  </si>
  <si>
    <t>BELLS LA.</t>
  </si>
  <si>
    <t>BIRMINGHAM CABLE ARDATH RD.</t>
  </si>
  <si>
    <t>MONKSWAY</t>
  </si>
  <si>
    <t>CHELWORTH RD.</t>
  </si>
  <si>
    <t>BARRATTS RD.</t>
  </si>
  <si>
    <t>MARJORIE AVE.</t>
  </si>
  <si>
    <t>OLD OAK RD.</t>
  </si>
  <si>
    <t>BALDWIN RD.</t>
  </si>
  <si>
    <t>ARDATH RD. (S.)</t>
  </si>
  <si>
    <t>LAZY HILL</t>
  </si>
  <si>
    <t>ARDATH RD.</t>
  </si>
  <si>
    <t>MOUNDSLEY HALL WALKERS HTH. RD.</t>
  </si>
  <si>
    <t>WALKERS HTH. RD.</t>
  </si>
  <si>
    <t>OWENS CROFT</t>
  </si>
  <si>
    <t>CADBURY NO. 4</t>
  </si>
  <si>
    <t>GREEN MEADOW RD.</t>
  </si>
  <si>
    <t>ALMOND CL. GARAGES</t>
  </si>
  <si>
    <t>ED. DEPT. BELL HILL SPECIAL SCH.</t>
  </si>
  <si>
    <t>CLUN RD.</t>
  </si>
  <si>
    <t>SHENLEY LA.</t>
  </si>
  <si>
    <t>COB LA.</t>
  </si>
  <si>
    <t>122 COB LA.</t>
  </si>
  <si>
    <t>WOODLANDS HOSPITAL</t>
  </si>
  <si>
    <t>FOX HILL</t>
  </si>
  <si>
    <t>MINSTER CT.</t>
  </si>
  <si>
    <t>ED.DEPT. SOUTH B HAM. TECH.COLL.</t>
  </si>
  <si>
    <t>ED. DEPT. GRIFFIN BROOK</t>
  </si>
  <si>
    <t>405102.716,281000</t>
  </si>
  <si>
    <t>404554.816,282221.312</t>
  </si>
  <si>
    <t>404581.701,282594.153</t>
  </si>
  <si>
    <t>404582.835,282593.254</t>
  </si>
  <si>
    <t>404607.155,282221.273</t>
  </si>
  <si>
    <t>404611.307,282222.179</t>
  </si>
  <si>
    <t>404616.698,282221.863</t>
  </si>
  <si>
    <t>404629.747,282140.253</t>
  </si>
  <si>
    <t>404649.855,282271.8</t>
  </si>
  <si>
    <t>404413.44,282815.065</t>
  </si>
  <si>
    <t>404653.191,282270.816</t>
  </si>
  <si>
    <t>404821.942,282041.484</t>
  </si>
  <si>
    <t>404830.447,282219.152</t>
  </si>
  <si>
    <t>404845.487,282194.729</t>
  </si>
  <si>
    <t>404862.078,281398.356</t>
  </si>
  <si>
    <t>404864.073,281398.834</t>
  </si>
  <si>
    <t>404865.236,282068.921</t>
  </si>
  <si>
    <t>404866.318,282069.96</t>
  </si>
  <si>
    <t>404877.772,282006.347</t>
  </si>
  <si>
    <t>404893.175,281879.643</t>
  </si>
  <si>
    <t>404910.183,281417.985</t>
  </si>
  <si>
    <t>404938.274,281711.212</t>
  </si>
  <si>
    <t>404432.18,282769.278</t>
  </si>
  <si>
    <t>404941.387,281699.327</t>
  </si>
  <si>
    <t>404951.021,281661.737</t>
  </si>
  <si>
    <t>404958.075,281529.241</t>
  </si>
  <si>
    <t>404963.02,281798.078</t>
  </si>
  <si>
    <t>404981.778,281539.343</t>
  </si>
  <si>
    <t>404983.107,281533.904</t>
  </si>
  <si>
    <t>404987.65,281514.913</t>
  </si>
  <si>
    <t>405007.873,281426.162</t>
  </si>
  <si>
    <t>405016.761,281384.871</t>
  </si>
  <si>
    <t>405021.121,281365.396</t>
  </si>
  <si>
    <t>405044.786,281617.831</t>
  </si>
  <si>
    <t>405049.439,281335.042</t>
  </si>
  <si>
    <t>405051.914,281220.763</t>
  </si>
  <si>
    <t>405069.788,281443.8</t>
  </si>
  <si>
    <t>404437.231,282360.585</t>
  </si>
  <si>
    <t>405075.734,281194.752</t>
  </si>
  <si>
    <t>405085.712,281144.3</t>
  </si>
  <si>
    <t>405097.685,281010.11</t>
  </si>
  <si>
    <t>405108.922,280972.018</t>
  </si>
  <si>
    <t>405126.897,280994.323</t>
  </si>
  <si>
    <t>404383.148,282892.606</t>
  </si>
  <si>
    <t>405119.409,281011.562</t>
  </si>
  <si>
    <t>404635.156,282126.316</t>
  </si>
  <si>
    <t>404410.523,282795.458</t>
  </si>
  <si>
    <t>404958.699,281526.726</t>
  </si>
  <si>
    <t>405023.385,281355.382</t>
  </si>
  <si>
    <t>405045.675,281326.534</t>
  </si>
  <si>
    <t>405076.924,281189.28</t>
  </si>
  <si>
    <t>404488.508,282299.207</t>
  </si>
  <si>
    <t>405125.944,280994.146</t>
  </si>
  <si>
    <t>404383.44,282892.659</t>
  </si>
  <si>
    <t>405123.565,280973.936</t>
  </si>
  <si>
    <t>405491.277,280148.331</t>
  </si>
  <si>
    <t>405582.566,279535.729</t>
  </si>
  <si>
    <t>405498.329,279988.17</t>
  </si>
  <si>
    <t>405564.902,279559.949</t>
  </si>
  <si>
    <t>405561.419,279770.516</t>
  </si>
  <si>
    <t>405539.001,279766.479</t>
  </si>
  <si>
    <t>405558.981,279770.806</t>
  </si>
  <si>
    <t>405519.554,279828.976</t>
  </si>
  <si>
    <t>405520.978,279827.396</t>
  </si>
  <si>
    <t>405538.407,279767.032</t>
  </si>
  <si>
    <t>405487.449,279452.347</t>
  </si>
  <si>
    <t>405557.455,279514.395</t>
  </si>
  <si>
    <t>405486.814,279449.577</t>
  </si>
  <si>
    <t>405558.149,279516.914</t>
  </si>
  <si>
    <t>405494.661,279935.807</t>
  </si>
  <si>
    <t>405616.432,279799.758</t>
  </si>
  <si>
    <t>405557.736,279770.175</t>
  </si>
  <si>
    <t>405583.671,279536.348</t>
  </si>
  <si>
    <t>405629.503,279814.078</t>
  </si>
  <si>
    <t>405343.197,280601.426</t>
  </si>
  <si>
    <t>405628.932,279813.89</t>
  </si>
  <si>
    <t>405193.397,280980.658</t>
  </si>
  <si>
    <t>405454.901,279922.576</t>
  </si>
  <si>
    <t>405495.026,279949.067</t>
  </si>
  <si>
    <t>405491.825,280152.325</t>
  </si>
  <si>
    <t>405330.946,280615.5</t>
  </si>
  <si>
    <t>406007.757,282133.594</t>
  </si>
  <si>
    <t>407425.101,282598.471</t>
  </si>
  <si>
    <t>407073.707,281448.673</t>
  </si>
  <si>
    <t>407121.465,281434.09</t>
  </si>
  <si>
    <t>407336.668,283207.628</t>
  </si>
  <si>
    <t>407302.779,283194.663</t>
  </si>
  <si>
    <t>406061.746,282155.424</t>
  </si>
  <si>
    <t>407425.053,282598.074</t>
  </si>
  <si>
    <t>406237.692,282141.824</t>
  </si>
  <si>
    <t>406298.631,282116.651</t>
  </si>
  <si>
    <t>407091.922,281476.807</t>
  </si>
  <si>
    <t>407121.789,281433.846</t>
  </si>
  <si>
    <t>407303.178,283194.629</t>
  </si>
  <si>
    <t>407185.379,283495.325</t>
  </si>
  <si>
    <t>407071.162,281446.627</t>
  </si>
  <si>
    <t>407386.59,282181.284</t>
  </si>
  <si>
    <t>407522.965,282965.156</t>
  </si>
  <si>
    <t>407389.333,282091.083</t>
  </si>
  <si>
    <t>407353.311,282104.902</t>
  </si>
  <si>
    <t>407352.914,282104.854</t>
  </si>
  <si>
    <t>407384.933,282086.447</t>
  </si>
  <si>
    <t>405145.054,281004.153</t>
  </si>
  <si>
    <t>407336.487,283207.271</t>
  </si>
  <si>
    <t>407371.361,283254.884</t>
  </si>
  <si>
    <t>405145.587,281000</t>
  </si>
  <si>
    <t>405208.847,281333.525</t>
  </si>
  <si>
    <t>405217.545,281336.792</t>
  </si>
  <si>
    <t>406857.337,281308.058</t>
  </si>
  <si>
    <t>407304.271,281758.362</t>
  </si>
  <si>
    <t>407390.166,282269.584</t>
  </si>
  <si>
    <t>407164.907,283543.755</t>
  </si>
  <si>
    <t>407389.532,282241.203</t>
  </si>
  <si>
    <t>407185.251,283495.704</t>
  </si>
  <si>
    <t>407149.406,283732.554</t>
  </si>
  <si>
    <t>407148.888,283712.464</t>
  </si>
  <si>
    <t>404795.542,281062.21</t>
  </si>
  <si>
    <t>404767.12,281090.593</t>
  </si>
  <si>
    <t>404769.849,281142.821</t>
  </si>
  <si>
    <t>404983.732,280911.125</t>
  </si>
  <si>
    <t>404758.405,281148.232</t>
  </si>
  <si>
    <t>404867.889,281016.38</t>
  </si>
  <si>
    <t>404883.879,281012.88</t>
  </si>
  <si>
    <t>404905.382,281014.325</t>
  </si>
  <si>
    <t>404752.908,281152.45</t>
  </si>
  <si>
    <t>405346.834,280318.368</t>
  </si>
  <si>
    <t>405210.826,280037.049</t>
  </si>
  <si>
    <t>405147.49,280979.839</t>
  </si>
  <si>
    <t>405205.822,280033.478</t>
  </si>
  <si>
    <t>405316.827,280636.504</t>
  </si>
  <si>
    <t>405166.978,280000</t>
  </si>
  <si>
    <t>405315.63,280643.766</t>
  </si>
  <si>
    <t>405182.471,280037.793</t>
  </si>
  <si>
    <t>405182.768,280038.062</t>
  </si>
  <si>
    <t>405431.772,280889.651</t>
  </si>
  <si>
    <t>405317.537,280688.717</t>
  </si>
  <si>
    <t>405308.111,280746.381</t>
  </si>
  <si>
    <t>405439.696,280455.375</t>
  </si>
  <si>
    <t>405308.95,280740.841</t>
  </si>
  <si>
    <t>406312.49,280860.231</t>
  </si>
  <si>
    <t>405171.114,280967.146</t>
  </si>
  <si>
    <t>405164.274,280966.231</t>
  </si>
  <si>
    <t>405128.563,280974.554</t>
  </si>
  <si>
    <t>405128.279,280983.367</t>
  </si>
  <si>
    <t>406414.889,281023.267</t>
  </si>
  <si>
    <t>405299.614,280804.732</t>
  </si>
  <si>
    <t>405731.229,281032.285</t>
  </si>
  <si>
    <t>406526.582,280821.38</t>
  </si>
  <si>
    <t>405318.698,280681.852</t>
  </si>
  <si>
    <t>405329.719,280617.355</t>
  </si>
  <si>
    <t>405342.436,280601.717</t>
  </si>
  <si>
    <t>405431.607,280888.718</t>
  </si>
  <si>
    <t>405432.45,280888.394</t>
  </si>
  <si>
    <t>405438.494,280894.341</t>
  </si>
  <si>
    <t>406312.627,280859.856</t>
  </si>
  <si>
    <t>406852.645,281304.91</t>
  </si>
  <si>
    <t>406133.198,280949.952</t>
  </si>
  <si>
    <t>406321.383,280868.15</t>
  </si>
  <si>
    <t>406167.975,281032.882</t>
  </si>
  <si>
    <t>406129.833,280950.992</t>
  </si>
  <si>
    <t>406320.737,280865.283</t>
  </si>
  <si>
    <t>406171.631,281027.045</t>
  </si>
  <si>
    <t>406186.643,280905.217</t>
  </si>
  <si>
    <t>406499.318,281026.307</t>
  </si>
  <si>
    <t>406501.929,281024.24</t>
  </si>
  <si>
    <t>405434.516,280888.075</t>
  </si>
  <si>
    <t>405616.178,280957.36</t>
  </si>
  <si>
    <t>405672.113,280977.382</t>
  </si>
  <si>
    <t>405054.815,281117.39</t>
  </si>
  <si>
    <t>404471.859,281125.543</t>
  </si>
  <si>
    <t>404462.774,281202.129</t>
  </si>
  <si>
    <t>405028.499,281103.657</t>
  </si>
  <si>
    <t>405146.041,280999.603</t>
  </si>
  <si>
    <t>403885.134,280894.543</t>
  </si>
  <si>
    <t>403457.943,280924.834</t>
  </si>
  <si>
    <t>403888.469,280987.149</t>
  </si>
  <si>
    <t>403886.012,280984.801</t>
  </si>
  <si>
    <t>403880.739,280897.3</t>
  </si>
  <si>
    <t>403885.996,280896.759</t>
  </si>
  <si>
    <t>404802.141,281022.663</t>
  </si>
  <si>
    <t>404370.261,281302.984</t>
  </si>
  <si>
    <t>404062.728,281090.682</t>
  </si>
  <si>
    <t>403882.035,280895.014</t>
  </si>
  <si>
    <t>404370.654,281303.059</t>
  </si>
  <si>
    <t>404882.387,281031.5</t>
  </si>
  <si>
    <t>404874.828,281014.525</t>
  </si>
  <si>
    <t>404799.737,281022.821</t>
  </si>
  <si>
    <t>405717.84,282084.285</t>
  </si>
  <si>
    <t>406441.027,284185.825</t>
  </si>
  <si>
    <t>406722.902,285165.23</t>
  </si>
  <si>
    <t>405896.407,283107.414</t>
  </si>
  <si>
    <t>406806.244,285405.241</t>
  </si>
  <si>
    <t>405913.094,283106.268</t>
  </si>
  <si>
    <t>406729.031,284801.97</t>
  </si>
  <si>
    <t>405911.361,283099.496</t>
  </si>
  <si>
    <t>405888.371,283106.088</t>
  </si>
  <si>
    <t>405886.271,283104.812</t>
  </si>
  <si>
    <t>405134.414,281917.022</t>
  </si>
  <si>
    <t>405084.5,281785.808</t>
  </si>
  <si>
    <t>405165.906,281670.156</t>
  </si>
  <si>
    <t>405896.885,283107.891</t>
  </si>
  <si>
    <t>405143.5,281020.296</t>
  </si>
  <si>
    <t>405766.807,282240.465</t>
  </si>
  <si>
    <t>406381.266,284054.21</t>
  </si>
  <si>
    <t>405152.31,281031.309</t>
  </si>
  <si>
    <t>406380.777,284057.784</t>
  </si>
  <si>
    <t>405148.264,281063.404</t>
  </si>
  <si>
    <t>406658.863,284827.639</t>
  </si>
  <si>
    <t>405867.488,282853.692</t>
  </si>
  <si>
    <t>405856.904,282719.515</t>
  </si>
  <si>
    <t>405832.721,282720.457</t>
  </si>
  <si>
    <t>406137.972,283577.202</t>
  </si>
  <si>
    <t>405726.143,282652.354</t>
  </si>
  <si>
    <t>406727.913,284797.239</t>
  </si>
  <si>
    <t>406368.563,283893.318</t>
  </si>
  <si>
    <t>406371.87,283889.074</t>
  </si>
  <si>
    <t>406397.22,283897.197</t>
  </si>
  <si>
    <t>406575.992,283896.738</t>
  </si>
  <si>
    <t>405723.088,282650.049</t>
  </si>
  <si>
    <t>406553.739,284334.806</t>
  </si>
  <si>
    <t>405121.656,281000</t>
  </si>
  <si>
    <t>406552.15,284336.266</t>
  </si>
  <si>
    <t>405778.4,282276.036</t>
  </si>
  <si>
    <t>405781.862,282286.441</t>
  </si>
  <si>
    <t>405770.61,282252.584</t>
  </si>
  <si>
    <t>406658.378,284827.541</t>
  </si>
  <si>
    <t>406524.101,284355.107</t>
  </si>
  <si>
    <t>406579.316,284467.208</t>
  </si>
  <si>
    <t>406672.267,284655.858</t>
  </si>
  <si>
    <t>406684.628,284710.778</t>
  </si>
  <si>
    <t>405723.06,282650.554</t>
  </si>
  <si>
    <t>405854.651,282690.298</t>
  </si>
  <si>
    <t>406907.081,285798.083</t>
  </si>
  <si>
    <t>406878.023,285697.743</t>
  </si>
  <si>
    <t>406859.448,285619.028</t>
  </si>
  <si>
    <t>406595.768,284122.369</t>
  </si>
  <si>
    <t>406838.602,285545.497</t>
  </si>
  <si>
    <t>406440.506,284162.7</t>
  </si>
  <si>
    <t>406443.851,284390.908</t>
  </si>
  <si>
    <t>406594.378,284123.136</t>
  </si>
  <si>
    <t>406907.512,285799.65</t>
  </si>
  <si>
    <t>406506.715,284358.432</t>
  </si>
  <si>
    <t>406439.391,284390.01</t>
  </si>
  <si>
    <t>406512.832,284333.615</t>
  </si>
  <si>
    <t>406439.739,284183.006</t>
  </si>
  <si>
    <t>405320.286,282005.8</t>
  </si>
  <si>
    <t>406152.897,282183.792</t>
  </si>
  <si>
    <t>406359.861,282091.494</t>
  </si>
  <si>
    <t>406551.552,282599.148</t>
  </si>
  <si>
    <t>406552.816,282600.344</t>
  </si>
  <si>
    <t>406551.649,282598.76</t>
  </si>
  <si>
    <t>406557.52,282973.119</t>
  </si>
  <si>
    <t>406364.412,282316.158</t>
  </si>
  <si>
    <t>406757.217,282973.001</t>
  </si>
  <si>
    <t>406827.409,282865.591</t>
  </si>
  <si>
    <t>406825.984,282868.234</t>
  </si>
  <si>
    <t>406844.733,282836.428</t>
  </si>
  <si>
    <t>405146.797,281000</t>
  </si>
  <si>
    <t>406759.228,282964.512</t>
  </si>
  <si>
    <t>406556.974,282972.091</t>
  </si>
  <si>
    <t>407659.156,283291.183</t>
  </si>
  <si>
    <t>405768.536,282020.833</t>
  </si>
  <si>
    <t>405553.872,281713.928</t>
  </si>
  <si>
    <t>405469.931,281857.31</t>
  </si>
  <si>
    <t>405569.818,281615.658</t>
  </si>
  <si>
    <t>405427.301,281896.56</t>
  </si>
  <si>
    <t>405580.484,281617.034</t>
  </si>
  <si>
    <t>405710.595,282026.883</t>
  </si>
  <si>
    <t>406919.023,283120.899</t>
  </si>
  <si>
    <t>406364.695,282316.441</t>
  </si>
  <si>
    <t>406150.612,282185.536</t>
  </si>
  <si>
    <t>405734.672,281996.27</t>
  </si>
  <si>
    <t>405578.123,281886.881</t>
  </si>
  <si>
    <t>405407.935,281911.743</t>
  </si>
  <si>
    <t>407031.058,282646.948</t>
  </si>
  <si>
    <t>407186.242,282752.346</t>
  </si>
  <si>
    <t>407187.48,282753.501</t>
  </si>
  <si>
    <t>407188.949,282755.985</t>
  </si>
  <si>
    <t>407303.578,282859.658</t>
  </si>
  <si>
    <t>407329.631,282910.618</t>
  </si>
  <si>
    <t>406006.935,282144.653</t>
  </si>
  <si>
    <t>407062.61,282989.126</t>
  </si>
  <si>
    <t>407216.544,282950.753</t>
  </si>
  <si>
    <t>407150.472,282967.959</t>
  </si>
  <si>
    <t>407063.577,282990.53</t>
  </si>
  <si>
    <t>407148.379,282968.51</t>
  </si>
  <si>
    <t>407227.041,282947.987</t>
  </si>
  <si>
    <t>405775.936,282026.686</t>
  </si>
  <si>
    <t>406920.334,283120.841</t>
  </si>
  <si>
    <t>407198.124,282782.639</t>
  </si>
  <si>
    <t>407348.846,282916.372</t>
  </si>
  <si>
    <t>407328.775,282910.543</t>
  </si>
  <si>
    <t>405076.583,281024.422</t>
  </si>
  <si>
    <t>405076.364,280960.498</t>
  </si>
  <si>
    <t>405076.59,280964.651</t>
  </si>
  <si>
    <t>405124.306,280974.028</t>
  </si>
  <si>
    <t>405176.589,281085.487</t>
  </si>
  <si>
    <t>405179.803,281092.812</t>
  </si>
  <si>
    <t>404957.696,281210.782</t>
  </si>
  <si>
    <t>404896.571,281194.697</t>
  </si>
  <si>
    <t>404898.216,281194.841</t>
  </si>
  <si>
    <t>405105.4,281130.991</t>
  </si>
  <si>
    <t>404309.501,279309.703</t>
  </si>
  <si>
    <t>404813.328,279811.778</t>
  </si>
  <si>
    <t>404289.806,279916.03</t>
  </si>
  <si>
    <t>404467.625,279883.819</t>
  </si>
  <si>
    <t>404289.282,279909.363</t>
  </si>
  <si>
    <t>404535.89,279891.102</t>
  </si>
  <si>
    <t>404783.141,279463.405</t>
  </si>
  <si>
    <t>404679.714,279454.301</t>
  </si>
  <si>
    <t>403421.611,280139.92</t>
  </si>
  <si>
    <t>404931.883,280660.741</t>
  </si>
  <si>
    <t>404937.034,280661.741</t>
  </si>
  <si>
    <t>404672.272,280231.358</t>
  </si>
  <si>
    <t>403350.106,280372.364</t>
  </si>
  <si>
    <t>404932.322,280664.386</t>
  </si>
  <si>
    <t>404936.369,280662.222</t>
  </si>
  <si>
    <t>404740.114,280265.525</t>
  </si>
  <si>
    <t>404596.721,279431.693</t>
  </si>
  <si>
    <t>404605.662,279434.661</t>
  </si>
  <si>
    <t>404329.585,280120.006</t>
  </si>
  <si>
    <t>joint740</t>
  </si>
  <si>
    <t>403438.175,280311.656</t>
  </si>
  <si>
    <t>405093.032,280958.202</t>
  </si>
  <si>
    <t>405067.315,280943.891</t>
  </si>
  <si>
    <t>404608.964,280731.668</t>
  </si>
  <si>
    <t>404736.674,280263.405</t>
  </si>
  <si>
    <t>403441.212,280293.711</t>
  </si>
  <si>
    <t>405061.44,280952.971</t>
  </si>
  <si>
    <t>403348.032,280366.031</t>
  </si>
  <si>
    <t>404952.733,280841.52</t>
  </si>
  <si>
    <t>404723.73,280278.289</t>
  </si>
  <si>
    <t>404723.004,280277.018</t>
  </si>
  <si>
    <t>404723.47,280278.598</t>
  </si>
  <si>
    <t>403472.381,280168.393</t>
  </si>
  <si>
    <t>405126.84,280974.341</t>
  </si>
  <si>
    <t>404953.72,280844.871</t>
  </si>
  <si>
    <t>403472.265,280167.976</t>
  </si>
  <si>
    <t>403467.419,280165.439</t>
  </si>
  <si>
    <t>404732.735,281193.005</t>
  </si>
  <si>
    <t>404841.061,281144.08</t>
  </si>
  <si>
    <t>404771.991,281140.585</t>
  </si>
  <si>
    <t>405118.987,281011.505</t>
  </si>
  <si>
    <t>405037.841,281115.422</t>
  </si>
  <si>
    <t>405084.835,281145.834</t>
  </si>
  <si>
    <t>405039.452,281132.508</t>
  </si>
  <si>
    <t>406792.676,281092.49</t>
  </si>
  <si>
    <t>406793.306,281099.745</t>
  </si>
  <si>
    <t>406793.075,281092.471</t>
  </si>
  <si>
    <t>406735.087,281220.154</t>
  </si>
  <si>
    <t>405684.319,281526.06</t>
  </si>
  <si>
    <t>405687.496,281520.285</t>
  </si>
  <si>
    <t>406303.853,281346.099</t>
  </si>
  <si>
    <t>405141.978,281019.663</t>
  </si>
  <si>
    <t>405146.1,280986.095</t>
  </si>
  <si>
    <t>405467.302,281342.552</t>
  </si>
  <si>
    <t>405434.52,281342.36</t>
  </si>
  <si>
    <t>406691.885,281213.994</t>
  </si>
  <si>
    <t>406777.112,281069.197</t>
  </si>
  <si>
    <t>406769.979,281075.537</t>
  </si>
  <si>
    <t>405681.42,281524.608</t>
  </si>
  <si>
    <t>405141.457,281019.581</t>
  </si>
  <si>
    <t>406303.105,281350.543</t>
  </si>
  <si>
    <t>407431.374,281748.032</t>
  </si>
  <si>
    <t>407431.33,281747.433</t>
  </si>
  <si>
    <t>407560.25,281885.383</t>
  </si>
  <si>
    <t>406767.915,281240.247</t>
  </si>
  <si>
    <t>407411.998,280673.354</t>
  </si>
  <si>
    <t>408027.477,282794.274</t>
  </si>
  <si>
    <t>407560.43,281886.794</t>
  </si>
  <si>
    <t>407442.652,280401.443</t>
  </si>
  <si>
    <t>406689.732,281212.029</t>
  </si>
  <si>
    <t>408025.86,282798.031</t>
  </si>
  <si>
    <t>407371.652,281392.866</t>
  </si>
  <si>
    <t>405730.674,281032.239</t>
  </si>
  <si>
    <t>407809.801,282498.328</t>
  </si>
  <si>
    <t>408116.607,282583.003</t>
  </si>
  <si>
    <t>408120.105,282579.776</t>
  </si>
  <si>
    <t>408120.439,282579.997</t>
  </si>
  <si>
    <t>408118.387,282581.98</t>
  </si>
  <si>
    <t>405622.345,280970.034</t>
  </si>
  <si>
    <t>405671.287,280978.321</t>
  </si>
  <si>
    <t>405616.292,280956.976</t>
  </si>
  <si>
    <t>405263.67,280980.301</t>
  </si>
  <si>
    <t>407517.756,281848.513</t>
  </si>
  <si>
    <t>407979.627,282832.498</t>
  </si>
  <si>
    <t>407979.933,282832.756</t>
  </si>
  <si>
    <t>407617.011,282138.727</t>
  </si>
  <si>
    <t>407387.427,281751.108</t>
  </si>
  <si>
    <t>407424.28,281748.527</t>
  </si>
  <si>
    <t>407821.973,282652.499</t>
  </si>
  <si>
    <t>407365.67,281519.495</t>
  </si>
  <si>
    <t>407366.002,281508.338</t>
  </si>
  <si>
    <t>407976.718,282835.392</t>
  </si>
  <si>
    <t>407371.364,281396.764</t>
  </si>
  <si>
    <t>407351.798,281624.306</t>
  </si>
  <si>
    <t>407359.974,281655.266</t>
  </si>
  <si>
    <t>407520.754,281848.633</t>
  </si>
  <si>
    <t>407129.899,280522.89</t>
  </si>
  <si>
    <t>405332.511,281478.497</t>
  </si>
  <si>
    <t>405381.407,281425.215</t>
  </si>
  <si>
    <t>407115.904,280525.474</t>
  </si>
  <si>
    <t>405649.829,281836.69</t>
  </si>
  <si>
    <t>407118.282,280518.664</t>
  </si>
  <si>
    <t>405451.164,281336.192</t>
  </si>
  <si>
    <t>405914.796,280973.732</t>
  </si>
  <si>
    <t>405650.55,281838.98</t>
  </si>
  <si>
    <t>405627.948,281754.598</t>
  </si>
  <si>
    <t>405914.472,280973.531</t>
  </si>
  <si>
    <t>405668.635,281898.718</t>
  </si>
  <si>
    <t>405386.599,281043.768</t>
  </si>
  <si>
    <t>405391.476,280992.549</t>
  </si>
  <si>
    <t>405671.522,280977.523</t>
  </si>
  <si>
    <t>405446.571,281318.787</t>
  </si>
  <si>
    <t>405437.883,281263.416</t>
  </si>
  <si>
    <t>405832.44,282067.175</t>
  </si>
  <si>
    <t>405806.416,282040.552</t>
  </si>
  <si>
    <t>406168.135,282159.176</t>
  </si>
  <si>
    <t>406140.476,282168.538</t>
  </si>
  <si>
    <t>405384.685,281058.791</t>
  </si>
  <si>
    <t>405623.689,280969.934</t>
  </si>
  <si>
    <t>406006.027,282132.467</t>
  </si>
  <si>
    <t>405447.693,281322.338</t>
  </si>
  <si>
    <t>405192.622,280980.354</t>
  </si>
  <si>
    <t>406954.152,281798.811</t>
  </si>
  <si>
    <t>405435.944,281358.665</t>
  </si>
  <si>
    <t>405414.878,281388.584</t>
  </si>
  <si>
    <t>405388.466,281418.905</t>
  </si>
  <si>
    <t>405149.104,280979.845</t>
  </si>
  <si>
    <t>405832.727,282068.269</t>
  </si>
  <si>
    <t>405913.206,281018.754</t>
  </si>
  <si>
    <t>406930.96,280615.555</t>
  </si>
  <si>
    <t>406729.814,280771.444</t>
  </si>
  <si>
    <t>406919.091,280615.757</t>
  </si>
  <si>
    <t>406007.897,282133.219</t>
  </si>
  <si>
    <t>406524.993,280821.146</t>
  </si>
  <si>
    <t>406445.437,280591.206</t>
  </si>
  <si>
    <t>407426.48,280403.813</t>
  </si>
  <si>
    <t>406463.857,280820.861</t>
  </si>
  <si>
    <t>407129.962,280522.096</t>
  </si>
  <si>
    <t>407195.773,280544.182</t>
  </si>
  <si>
    <t>407204.659,280543.601</t>
  </si>
  <si>
    <t>406447.548,280590.247</t>
  </si>
  <si>
    <t>406446.665,280822.556</t>
  </si>
  <si>
    <t>406730.188,280771.588</t>
  </si>
  <si>
    <t>406514.624,280805.264</t>
  </si>
  <si>
    <t>407167.65,280823.44</t>
  </si>
  <si>
    <t>404302.394,280568.82</t>
  </si>
  <si>
    <t>404323.865,280483.732</t>
  </si>
  <si>
    <t>404323.136,280486.026</t>
  </si>
  <si>
    <t>404600.242,280726.901</t>
  </si>
  <si>
    <t>404283.264,280616.994</t>
  </si>
  <si>
    <t>404260.646,280676.954</t>
  </si>
  <si>
    <t>404218.159,280728.925</t>
  </si>
  <si>
    <t>401576.319,279381.597</t>
  </si>
  <si>
    <t>402297.543,279968.106</t>
  </si>
  <si>
    <t>402306.263,279972.525</t>
  </si>
  <si>
    <t>404804.277,280811.755</t>
  </si>
  <si>
    <t>404285.456,280614.357</t>
  </si>
  <si>
    <t>401780.584,279333.905</t>
  </si>
  <si>
    <t>403950.068,280877.549</t>
  </si>
  <si>
    <t>401577.667,279380.68</t>
  </si>
  <si>
    <t>401195.45,279531.043</t>
  </si>
  <si>
    <t>403077.565,280775.239</t>
  </si>
  <si>
    <t>401792.77,279996.318</t>
  </si>
  <si>
    <t>404092.802,280746.249</t>
  </si>
  <si>
    <t>402500.927,280143.354</t>
  </si>
  <si>
    <t>401443.995,280073.204</t>
  </si>
  <si>
    <t>403077.767,280775.595</t>
  </si>
  <si>
    <t>401442.88,280074.082</t>
  </si>
  <si>
    <t>401198.93,279531.427</t>
  </si>
  <si>
    <t>401616.451,279764.075</t>
  </si>
  <si>
    <t>404207.329,280807.15</t>
  </si>
  <si>
    <t>402509.107,280150.77</t>
  </si>
  <si>
    <t>404206.911,280808.038</t>
  </si>
  <si>
    <t>404211.615,280729.702</t>
  </si>
  <si>
    <t>402599.854,280240.666</t>
  </si>
  <si>
    <t>401575.793,279384.548</t>
  </si>
  <si>
    <t>403400.621,281221.259</t>
  </si>
  <si>
    <t>403458.636,281311.152</t>
  </si>
  <si>
    <t>402611.666,280252.195</t>
  </si>
  <si>
    <t>402157.865,279852.916</t>
  </si>
  <si>
    <t>401576.07,279381.281</t>
  </si>
  <si>
    <t>402219.15,279890.074</t>
  </si>
  <si>
    <t>405084.98,280962.079</t>
  </si>
  <si>
    <t>401577.41,279380.37</t>
  </si>
  <si>
    <t>402708.033,280347.091</t>
  </si>
  <si>
    <t>401940.177,279934.607</t>
  </si>
  <si>
    <t>401610.922,279757.357</t>
  </si>
  <si>
    <t>401946.053,279425.667</t>
  </si>
  <si>
    <t>401944.831,279421.19</t>
  </si>
  <si>
    <t>401838.732,279350.852</t>
  </si>
  <si>
    <t>403107.571,280759.724</t>
  </si>
  <si>
    <t>402028.752,279877.762</t>
  </si>
  <si>
    <t>401269.476,279547.076</t>
  </si>
  <si>
    <t>403850.153,281054.649</t>
  </si>
  <si>
    <t>401859.596,279978.235</t>
  </si>
  <si>
    <t>402105.107,279864.209</t>
  </si>
  <si>
    <t>402130.042,279856.235</t>
  </si>
  <si>
    <t>404786.887,279571.396</t>
  </si>
  <si>
    <t>405026.563,280922.825</t>
  </si>
  <si>
    <t>404894.27,279474.263</t>
  </si>
  <si>
    <t>404786.687,279740.259</t>
  </si>
  <si>
    <t>404915.018,280604.032</t>
  </si>
  <si>
    <t>404795.644,279754.279</t>
  </si>
  <si>
    <t>404918.046,280629.978</t>
  </si>
  <si>
    <t>405125.223,280974.141</t>
  </si>
  <si>
    <t>404738.566,280043.12</t>
  </si>
  <si>
    <t>405435.777,280290.979</t>
  </si>
  <si>
    <t>404793.764,279900.5</t>
  </si>
  <si>
    <t>404859.387,280408.291</t>
  </si>
  <si>
    <t>404856.778,280403.497</t>
  </si>
  <si>
    <t>404738.639,280045.49</t>
  </si>
  <si>
    <t>404811.697,279824.587</t>
  </si>
  <si>
    <t>404428.079,279347.468</t>
  </si>
  <si>
    <t>404409.252,279337.553</t>
  </si>
  <si>
    <t>404387.181,279329.975</t>
  </si>
  <si>
    <t>405430.692,280696.285</t>
  </si>
  <si>
    <t>405509.762,280047.365</t>
  </si>
  <si>
    <t>405495.076,280031.526</t>
  </si>
  <si>
    <t>404811.083,279585.958</t>
  </si>
  <si>
    <t>405428.819,280710.231</t>
  </si>
  <si>
    <t>404450.08,279359.356</t>
  </si>
  <si>
    <t>404787.565,279701.766</t>
  </si>
  <si>
    <t>404929.157,279354.896</t>
  </si>
  <si>
    <t>404896.185,279474.075</t>
  </si>
  <si>
    <t>404866.595,279325.667</t>
  </si>
  <si>
    <t>405420.509,280843.984</t>
  </si>
  <si>
    <t>405433.802,280845.678</t>
  </si>
  <si>
    <t>404890.525,279460.806</t>
  </si>
  <si>
    <t>404889.038,279430.849</t>
  </si>
  <si>
    <t>404885.593,279428.816</t>
  </si>
  <si>
    <t>404827.852,279398.171</t>
  </si>
  <si>
    <t>404876.569,279305.19</t>
  </si>
  <si>
    <t>405120.496,280963.587</t>
  </si>
  <si>
    <t>405512.011,279850.894</t>
  </si>
  <si>
    <t>405324.54,279662.57</t>
  </si>
  <si>
    <t>404948.69,279361.77</t>
  </si>
  <si>
    <t>405514.421,279830.971</t>
  </si>
  <si>
    <t>404336.32,279330.106</t>
  </si>
  <si>
    <t>404803.277,279376.683</t>
  </si>
  <si>
    <t>405450.663,280313.389</t>
  </si>
  <si>
    <t>404811.582,279576.522</t>
  </si>
  <si>
    <t>404237.701,279300.607</t>
  </si>
  <si>
    <t>405410.226,280855.865</t>
  </si>
  <si>
    <t>405433.698,280845.907</t>
  </si>
  <si>
    <t>407302.477,281755.219</t>
  </si>
  <si>
    <t>407090.456,281660.053</t>
  </si>
  <si>
    <t>407313.3,281758.35</t>
  </si>
  <si>
    <t>407322.592,281757.807</t>
  </si>
  <si>
    <t>407323.224,281758.178</t>
  </si>
  <si>
    <t>405782.11,281018.419</t>
  </si>
  <si>
    <t>405193.051,280981.854</t>
  </si>
  <si>
    <t>405406.829,280881.478</t>
  </si>
  <si>
    <t>406790.652,281279.44</t>
  </si>
  <si>
    <t>405393.018,280990.496</t>
  </si>
  <si>
    <t>406684.495,281209.564</t>
  </si>
  <si>
    <t>405390.57,280995.828</t>
  </si>
  <si>
    <t>405149.301,280979.874</t>
  </si>
  <si>
    <t>406958.794,281802.1</t>
  </si>
  <si>
    <t>406676.526,281204.382</t>
  </si>
  <si>
    <t>405393.562,280996.969</t>
  </si>
  <si>
    <t>407159.855,281703.376</t>
  </si>
  <si>
    <t>405671.929,280978.803</t>
  </si>
  <si>
    <t>406659.315,282940.43</t>
  </si>
  <si>
    <t>406975.34,284136.543</t>
  </si>
  <si>
    <t>406980.586,284148.036</t>
  </si>
  <si>
    <t>406557.764,282971.968</t>
  </si>
  <si>
    <t>407147.85,284479.455</t>
  </si>
  <si>
    <t>406973.216,284131.717</t>
  </si>
  <si>
    <t>407076.14,285650.258</t>
  </si>
  <si>
    <t>406664.971,282941.469</t>
  </si>
  <si>
    <t>407045.042,284012.128</t>
  </si>
  <si>
    <t>406895.885,283620.488</t>
  </si>
  <si>
    <t>406896.157,283620.803</t>
  </si>
  <si>
    <t>406897.927,283623.544</t>
  </si>
  <si>
    <t>405626.597,281187.123</t>
  </si>
  <si>
    <t>407640.976,284852.178</t>
  </si>
  <si>
    <t>407614.646,284822.692</t>
  </si>
  <si>
    <t>405631.443,281186.745</t>
  </si>
  <si>
    <t>405656.023,281180.521</t>
  </si>
  <si>
    <t>405701.602,281285.559</t>
  </si>
  <si>
    <t>407306.735,284984.431</t>
  </si>
  <si>
    <t>407263.95,284892.333</t>
  </si>
  <si>
    <t>407271.781,284690.575</t>
  </si>
  <si>
    <t>405556.179,281207.21</t>
  </si>
  <si>
    <t>406920.025,283636.169</t>
  </si>
  <si>
    <t>406325.124,281759.326</t>
  </si>
  <si>
    <t>joint1440</t>
  </si>
  <si>
    <t>406329.721,281749.737</t>
  </si>
  <si>
    <t>406454.907,281696.622</t>
  </si>
  <si>
    <t>407254.803,285333.771</t>
  </si>
  <si>
    <t>407076.523,285650.141</t>
  </si>
  <si>
    <t>407080.604,285654.664</t>
  </si>
  <si>
    <t>407147.763,285628.905</t>
  </si>
  <si>
    <t>407089.423,285505.334</t>
  </si>
  <si>
    <t>407088.383,285482.019</t>
  </si>
  <si>
    <t>407204.034,285434.633</t>
  </si>
  <si>
    <t>407245.314,285336.74</t>
  </si>
  <si>
    <t>407246.213,285049.936</t>
  </si>
  <si>
    <t>407206.009,285405.866</t>
  </si>
  <si>
    <t>406077.294,281658.448</t>
  </si>
  <si>
    <t>405382.786,281000</t>
  </si>
  <si>
    <t>406154.491,281734.755</t>
  </si>
  <si>
    <t>405619.056,281101.921</t>
  </si>
  <si>
    <t>405434.116,281063.465</t>
  </si>
  <si>
    <t>406076.884,281658.318</t>
  </si>
  <si>
    <t>406915.414,283613.82</t>
  </si>
  <si>
    <t>406881.189,283449.298</t>
  </si>
  <si>
    <t>405452.845,280289.183</t>
  </si>
  <si>
    <t>405442.88,280309.85</t>
  </si>
  <si>
    <t>405452.974,280290.302</t>
  </si>
  <si>
    <t>405440.408,280311.69</t>
  </si>
  <si>
    <t>405188.488,280637.372</t>
  </si>
  <si>
    <t>405149.321,280633.223</t>
  </si>
  <si>
    <t>405185.215,280642.955</t>
  </si>
  <si>
    <t>405175.593,280664.157</t>
  </si>
  <si>
    <t>405123.1,280972.104</t>
  </si>
  <si>
    <t>405181.734,280649.578</t>
  </si>
  <si>
    <t>404374.383,279330.026</t>
  </si>
  <si>
    <t>404811.566,279646.326</t>
  </si>
  <si>
    <t>404811.477,279586.527</t>
  </si>
  <si>
    <t>405192.947,280980.567</t>
  </si>
  <si>
    <t>405862.742,280785.818</t>
  </si>
  <si>
    <t>405865.722,280774.649</t>
  </si>
  <si>
    <t>405863.122,280784.872</t>
  </si>
  <si>
    <t>406358.372,279935.974</t>
  </si>
  <si>
    <t>joint1540</t>
  </si>
  <si>
    <t>405669.378,280608.473</t>
  </si>
  <si>
    <t>405330.652,280615.438</t>
  </si>
  <si>
    <t>405754.685,280649.327</t>
  </si>
  <si>
    <t>405738.577,280709.996</t>
  </si>
  <si>
    <t>405738.441,280712.017</t>
  </si>
  <si>
    <t>405603.381,280601.478</t>
  </si>
  <si>
    <t>406441.477,280590.67</t>
  </si>
  <si>
    <t>406419.835,280365.183</t>
  </si>
  <si>
    <t>406356.652,279935.679</t>
  </si>
  <si>
    <t>405674.083,280595.55</t>
  </si>
  <si>
    <t>405341.988,280602.894</t>
  </si>
  <si>
    <t>405626.618,280606.471</t>
  </si>
  <si>
    <t>405602.53,280598.687</t>
  </si>
  <si>
    <t>405672.624,280594.685</t>
  </si>
  <si>
    <t>405893.737,280202.524</t>
  </si>
  <si>
    <t>406190.511,279955.734</t>
  </si>
  <si>
    <t>405872.797,280221.466</t>
  </si>
  <si>
    <t>405869.451,280297.769</t>
  </si>
  <si>
    <t>406006.574,280438.076</t>
  </si>
  <si>
    <t>406358.073,279936.972</t>
  </si>
  <si>
    <t>406001.669,280461.686</t>
  </si>
  <si>
    <t>405497.312,279988.961</t>
  </si>
  <si>
    <t>405747.227,278938.435</t>
  </si>
  <si>
    <t>405775.893,278895.543</t>
  </si>
  <si>
    <t>405579.249,278668.99</t>
  </si>
  <si>
    <t>405787.578,278722.461</t>
  </si>
  <si>
    <t>405235.609,278167.362</t>
  </si>
  <si>
    <t>405908.58,279517.056</t>
  </si>
  <si>
    <t>405598.328,279370.01</t>
  </si>
  <si>
    <t>405601.398,279368.82</t>
  </si>
  <si>
    <t>405193.12,280980.235</t>
  </si>
  <si>
    <t>405329.769,280615.264</t>
  </si>
  <si>
    <t>405322.475,278127.523</t>
  </si>
  <si>
    <t>405539.763,279766.719</t>
  </si>
  <si>
    <t>405342.014,280602.494</t>
  </si>
  <si>
    <t>405588.571,279428.395</t>
  </si>
  <si>
    <t>405453.732,280386.909</t>
  </si>
  <si>
    <t>405453.701,280382.936</t>
  </si>
  <si>
    <t>405604.743,279368.389</t>
  </si>
  <si>
    <t>405688.932,278208.996</t>
  </si>
  <si>
    <t>405789.069,278535.529</t>
  </si>
  <si>
    <t>405730.852,278337.526</t>
  </si>
  <si>
    <t>405726.96,278330.436</t>
  </si>
  <si>
    <t>405689.532,278208.171</t>
  </si>
  <si>
    <t>405521.855,278511.759</t>
  </si>
  <si>
    <t>405773.902,278546.068</t>
  </si>
  <si>
    <t>405479.232,278818.861</t>
  </si>
  <si>
    <t>405755.004,278432.832</t>
  </si>
  <si>
    <t>405342.5,278487.46</t>
  </si>
  <si>
    <t>405599.768,279370.638</t>
  </si>
  <si>
    <t>405205.601,278205.061</t>
  </si>
  <si>
    <t>405246.501,278303.053</t>
  </si>
  <si>
    <t>405483.715,278331.312</t>
  </si>
  <si>
    <t>405514.213,278326.39</t>
  </si>
  <si>
    <t>405652.798,278448.594</t>
  </si>
  <si>
    <t>405723.057,278924.396</t>
  </si>
  <si>
    <t>405339.335,278483.494</t>
  </si>
  <si>
    <t>405340.449,278481.896</t>
  </si>
  <si>
    <t>405578.7,278441.69</t>
  </si>
  <si>
    <t>405534.155,278481.516</t>
  </si>
  <si>
    <t>405535.504,278489.662</t>
  </si>
  <si>
    <t>405246.627,278301.876</t>
  </si>
  <si>
    <t>405049.873,278845.595</t>
  </si>
  <si>
    <t>405156.574,278551.295</t>
  </si>
  <si>
    <t>405221.586,278474.916</t>
  </si>
  <si>
    <t>405246.232,278301.792</t>
  </si>
  <si>
    <t>405221.507,278481.479</t>
  </si>
  <si>
    <t>405207.675,278517.127</t>
  </si>
  <si>
    <t>405011.806,278873.286</t>
  </si>
  <si>
    <t>405680.592,278902.088</t>
  </si>
  <si>
    <t>405821.548,278931.592</t>
  </si>
  <si>
    <t>405689.425,278906.214</t>
  </si>
  <si>
    <t>405700.244,278911.841</t>
  </si>
  <si>
    <t>405502.162,278901.114</t>
  </si>
  <si>
    <t>405413.365,278912.658</t>
  </si>
  <si>
    <t>405421.063,278910.862</t>
  </si>
  <si>
    <t>405479.618,278820.81</t>
  </si>
  <si>
    <t>405210.127,278540.141</t>
  </si>
  <si>
    <t>405475.163,278808.623</t>
  </si>
  <si>
    <t>405261.758,278538.308</t>
  </si>
  <si>
    <t>405222.179,278489.531</t>
  </si>
  <si>
    <t>405221.391,278485.062</t>
  </si>
  <si>
    <t>405470.713,278901.97</t>
  </si>
  <si>
    <t>405600.201,279367.209</t>
  </si>
  <si>
    <t>405794.029,278926.438</t>
  </si>
  <si>
    <t>405452.867,279055.563</t>
  </si>
  <si>
    <t>405454.618,279057.314</t>
  </si>
  <si>
    <t>405785.73,278966.969</t>
  </si>
  <si>
    <t>405605.195,279367.85</t>
  </si>
  <si>
    <t>405750.268,279313.819</t>
  </si>
  <si>
    <t>405754.292,279315.665</t>
  </si>
  <si>
    <t>405755.848,279308.707</t>
  </si>
  <si>
    <t>405118.563,281011.448</t>
  </si>
  <si>
    <t>405051.261,281113.91</t>
  </si>
  <si>
    <t>404795.228,281062.673</t>
  </si>
  <si>
    <t>404886.186,281013.874</t>
  </si>
  <si>
    <t>404766.729,281090.51</t>
  </si>
  <si>
    <t>402489.389,280118.457</t>
  </si>
  <si>
    <t>402220.131,280183.238</t>
  </si>
  <si>
    <t>402243.711,280273.611</t>
  </si>
  <si>
    <t>404003.405,280369.44</t>
  </si>
  <si>
    <t>405124.027,280973.993</t>
  </si>
  <si>
    <t>405000,280903.545</t>
  </si>
  <si>
    <t>402302.925,279973.618</t>
  </si>
  <si>
    <t>401769.329,280680.198</t>
  </si>
  <si>
    <t>402015.104,280750.76</t>
  </si>
  <si>
    <t>405128.142,280974.502</t>
  </si>
  <si>
    <t>402205.201,280128.289</t>
  </si>
  <si>
    <t>401889.855,280856.524</t>
  </si>
  <si>
    <t>402277.65,280541.91</t>
  </si>
  <si>
    <t>405076.273,280960.731</t>
  </si>
  <si>
    <t>402079.166,280776.158</t>
  </si>
  <si>
    <t>402206.148,280134.083</t>
  </si>
  <si>
    <t>402078.656,280776.397</t>
  </si>
  <si>
    <t>401798.469,280958.201</t>
  </si>
  <si>
    <t>401723.238,280385.952</t>
  </si>
  <si>
    <t>401939.397,280815.087</t>
  </si>
  <si>
    <t>402222.113,279894.742</t>
  </si>
  <si>
    <t>401215.111,280383.278</t>
  </si>
  <si>
    <t>402223.737,279896.355</t>
  </si>
  <si>
    <t>401945.773,281103.324</t>
  </si>
  <si>
    <t>402020.667,280746.042</t>
  </si>
  <si>
    <t>401930.421,280821.671</t>
  </si>
  <si>
    <t>401884.994,280860.853</t>
  </si>
  <si>
    <t>404313.776,279614.109</t>
  </si>
  <si>
    <t>401931.133,280818.89</t>
  </si>
  <si>
    <t>403359.847,280103.729</t>
  </si>
  <si>
    <t>403363.214,280105.961</t>
  </si>
  <si>
    <t>403337.446,281122.306</t>
  </si>
  <si>
    <t>403551.025,281237.784</t>
  </si>
  <si>
    <t>403852.091,281052.564</t>
  </si>
  <si>
    <t>403515.691,281222.835</t>
  </si>
  <si>
    <t>403453.506,281178.555</t>
  </si>
  <si>
    <t>403185.502,280843.341</t>
  </si>
  <si>
    <t>403185.873,280843.487</t>
  </si>
  <si>
    <t>403248.225,280981.468</t>
  </si>
  <si>
    <t>403250.78,280982.327</t>
  </si>
  <si>
    <t>403443.388,280932.853</t>
  </si>
  <si>
    <t>403186.976,280839.593</t>
  </si>
  <si>
    <t>403421.617,281593.438</t>
  </si>
  <si>
    <t>405123.359,280974.983</t>
  </si>
  <si>
    <t>403415.128,281244.567</t>
  </si>
  <si>
    <t>405000,280919.212</t>
  </si>
  <si>
    <t>403131.13,281043.416</t>
  </si>
  <si>
    <t>403340.199,281126.621</t>
  </si>
  <si>
    <t>403139.643,281102.352</t>
  </si>
  <si>
    <t>403187.346,280839.738</t>
  </si>
  <si>
    <t>403129.859,281044.231</t>
  </si>
  <si>
    <t>403130.015,281042.688</t>
  </si>
  <si>
    <t>405135.925,281037.417</t>
  </si>
  <si>
    <t>405132.715,281057.484</t>
  </si>
  <si>
    <t>405129.389,281073.799</t>
  </si>
  <si>
    <t>405129.36,281092.583</t>
  </si>
  <si>
    <t>405129.07,281092.859</t>
  </si>
  <si>
    <t>405128.78,281093.135</t>
  </si>
  <si>
    <t>405129.356,281093.158</t>
  </si>
  <si>
    <t>405513.125,279851.342</t>
  </si>
  <si>
    <t>405557.434,279511.952</t>
  </si>
  <si>
    <t>405488.187,280147.263</t>
  </si>
  <si>
    <t>405523.843,279471.845</t>
  </si>
  <si>
    <t>405564.024,279564.973</t>
  </si>
  <si>
    <t>405149.374,280982.43</t>
  </si>
  <si>
    <t>407366.866,283257.256</t>
  </si>
  <si>
    <t>407123.043,281434.315</t>
  </si>
  <si>
    <t>407187.906,283493.402</t>
  </si>
  <si>
    <t>407521.014,282963.535</t>
  </si>
  <si>
    <t>407464.903,282595.102</t>
  </si>
  <si>
    <t>405145.196,280999.255</t>
  </si>
  <si>
    <t>407170.604,283525.471</t>
  </si>
  <si>
    <t>405124.864,280974.097</t>
  </si>
  <si>
    <t>404901.204,281013.785</t>
  </si>
  <si>
    <t>404732.338,281192.953</t>
  </si>
  <si>
    <t>405147.108,280979.79</t>
  </si>
  <si>
    <t>405343.145,280319.754</t>
  </si>
  <si>
    <t>405301.164,280793.748</t>
  </si>
  <si>
    <t>405294.883,280984.405</t>
  </si>
  <si>
    <t>405130.378,280983.6</t>
  </si>
  <si>
    <t>405148.708,280979.794</t>
  </si>
  <si>
    <t>406480.869,281064.824</t>
  </si>
  <si>
    <t>406486.266,281067.582</t>
  </si>
  <si>
    <t>405054.055,281116.719</t>
  </si>
  <si>
    <t>404747.097,281561.457</t>
  </si>
  <si>
    <t>404461.07,281222.962</t>
  </si>
  <si>
    <t>405147.479,280983.042</t>
  </si>
  <si>
    <t>404877.703,281032.103</t>
  </si>
  <si>
    <t>404874.642,281014.168</t>
  </si>
  <si>
    <t>405889.317,283105.475</t>
  </si>
  <si>
    <t>405890.783,283106.592</t>
  </si>
  <si>
    <t>405135.056,281915.248</t>
  </si>
  <si>
    <t>405181.155,281652.958</t>
  </si>
  <si>
    <t>406383.614,284059.044</t>
  </si>
  <si>
    <t>405202.307,281182.824</t>
  </si>
  <si>
    <t>406135.924,283573.414</t>
  </si>
  <si>
    <t>405833.541,282720.468</t>
  </si>
  <si>
    <t>405722.755,282651.135</t>
  </si>
  <si>
    <t>405121.023,280992.194</t>
  </si>
  <si>
    <t>406848.854,285908.73</t>
  </si>
  <si>
    <t>406671.311,284683.049</t>
  </si>
  <si>
    <t>406695.651,284734.067</t>
  </si>
  <si>
    <t>406845.61,285502.331</t>
  </si>
  <si>
    <t>406425.701,284139.423</t>
  </si>
  <si>
    <t>406506.31,284358.37</t>
  </si>
  <si>
    <t>405314.838,282012.281</t>
  </si>
  <si>
    <t>406361.136,282092.74</t>
  </si>
  <si>
    <t>406551.448,282601.235</t>
  </si>
  <si>
    <t>406525.077,282597.553</t>
  </si>
  <si>
    <t>406526.235,282592.141</t>
  </si>
  <si>
    <t>405145.299,280998.462</t>
  </si>
  <si>
    <t>406556.559,282969.323</t>
  </si>
  <si>
    <t>405752.557,282008.282</t>
  </si>
  <si>
    <t>405557.723,281704.286</t>
  </si>
  <si>
    <t>405713.63,282026.335</t>
  </si>
  <si>
    <t>405355.401,281501.952</t>
  </si>
  <si>
    <t>405575.032,281614.824</t>
  </si>
  <si>
    <t>406363.728,282313.978</t>
  </si>
  <si>
    <t>407182.319,282755.087</t>
  </si>
  <si>
    <t>406069.297,282169.087</t>
  </si>
  <si>
    <t>407338.322,282919.144</t>
  </si>
  <si>
    <t>405991.984,282143.312</t>
  </si>
  <si>
    <t>405149.631,281055.434</t>
  </si>
  <si>
    <t>407187.769,282753.056</t>
  </si>
  <si>
    <t>404959.851,281210.773</t>
  </si>
  <si>
    <t>405119.831,281011.618</t>
  </si>
  <si>
    <t>405145.247,280998.858</t>
  </si>
  <si>
    <t>404333.889,279333.095</t>
  </si>
  <si>
    <t>404600.124,280728.892</t>
  </si>
  <si>
    <t>403399.301,280170.842</t>
  </si>
  <si>
    <t>404775.628,280801.075</t>
  </si>
  <si>
    <t>404723.885,280277.216</t>
  </si>
  <si>
    <t>405076.534,281189.193</t>
  </si>
  <si>
    <t>405706.965,281515.02</t>
  </si>
  <si>
    <t>406793.873,281097.706</t>
  </si>
  <si>
    <t>405144.727,280989.854</t>
  </si>
  <si>
    <t>405140.634,281019.45</t>
  </si>
  <si>
    <t>407378.137,281093.646</t>
  </si>
  <si>
    <t>407822.364,282648.092</t>
  </si>
  <si>
    <t>405635.528,280970.729</t>
  </si>
  <si>
    <t>405149.499,280979.896</t>
  </si>
  <si>
    <t>407395.92,281846.443</t>
  </si>
  <si>
    <t>407980.018,282832.055</t>
  </si>
  <si>
    <t>407980.318,282832.32</t>
  </si>
  <si>
    <t>405605.363,281641.538</t>
  </si>
  <si>
    <t>405359.611,281450.092</t>
  </si>
  <si>
    <t>405660.896,281860.883</t>
  </si>
  <si>
    <t>405630.595,281766.447</t>
  </si>
  <si>
    <t>405385.381,281053.384</t>
  </si>
  <si>
    <t>405391.694,280995.584</t>
  </si>
  <si>
    <t>405445.981,281289.311</t>
  </si>
  <si>
    <t>405555.871,281207.517</t>
  </si>
  <si>
    <t>405812.97,282047.356</t>
  </si>
  <si>
    <t>405911.079,280974.281</t>
  </si>
  <si>
    <t>405149.453,280981.818</t>
  </si>
  <si>
    <t>405730.161,281033.222</t>
  </si>
  <si>
    <t>405554.271,281205.561</t>
  </si>
  <si>
    <t>407216.952,280538.31</t>
  </si>
  <si>
    <t>406061.712,282154.98</t>
  </si>
  <si>
    <t>405920.019,281014.636</t>
  </si>
  <si>
    <t>404318.155,280485.54</t>
  </si>
  <si>
    <t>404316.046,280533.682</t>
  </si>
  <si>
    <t>401655.234,279296.947</t>
  </si>
  <si>
    <t>404967.341,280895.045</t>
  </si>
  <si>
    <t>401659.71,279298.357</t>
  </si>
  <si>
    <t>401192.285,279541.211</t>
  </si>
  <si>
    <t>404204.054,280809.684</t>
  </si>
  <si>
    <t>403105.396,280756.779</t>
  </si>
  <si>
    <t>401436.288,280069.81</t>
  </si>
  <si>
    <t>401660.807,280095.643</t>
  </si>
  <si>
    <t>401617.931,279765.421</t>
  </si>
  <si>
    <t>402513.017,280147.082</t>
  </si>
  <si>
    <t>403457.132,281310.692</t>
  </si>
  <si>
    <t>405123.389,280974.735</t>
  </si>
  <si>
    <t>404944.881,280854.845</t>
  </si>
  <si>
    <t>404740.301,280037.764</t>
  </si>
  <si>
    <t>404794.774,279898.062</t>
  </si>
  <si>
    <t>404741.044,280038.065</t>
  </si>
  <si>
    <t>404237.331,279302.085</t>
  </si>
  <si>
    <t>404809.943,279646.751</t>
  </si>
  <si>
    <t>404782.543,279432.494</t>
  </si>
  <si>
    <t>404837.458,279704.073</t>
  </si>
  <si>
    <t>405435.277,280838.83</t>
  </si>
  <si>
    <t>405125.628,280974.191</t>
  </si>
  <si>
    <t>405407.143,279667.069</t>
  </si>
  <si>
    <t>404342.929,279313.653</t>
  </si>
  <si>
    <t>404945,280852.364</t>
  </si>
  <si>
    <t>405440.375,280451.762</t>
  </si>
  <si>
    <t>405129.24,279496.831</t>
  </si>
  <si>
    <t>405435.61,280838.869</t>
  </si>
  <si>
    <t>405149.335,280982.734</t>
  </si>
  <si>
    <t>406985.195,281764.652</t>
  </si>
  <si>
    <t>405625.14,280969.805</t>
  </si>
  <si>
    <t>407207.898,284528.921</t>
  </si>
  <si>
    <t>407283.264,284725.457</t>
  </si>
  <si>
    <t>407642.643,284851.526</t>
  </si>
  <si>
    <t>407485.805,284892.528</t>
  </si>
  <si>
    <t>405841.927,281462.801</t>
  </si>
  <si>
    <t>407300.533,285013.668</t>
  </si>
  <si>
    <t>407075.753,285647.615</t>
  </si>
  <si>
    <t>407236.517,285250.586</t>
  </si>
  <si>
    <t>406364.603,281936.079</t>
  </si>
  <si>
    <t>406456.587,281699.895</t>
  </si>
  <si>
    <t>407181.458,285145.026</t>
  </si>
  <si>
    <t>407075.37,285647.732</t>
  </si>
  <si>
    <t>406330.295,281746.46</t>
  </si>
  <si>
    <t>406127.325,281651.351</t>
  </si>
  <si>
    <t>405149.696,280979.921</t>
  </si>
  <si>
    <t>406126.554,281641.187</t>
  </si>
  <si>
    <t>406914.585,283608.68</t>
  </si>
  <si>
    <t>406075.636,281659.568</t>
  </si>
  <si>
    <t>405124.585,280974.062</t>
  </si>
  <si>
    <t>405149.4,280982.227</t>
  </si>
  <si>
    <t>405859.264,280784.039</t>
  </si>
  <si>
    <t>405670.041,280610.161</t>
  </si>
  <si>
    <t>405873.299,280301.821</t>
  </si>
  <si>
    <t>405825.525,280666.761</t>
  </si>
  <si>
    <t>406100.307,280018.791</t>
  </si>
  <si>
    <t>406091.297,280027.047</t>
  </si>
  <si>
    <t>405445.292,280309.313</t>
  </si>
  <si>
    <t>406359.009,279938.068</t>
  </si>
  <si>
    <t>405512.756,279851.187</t>
  </si>
  <si>
    <t>405729.92,278928.406</t>
  </si>
  <si>
    <t>405136.182,280977.328</t>
  </si>
  <si>
    <t>405564.421,279565.009</t>
  </si>
  <si>
    <t>405478.128,278817.458</t>
  </si>
  <si>
    <t>405763.676,278433.841</t>
  </si>
  <si>
    <t>405344.258,278487.318</t>
  </si>
  <si>
    <t>405592.91,278439.945</t>
  </si>
  <si>
    <t>405153.143,278551.847</t>
  </si>
  <si>
    <t>405222.429,278446.156</t>
  </si>
  <si>
    <t>405249.015,278297.548</t>
  </si>
  <si>
    <t>405304.426,278927.061</t>
  </si>
  <si>
    <t>404893.366,281014.046</t>
  </si>
  <si>
    <t>404285.64,279867.227</t>
  </si>
  <si>
    <t>401212.769,280385.097</t>
  </si>
  <si>
    <t>401726.697,280376.984</t>
  </si>
  <si>
    <t>404307.879,279612.508</t>
  </si>
  <si>
    <t>403584.957,281255.51</t>
  </si>
  <si>
    <t>403512.156,281224.986</t>
  </si>
  <si>
    <t>403502.306,281220.093</t>
  </si>
  <si>
    <t>402794.547,280416.743</t>
  </si>
  <si>
    <t>403502.013,281220.369</t>
  </si>
  <si>
    <t>403062.606,281149.576</t>
  </si>
  <si>
    <t>405139.137,281008.725</t>
  </si>
  <si>
    <t>405137.852,281008.569</t>
  </si>
  <si>
    <t>405121.672,281033.583</t>
  </si>
  <si>
    <t>405136.851,280994.948</t>
  </si>
  <si>
    <t>405136.86,280994.698</t>
  </si>
  <si>
    <t>405136.869,280994.448</t>
  </si>
  <si>
    <t>405129.637,281093.488</t>
  </si>
  <si>
    <t>CIR0001</t>
  </si>
  <si>
    <t>405127.751,280987.954</t>
  </si>
  <si>
    <t>CIR0002</t>
  </si>
  <si>
    <t>405127.769,280987.533</t>
  </si>
  <si>
    <t>CIR0003</t>
  </si>
  <si>
    <t>405127.801,280987.124</t>
  </si>
  <si>
    <t>CIR0004</t>
  </si>
  <si>
    <t>405126.9,280993.873</t>
  </si>
  <si>
    <t>CIR0005</t>
  </si>
  <si>
    <t>CIR0006</t>
  </si>
  <si>
    <t>405127.898,280986.715</t>
  </si>
  <si>
    <t>CIR0008</t>
  </si>
  <si>
    <t>405128.445,280982.883</t>
  </si>
  <si>
    <t>CIR0009</t>
  </si>
  <si>
    <t>405128.513,280982.517</t>
  </si>
  <si>
    <t>CIR0012</t>
  </si>
  <si>
    <t>405127.102,280991.339</t>
  </si>
  <si>
    <t>CIR0013</t>
  </si>
  <si>
    <t>405128.502,280982.089</t>
  </si>
  <si>
    <t>CIR0014</t>
  </si>
  <si>
    <t>405128.583,280981.691</t>
  </si>
  <si>
    <t>CIR0015</t>
  </si>
  <si>
    <t>405126.962,280993.499</t>
  </si>
  <si>
    <t>CIR0018</t>
  </si>
  <si>
    <t>405127.29,280990.913</t>
  </si>
  <si>
    <t>CIR0019</t>
  </si>
  <si>
    <t>405127.899,280986.245</t>
  </si>
  <si>
    <t>CIR0020</t>
  </si>
  <si>
    <t>405127.022,280993.087</t>
  </si>
  <si>
    <t>CIR0021</t>
  </si>
  <si>
    <t>405127.334,280990.461</t>
  </si>
  <si>
    <t>CIR0022</t>
  </si>
  <si>
    <t>405127.939,280985.843</t>
  </si>
  <si>
    <t>CIR0023</t>
  </si>
  <si>
    <t>405127.975,280985.462</t>
  </si>
  <si>
    <t>CIR0024</t>
  </si>
  <si>
    <t>405128.636,280981.266</t>
  </si>
  <si>
    <t>CIR0025</t>
  </si>
  <si>
    <t>405128.739,280980.808</t>
  </si>
  <si>
    <t>CIR0026</t>
  </si>
  <si>
    <t>405128.81,280980.37</t>
  </si>
  <si>
    <t>CIR0027</t>
  </si>
  <si>
    <t>405128.867,280980.005</t>
  </si>
  <si>
    <t>CIR0028</t>
  </si>
  <si>
    <t>405127.074,280992.617</t>
  </si>
  <si>
    <t>CIR0029</t>
  </si>
  <si>
    <t>405127.407,280990.076</t>
  </si>
  <si>
    <t>CIR0030</t>
  </si>
  <si>
    <t>405127.921,280985.03</t>
  </si>
  <si>
    <t>CIR0031</t>
  </si>
  <si>
    <t>405127.448,280989.688</t>
  </si>
  <si>
    <t>CIR0032</t>
  </si>
  <si>
    <t>405127.124,280991.774</t>
  </si>
  <si>
    <t>CIRT1</t>
  </si>
  <si>
    <t>405126.749,280994.83</t>
  </si>
  <si>
    <t>CIRT2</t>
  </si>
  <si>
    <t>405127.593,280988.448</t>
  </si>
  <si>
    <t>CIRT3</t>
  </si>
  <si>
    <t>405128.148,280983.793</t>
  </si>
  <si>
    <t>CIRT4</t>
  </si>
  <si>
    <t>bus2</t>
  </si>
  <si>
    <t>bus75</t>
  </si>
  <si>
    <t>bus171</t>
  </si>
  <si>
    <t>tbus452</t>
  </si>
  <si>
    <t>bus456</t>
  </si>
  <si>
    <t>bus468</t>
  </si>
  <si>
    <t>joint640</t>
  </si>
  <si>
    <t>bus663</t>
  </si>
  <si>
    <t>bus698</t>
  </si>
  <si>
    <t>bus823</t>
  </si>
  <si>
    <t>bus1068</t>
  </si>
  <si>
    <t>bus1082</t>
  </si>
  <si>
    <t>bus1117</t>
  </si>
  <si>
    <t>bus1150</t>
  </si>
  <si>
    <t>bus1167</t>
  </si>
  <si>
    <t>joint1240</t>
  </si>
  <si>
    <t>404846.86,282001</t>
  </si>
  <si>
    <t>404625.156,282126.316</t>
  </si>
  <si>
    <t>404846.86,282110</t>
  </si>
  <si>
    <t>tbus11</t>
  </si>
  <si>
    <t>bus224</t>
  </si>
  <si>
    <t>bus249</t>
  </si>
  <si>
    <t>bus259</t>
  </si>
  <si>
    <t>bus260</t>
  </si>
  <si>
    <t>bus285</t>
  </si>
  <si>
    <t>tbus362</t>
  </si>
  <si>
    <t>bus421</t>
  </si>
  <si>
    <t>bus542</t>
  </si>
  <si>
    <t>bus658</t>
  </si>
  <si>
    <t>bus863</t>
  </si>
  <si>
    <t>bus867</t>
  </si>
  <si>
    <t>bus874</t>
  </si>
  <si>
    <t>tbus879</t>
  </si>
  <si>
    <t>bus913</t>
  </si>
  <si>
    <t>tbus922</t>
  </si>
  <si>
    <t>tbus1062</t>
  </si>
  <si>
    <t>bus1062</t>
  </si>
  <si>
    <t>bus1063</t>
  </si>
  <si>
    <t>tbus1063</t>
  </si>
  <si>
    <t>bus1066</t>
  </si>
  <si>
    <t>tbus1087</t>
  </si>
  <si>
    <t>bus1089</t>
  </si>
  <si>
    <t>tbus1109</t>
  </si>
  <si>
    <t>bus1123</t>
  </si>
  <si>
    <t>bus1125</t>
  </si>
  <si>
    <t>tbus1133</t>
  </si>
  <si>
    <t>bus1137</t>
  </si>
  <si>
    <t>bus1145</t>
  </si>
  <si>
    <t>tbus1148</t>
  </si>
  <si>
    <t>tbus1162</t>
  </si>
  <si>
    <t>bus1170</t>
  </si>
  <si>
    <t>bus1178</t>
  </si>
  <si>
    <t>bus1187</t>
  </si>
  <si>
    <t>bus1188</t>
  </si>
  <si>
    <t>bus1190</t>
  </si>
  <si>
    <t>bus1198</t>
  </si>
  <si>
    <t>bus1201</t>
  </si>
  <si>
    <t>tbus1202</t>
  </si>
  <si>
    <t>bus1202</t>
  </si>
  <si>
    <t>tbus1205</t>
  </si>
  <si>
    <t>bus1207</t>
  </si>
  <si>
    <t>bus1210</t>
  </si>
  <si>
    <t>bus1213</t>
  </si>
  <si>
    <t>bus1214</t>
  </si>
  <si>
    <t>bus1215</t>
  </si>
  <si>
    <t>bus1216</t>
  </si>
  <si>
    <t>bus1217</t>
  </si>
  <si>
    <t>bus1218</t>
  </si>
  <si>
    <t>bus1219</t>
  </si>
  <si>
    <t>bus1220</t>
  </si>
  <si>
    <t>bus20</t>
  </si>
  <si>
    <t>bus57</t>
  </si>
  <si>
    <t>bus58</t>
  </si>
  <si>
    <t>bus59</t>
  </si>
  <si>
    <t>bus114</t>
  </si>
  <si>
    <t>bus115</t>
  </si>
  <si>
    <t>tbus118</t>
  </si>
  <si>
    <t>tbus161</t>
  </si>
  <si>
    <t>bus161</t>
  </si>
  <si>
    <t>bus165</t>
  </si>
  <si>
    <t>bus178</t>
  </si>
  <si>
    <t>bus187</t>
  </si>
  <si>
    <t>bus188</t>
  </si>
  <si>
    <t>bus204</t>
  </si>
  <si>
    <t>bus220</t>
  </si>
  <si>
    <t>bus233</t>
  </si>
  <si>
    <t>tbus248</t>
  </si>
  <si>
    <t>tbus329</t>
  </si>
  <si>
    <t>bus409</t>
  </si>
  <si>
    <t>bus458</t>
  </si>
  <si>
    <t>tbus467</t>
  </si>
  <si>
    <t>bus617</t>
  </si>
  <si>
    <t>bus747</t>
  </si>
  <si>
    <t>bus925</t>
  </si>
  <si>
    <t>bus1090</t>
  </si>
  <si>
    <t>bus1091</t>
  </si>
  <si>
    <t>Primary</t>
  </si>
  <si>
    <t>405082.7,281455.09</t>
  </si>
  <si>
    <t>405082.85,281455.77</t>
  </si>
  <si>
    <t>404853.72,281420.82</t>
  </si>
  <si>
    <t>404853.96,281421.6</t>
  </si>
  <si>
    <t>404853.17,281421.29</t>
  </si>
  <si>
    <t>404853.2,281420.75</t>
  </si>
  <si>
    <t>404853.41,281421.74</t>
  </si>
  <si>
    <t>404782.49,282026.19</t>
  </si>
  <si>
    <t>404782.97,282026.41</t>
  </si>
  <si>
    <t>404782.33,282026.85</t>
  </si>
  <si>
    <t>404434.24,282357.95</t>
  </si>
  <si>
    <t>bus347</t>
  </si>
  <si>
    <t>tbus441</t>
  </si>
  <si>
    <t>tbus465</t>
  </si>
  <si>
    <t>bus525</t>
  </si>
  <si>
    <t>bus879</t>
  </si>
  <si>
    <t>joint341</t>
  </si>
  <si>
    <t>joint840</t>
  </si>
  <si>
    <t>joint841</t>
  </si>
  <si>
    <t>joint940</t>
  </si>
  <si>
    <t>joint1640</t>
  </si>
  <si>
    <t>joint1741</t>
  </si>
  <si>
    <t>joint1840</t>
  </si>
  <si>
    <t>joint1940</t>
  </si>
  <si>
    <t>joint2140</t>
  </si>
  <si>
    <t>joint2141</t>
  </si>
  <si>
    <t>joint2241</t>
  </si>
  <si>
    <t>joint2340</t>
  </si>
  <si>
    <t>joint2341</t>
  </si>
  <si>
    <t>joint2541</t>
  </si>
  <si>
    <t>joint2641</t>
  </si>
  <si>
    <t>joint2740</t>
  </si>
  <si>
    <t>joint2741</t>
  </si>
  <si>
    <t>joint2841</t>
  </si>
  <si>
    <t>joint2940</t>
  </si>
  <si>
    <t>joint2941</t>
  </si>
  <si>
    <t>joint3140</t>
  </si>
  <si>
    <t>joint3241</t>
  </si>
  <si>
    <t>joint3341</t>
  </si>
  <si>
    <t>joint3441</t>
  </si>
  <si>
    <t>joint3541</t>
  </si>
  <si>
    <t>joint3741</t>
  </si>
  <si>
    <t>joint3840</t>
  </si>
  <si>
    <t>joint3841</t>
  </si>
  <si>
    <t>joint3941</t>
  </si>
  <si>
    <t>joint4141</t>
  </si>
  <si>
    <t>joint4241</t>
  </si>
  <si>
    <t>joint4440</t>
  </si>
  <si>
    <t>joint4441</t>
  </si>
  <si>
    <t>joint4640</t>
  </si>
  <si>
    <t>joint4641</t>
  </si>
  <si>
    <t>joint4741</t>
  </si>
  <si>
    <t>joint4840</t>
  </si>
  <si>
    <t>joint4841</t>
  </si>
  <si>
    <t>joint4940</t>
  </si>
  <si>
    <t>joint5041</t>
  </si>
  <si>
    <t>joint5140</t>
  </si>
  <si>
    <t>joint6040</t>
  </si>
  <si>
    <t>joint6141</t>
  </si>
  <si>
    <t>joint6240</t>
  </si>
  <si>
    <t>joint6241</t>
  </si>
  <si>
    <t>joint6340</t>
  </si>
  <si>
    <t>joint6341</t>
  </si>
  <si>
    <t>joint6540</t>
  </si>
  <si>
    <t>joint6541</t>
  </si>
  <si>
    <t>joint6640</t>
  </si>
  <si>
    <t>joint6641</t>
  </si>
  <si>
    <t>joint6740</t>
  </si>
  <si>
    <t>joint6741</t>
  </si>
  <si>
    <t>joint6840</t>
  </si>
  <si>
    <t>joint6841</t>
  </si>
  <si>
    <t>joint6941</t>
  </si>
  <si>
    <t>joint7040</t>
  </si>
  <si>
    <t>joint7140</t>
  </si>
  <si>
    <t>joint7240</t>
  </si>
  <si>
    <t>joint7340</t>
  </si>
  <si>
    <t>joint7341</t>
  </si>
  <si>
    <t>joint7641</t>
  </si>
  <si>
    <t>joint7740</t>
  </si>
  <si>
    <t>joint8140</t>
  </si>
  <si>
    <t>joint8241</t>
  </si>
  <si>
    <t>joint8441</t>
  </si>
  <si>
    <t>joint8541</t>
  </si>
  <si>
    <t>joint8940</t>
  </si>
  <si>
    <t>bus89</t>
  </si>
  <si>
    <t>joint9041</t>
  </si>
  <si>
    <t>joint9240</t>
  </si>
  <si>
    <t>joint9440</t>
  </si>
  <si>
    <t>joint9840</t>
  </si>
  <si>
    <t>joint9841</t>
  </si>
  <si>
    <t>joint9941</t>
  </si>
  <si>
    <t>joint10040</t>
  </si>
  <si>
    <t>joint10041</t>
  </si>
  <si>
    <t>joint10140</t>
  </si>
  <si>
    <t>joint10141</t>
  </si>
  <si>
    <t>joint10240</t>
  </si>
  <si>
    <t>joint10241</t>
  </si>
  <si>
    <t>joint10440</t>
  </si>
  <si>
    <t>joint10441</t>
  </si>
  <si>
    <t>joint10641</t>
  </si>
  <si>
    <t>joint10840</t>
  </si>
  <si>
    <t>joint10940</t>
  </si>
  <si>
    <t>bus111</t>
  </si>
  <si>
    <t>joint11240</t>
  </si>
  <si>
    <t>joint11341</t>
  </si>
  <si>
    <t>joint11740</t>
  </si>
  <si>
    <t>joint11841</t>
  </si>
  <si>
    <t>joint11940</t>
  </si>
  <si>
    <t>joint12041</t>
  </si>
  <si>
    <t>joint12140</t>
  </si>
  <si>
    <t>bus122</t>
  </si>
  <si>
    <t>joint12441</t>
  </si>
  <si>
    <t>joint12640</t>
  </si>
  <si>
    <t>joint12740</t>
  </si>
  <si>
    <t>joint12840</t>
  </si>
  <si>
    <t>joint13040</t>
  </si>
  <si>
    <t>joint13041</t>
  </si>
  <si>
    <t>joint13140</t>
  </si>
  <si>
    <t>bus133</t>
  </si>
  <si>
    <t>joint13440</t>
  </si>
  <si>
    <t>joint13741</t>
  </si>
  <si>
    <t>joint13840</t>
  </si>
  <si>
    <t>joint13841</t>
  </si>
  <si>
    <t>joint13940</t>
  </si>
  <si>
    <t>joint14140</t>
  </si>
  <si>
    <t>joint14241</t>
  </si>
  <si>
    <t>joint14341</t>
  </si>
  <si>
    <t>joint14740</t>
  </si>
  <si>
    <t>joint14741</t>
  </si>
  <si>
    <t>joint14841</t>
  </si>
  <si>
    <t>joint14941</t>
  </si>
  <si>
    <t>bus150</t>
  </si>
  <si>
    <t>joint15041</t>
  </si>
  <si>
    <t>joint15141</t>
  </si>
  <si>
    <t>joint15240</t>
  </si>
  <si>
    <t>joint15341</t>
  </si>
  <si>
    <t>joint15441</t>
  </si>
  <si>
    <t>joint15541</t>
  </si>
  <si>
    <t>joint15740</t>
  </si>
  <si>
    <t>joint16040</t>
  </si>
  <si>
    <t>joint16041</t>
  </si>
  <si>
    <t>joint16240</t>
  </si>
  <si>
    <t>joint16241</t>
  </si>
  <si>
    <t>joint16341</t>
  </si>
  <si>
    <t>joint16440</t>
  </si>
  <si>
    <t>joint16740</t>
  </si>
  <si>
    <t>joint17440</t>
  </si>
  <si>
    <t>joint17441</t>
  </si>
  <si>
    <t>joint17540</t>
  </si>
  <si>
    <t>joint17541</t>
  </si>
  <si>
    <t>joint17640</t>
  </si>
  <si>
    <t>joint17641</t>
  </si>
  <si>
    <t>joint17741</t>
  </si>
  <si>
    <t>joint18040</t>
  </si>
  <si>
    <t>joint18140</t>
  </si>
  <si>
    <t>joint18240</t>
  </si>
  <si>
    <t>joint18340</t>
  </si>
  <si>
    <t>joint18540</t>
  </si>
  <si>
    <t>bus186</t>
  </si>
  <si>
    <t>tbus188</t>
  </si>
  <si>
    <t>joint19041</t>
  </si>
  <si>
    <t>joint19141</t>
  </si>
  <si>
    <t>bus192</t>
  </si>
  <si>
    <t>joint19440</t>
  </si>
  <si>
    <t>joint19540</t>
  </si>
  <si>
    <t>joint19640</t>
  </si>
  <si>
    <t>joint19740</t>
  </si>
  <si>
    <t>joint19840</t>
  </si>
  <si>
    <t>joint19941</t>
  </si>
  <si>
    <t>joint20040</t>
  </si>
  <si>
    <t>joint20140</t>
  </si>
  <si>
    <t>joint20141</t>
  </si>
  <si>
    <t>bus202</t>
  </si>
  <si>
    <t>bus203</t>
  </si>
  <si>
    <t>joint20640</t>
  </si>
  <si>
    <t>bus209</t>
  </si>
  <si>
    <t>joint21040</t>
  </si>
  <si>
    <t>joint21140</t>
  </si>
  <si>
    <t>bus214</t>
  </si>
  <si>
    <t>joint21541</t>
  </si>
  <si>
    <t>joint21640</t>
  </si>
  <si>
    <t>tbus220</t>
  </si>
  <si>
    <t>joint22140</t>
  </si>
  <si>
    <t>joint22141</t>
  </si>
  <si>
    <t>joint22340</t>
  </si>
  <si>
    <t>bus223</t>
  </si>
  <si>
    <t>joint22540</t>
  </si>
  <si>
    <t>joint22541</t>
  </si>
  <si>
    <t>joint22640</t>
  </si>
  <si>
    <t>joint22841</t>
  </si>
  <si>
    <t>joint22941</t>
  </si>
  <si>
    <t>bus230</t>
  </si>
  <si>
    <t>joint23140</t>
  </si>
  <si>
    <t>joint23341</t>
  </si>
  <si>
    <t>joint23440</t>
  </si>
  <si>
    <t>joint23441</t>
  </si>
  <si>
    <t>joint23541</t>
  </si>
  <si>
    <t>joint23640</t>
  </si>
  <si>
    <t>joint23740</t>
  </si>
  <si>
    <t>bus239</t>
  </si>
  <si>
    <t>bus240</t>
  </si>
  <si>
    <t>joint24141</t>
  </si>
  <si>
    <t>joint24340</t>
  </si>
  <si>
    <t>joint24840</t>
  </si>
  <si>
    <t>joint25040</t>
  </si>
  <si>
    <t>joint25041</t>
  </si>
  <si>
    <t>joint25240</t>
  </si>
  <si>
    <t>joint25340</t>
  </si>
  <si>
    <t>joint25341</t>
  </si>
  <si>
    <t>joint25440</t>
  </si>
  <si>
    <t>joint25441</t>
  </si>
  <si>
    <t>joint25541</t>
  </si>
  <si>
    <t>joint25640</t>
  </si>
  <si>
    <t>tbus257</t>
  </si>
  <si>
    <t>joint25741</t>
  </si>
  <si>
    <t>joint25840</t>
  </si>
  <si>
    <t>joint26140</t>
  </si>
  <si>
    <t>bus261</t>
  </si>
  <si>
    <t>joint26240</t>
  </si>
  <si>
    <t>joint26341</t>
  </si>
  <si>
    <t>joint26441</t>
  </si>
  <si>
    <t>joint26541</t>
  </si>
  <si>
    <t>joint26741</t>
  </si>
  <si>
    <t>joint26941</t>
  </si>
  <si>
    <t>joint27041</t>
  </si>
  <si>
    <t>joint27140</t>
  </si>
  <si>
    <t>tbus271</t>
  </si>
  <si>
    <t>joint27440</t>
  </si>
  <si>
    <t>joint27541</t>
  </si>
  <si>
    <t>bus276</t>
  </si>
  <si>
    <t>joint27740</t>
  </si>
  <si>
    <t>joint27741</t>
  </si>
  <si>
    <t>bus278</t>
  </si>
  <si>
    <t>joint27940</t>
  </si>
  <si>
    <t>joint27941</t>
  </si>
  <si>
    <t>joint28040</t>
  </si>
  <si>
    <t>joint28041</t>
  </si>
  <si>
    <t>joint28141</t>
  </si>
  <si>
    <t>joint28240</t>
  </si>
  <si>
    <t>joint28341</t>
  </si>
  <si>
    <t>tbus285</t>
  </si>
  <si>
    <t>joint28840</t>
  </si>
  <si>
    <t>bus289</t>
  </si>
  <si>
    <t>joint29040</t>
  </si>
  <si>
    <t>joint29041</t>
  </si>
  <si>
    <t>joint29140</t>
  </si>
  <si>
    <t>joint29141</t>
  </si>
  <si>
    <t>tbus293</t>
  </si>
  <si>
    <t>bus293</t>
  </si>
  <si>
    <t>joint29441</t>
  </si>
  <si>
    <t>joint29740</t>
  </si>
  <si>
    <t>joint29840</t>
  </si>
  <si>
    <t>joint29941</t>
  </si>
  <si>
    <t>joint30041</t>
  </si>
  <si>
    <t>joint30140</t>
  </si>
  <si>
    <t>joint30241</t>
  </si>
  <si>
    <t>bus304</t>
  </si>
  <si>
    <t>joint30540</t>
  </si>
  <si>
    <t>joint30640</t>
  </si>
  <si>
    <t>joint30841</t>
  </si>
  <si>
    <t>joint30941</t>
  </si>
  <si>
    <t>joint31041</t>
  </si>
  <si>
    <t>joint31140</t>
  </si>
  <si>
    <t>joint31241</t>
  </si>
  <si>
    <t>joint31541</t>
  </si>
  <si>
    <t>joint31640</t>
  </si>
  <si>
    <t>joint31840</t>
  </si>
  <si>
    <t>joint32340</t>
  </si>
  <si>
    <t>joint32541</t>
  </si>
  <si>
    <t>joint33041</t>
  </si>
  <si>
    <t>joint33240</t>
  </si>
  <si>
    <t>joint33241</t>
  </si>
  <si>
    <t>joint33340</t>
  </si>
  <si>
    <t>joint33441</t>
  </si>
  <si>
    <t>joint33640</t>
  </si>
  <si>
    <t>joint33740</t>
  </si>
  <si>
    <t>joint33741</t>
  </si>
  <si>
    <t>joint33840</t>
  </si>
  <si>
    <t>joint33940</t>
  </si>
  <si>
    <t>joint34040</t>
  </si>
  <si>
    <t>bus341</t>
  </si>
  <si>
    <t>joint34240</t>
  </si>
  <si>
    <t>joint34241</t>
  </si>
  <si>
    <t>joint34440</t>
  </si>
  <si>
    <t>joint34441</t>
  </si>
  <si>
    <t>joint34541</t>
  </si>
  <si>
    <t>joint34740</t>
  </si>
  <si>
    <t>joint34840</t>
  </si>
  <si>
    <t>joint34940</t>
  </si>
  <si>
    <t>joint35040</t>
  </si>
  <si>
    <t>joint35240</t>
  </si>
  <si>
    <t>bus352</t>
  </si>
  <si>
    <t>bus354</t>
  </si>
  <si>
    <t>joint35640</t>
  </si>
  <si>
    <t>joint35740</t>
  </si>
  <si>
    <t>joint35741</t>
  </si>
  <si>
    <t>joint35840</t>
  </si>
  <si>
    <t>joint35841</t>
  </si>
  <si>
    <t>joint35941</t>
  </si>
  <si>
    <t>joint36040</t>
  </si>
  <si>
    <t>joint36141</t>
  </si>
  <si>
    <t>joint36241</t>
  </si>
  <si>
    <t>joint36340</t>
  </si>
  <si>
    <t>joint36541</t>
  </si>
  <si>
    <t>joint36641</t>
  </si>
  <si>
    <t>joint36841</t>
  </si>
  <si>
    <t>joint36940</t>
  </si>
  <si>
    <t>joint37040</t>
  </si>
  <si>
    <t>joint37241</t>
  </si>
  <si>
    <t>bus373</t>
  </si>
  <si>
    <t>joint37440</t>
  </si>
  <si>
    <t>joint37540</t>
  </si>
  <si>
    <t>joint37741</t>
  </si>
  <si>
    <t>joint37840</t>
  </si>
  <si>
    <t>joint37841</t>
  </si>
  <si>
    <t>joint38140</t>
  </si>
  <si>
    <t>bus381</t>
  </si>
  <si>
    <t>bus382</t>
  </si>
  <si>
    <t>joint38340</t>
  </si>
  <si>
    <t>joint38341</t>
  </si>
  <si>
    <t>tbus384</t>
  </si>
  <si>
    <t>joint38541</t>
  </si>
  <si>
    <t>joint38641</t>
  </si>
  <si>
    <t>joint38741</t>
  </si>
  <si>
    <t>joint38840</t>
  </si>
  <si>
    <t>joint39140</t>
  </si>
  <si>
    <t>joint39141</t>
  </si>
  <si>
    <t>bus396</t>
  </si>
  <si>
    <t>joint39740</t>
  </si>
  <si>
    <t>bus400</t>
  </si>
  <si>
    <t>joint40141</t>
  </si>
  <si>
    <t>joint40241</t>
  </si>
  <si>
    <t>joint40540</t>
  </si>
  <si>
    <t>joint40541</t>
  </si>
  <si>
    <t>joint40741</t>
  </si>
  <si>
    <t>bus408</t>
  </si>
  <si>
    <t>joint40940</t>
  </si>
  <si>
    <t>bus410</t>
  </si>
  <si>
    <t>joint41041</t>
  </si>
  <si>
    <t>joint41141</t>
  </si>
  <si>
    <t>joint41240</t>
  </si>
  <si>
    <t>joint41241</t>
  </si>
  <si>
    <t>joint41441</t>
  </si>
  <si>
    <t>joint41541</t>
  </si>
  <si>
    <t>joint41840</t>
  </si>
  <si>
    <t>joint41841</t>
  </si>
  <si>
    <t>joint41941</t>
  </si>
  <si>
    <t>joint42040</t>
  </si>
  <si>
    <t>joint42041</t>
  </si>
  <si>
    <t>joint42240</t>
  </si>
  <si>
    <t>joint42341</t>
  </si>
  <si>
    <t>joint42740</t>
  </si>
  <si>
    <t>joint42840</t>
  </si>
  <si>
    <t>joint42940</t>
  </si>
  <si>
    <t>joint43040</t>
  </si>
  <si>
    <t>joint43140</t>
  </si>
  <si>
    <t>bus431</t>
  </si>
  <si>
    <t>joint43240</t>
  </si>
  <si>
    <t>joint43241</t>
  </si>
  <si>
    <t>joint43340</t>
  </si>
  <si>
    <t>joint43440</t>
  </si>
  <si>
    <t>joint43540</t>
  </si>
  <si>
    <t>joint43541</t>
  </si>
  <si>
    <t>joint43841</t>
  </si>
  <si>
    <t>joint44040</t>
  </si>
  <si>
    <t>joint44041</t>
  </si>
  <si>
    <t>joint44140</t>
  </si>
  <si>
    <t>joint44240</t>
  </si>
  <si>
    <t>joint44340</t>
  </si>
  <si>
    <t>joint44341</t>
  </si>
  <si>
    <t>joint44440</t>
  </si>
  <si>
    <t>joint44441</t>
  </si>
  <si>
    <t>joint44541</t>
  </si>
  <si>
    <t>joint44641</t>
  </si>
  <si>
    <t>bus449</t>
  </si>
  <si>
    <t>bus450</t>
  </si>
  <si>
    <t>joint45141</t>
  </si>
  <si>
    <t>bus453</t>
  </si>
  <si>
    <t>tbus457</t>
  </si>
  <si>
    <t>joint46241</t>
  </si>
  <si>
    <t>joint46440</t>
  </si>
  <si>
    <t>joint46640</t>
  </si>
  <si>
    <t>joint46841</t>
  </si>
  <si>
    <t>joint47041</t>
  </si>
  <si>
    <t>joint47240</t>
  </si>
  <si>
    <t>joint47540</t>
  </si>
  <si>
    <t>joint47640</t>
  </si>
  <si>
    <t>joint47740</t>
  </si>
  <si>
    <t>joint47840</t>
  </si>
  <si>
    <t>joint47841</t>
  </si>
  <si>
    <t>joint47940</t>
  </si>
  <si>
    <t>joint47941</t>
  </si>
  <si>
    <t>joint48040</t>
  </si>
  <si>
    <t>joint48041</t>
  </si>
  <si>
    <t>joint48141</t>
  </si>
  <si>
    <t>joint48340</t>
  </si>
  <si>
    <t>bus483</t>
  </si>
  <si>
    <t>bus484</t>
  </si>
  <si>
    <t>joint48540</t>
  </si>
  <si>
    <t>joint48541</t>
  </si>
  <si>
    <t>bus486</t>
  </si>
  <si>
    <t>bus487</t>
  </si>
  <si>
    <t>joint48940</t>
  </si>
  <si>
    <t>joint49040</t>
  </si>
  <si>
    <t>joint49440</t>
  </si>
  <si>
    <t>bus497</t>
  </si>
  <si>
    <t>joint49940</t>
  </si>
  <si>
    <t>joint50040</t>
  </si>
  <si>
    <t>joint50140</t>
  </si>
  <si>
    <t>joint50241</t>
  </si>
  <si>
    <t>tbus503</t>
  </si>
  <si>
    <t>joint50540</t>
  </si>
  <si>
    <t>bus507</t>
  </si>
  <si>
    <t>joint50841</t>
  </si>
  <si>
    <t>joint50940</t>
  </si>
  <si>
    <t>joint51040</t>
  </si>
  <si>
    <t>joint51140</t>
  </si>
  <si>
    <t>joint51141</t>
  </si>
  <si>
    <t>joint51240</t>
  </si>
  <si>
    <t>bus514</t>
  </si>
  <si>
    <t>bus515</t>
  </si>
  <si>
    <t>joint51640</t>
  </si>
  <si>
    <t>joint51741</t>
  </si>
  <si>
    <t>joint51841</t>
  </si>
  <si>
    <t>joint52040</t>
  </si>
  <si>
    <t>joint52140</t>
  </si>
  <si>
    <t>joint52340</t>
  </si>
  <si>
    <t>joint52341</t>
  </si>
  <si>
    <t>joint52441</t>
  </si>
  <si>
    <t>joint52641</t>
  </si>
  <si>
    <t>joint52841</t>
  </si>
  <si>
    <t>bus529</t>
  </si>
  <si>
    <t>bus530</t>
  </si>
  <si>
    <t>joint53140</t>
  </si>
  <si>
    <t>joint53141</t>
  </si>
  <si>
    <t>bus532</t>
  </si>
  <si>
    <t>bus534</t>
  </si>
  <si>
    <t>tbus537</t>
  </si>
  <si>
    <t>joint53940</t>
  </si>
  <si>
    <t>joint54041</t>
  </si>
  <si>
    <t>joint54140</t>
  </si>
  <si>
    <t>joint54141</t>
  </si>
  <si>
    <t>joint54541</t>
  </si>
  <si>
    <t>joint54740</t>
  </si>
  <si>
    <t>joint54940</t>
  </si>
  <si>
    <t>joint54941</t>
  </si>
  <si>
    <t>tbus550</t>
  </si>
  <si>
    <t>joint55041</t>
  </si>
  <si>
    <t>joint55141</t>
  </si>
  <si>
    <t>joint55240</t>
  </si>
  <si>
    <t>joint55440</t>
  </si>
  <si>
    <t>joint55441</t>
  </si>
  <si>
    <t>joint55540</t>
  </si>
  <si>
    <t>joint55541</t>
  </si>
  <si>
    <t>joint55640</t>
  </si>
  <si>
    <t>joint55641</t>
  </si>
  <si>
    <t>joint55740</t>
  </si>
  <si>
    <t>joint55741</t>
  </si>
  <si>
    <t>joint55840</t>
  </si>
  <si>
    <t>joint55941</t>
  </si>
  <si>
    <t>joint56041</t>
  </si>
  <si>
    <t>joint56140</t>
  </si>
  <si>
    <t>bus564</t>
  </si>
  <si>
    <t>joint56540</t>
  </si>
  <si>
    <t>joint56640</t>
  </si>
  <si>
    <t>joint56740</t>
  </si>
  <si>
    <t>joint56741</t>
  </si>
  <si>
    <t>joint56840</t>
  </si>
  <si>
    <t>joint56841</t>
  </si>
  <si>
    <t>tbus569</t>
  </si>
  <si>
    <t>bus570</t>
  </si>
  <si>
    <t>joint57140</t>
  </si>
  <si>
    <t>joint57141</t>
  </si>
  <si>
    <t>joint57240</t>
  </si>
  <si>
    <t>bus573</t>
  </si>
  <si>
    <t>joint57341</t>
  </si>
  <si>
    <t>joint57540</t>
  </si>
  <si>
    <t>joint57541</t>
  </si>
  <si>
    <t>joint57640</t>
  </si>
  <si>
    <t>joint57641</t>
  </si>
  <si>
    <t>joint57740</t>
  </si>
  <si>
    <t>joint57940</t>
  </si>
  <si>
    <t>joint57941</t>
  </si>
  <si>
    <t>joint58040</t>
  </si>
  <si>
    <t>joint58340</t>
  </si>
  <si>
    <t>joint58540</t>
  </si>
  <si>
    <t>joint58640</t>
  </si>
  <si>
    <t>bus586</t>
  </si>
  <si>
    <t>joint58740</t>
  </si>
  <si>
    <t>joint58940</t>
  </si>
  <si>
    <t>joint59040</t>
  </si>
  <si>
    <t>joint59140</t>
  </si>
  <si>
    <t>bus593</t>
  </si>
  <si>
    <t>bus598</t>
  </si>
  <si>
    <t>joint60040</t>
  </si>
  <si>
    <t>joint60141</t>
  </si>
  <si>
    <t>joint60240</t>
  </si>
  <si>
    <t>joint60440</t>
  </si>
  <si>
    <t>joint60540</t>
  </si>
  <si>
    <t>joint60640</t>
  </si>
  <si>
    <t>joint60740</t>
  </si>
  <si>
    <t>joint61040</t>
  </si>
  <si>
    <t>joint61140</t>
  </si>
  <si>
    <t>joint61240</t>
  </si>
  <si>
    <t>joint61341</t>
  </si>
  <si>
    <t>bus614</t>
  </si>
  <si>
    <t>joint62040</t>
  </si>
  <si>
    <t>bus623</t>
  </si>
  <si>
    <t>joint62540</t>
  </si>
  <si>
    <t>joint62541</t>
  </si>
  <si>
    <t>joint62640</t>
  </si>
  <si>
    <t>joint62641</t>
  </si>
  <si>
    <t>bus628</t>
  </si>
  <si>
    <t>joint62940</t>
  </si>
  <si>
    <t>joint62941</t>
  </si>
  <si>
    <t>joint63040</t>
  </si>
  <si>
    <t>joint63141</t>
  </si>
  <si>
    <t>joint63340</t>
  </si>
  <si>
    <t>joint63341</t>
  </si>
  <si>
    <t>joint63441</t>
  </si>
  <si>
    <t>joint63541</t>
  </si>
  <si>
    <t>joint63641</t>
  </si>
  <si>
    <t>joint63740</t>
  </si>
  <si>
    <t>joint63741</t>
  </si>
  <si>
    <t>joint63840</t>
  </si>
  <si>
    <t>joint63940</t>
  </si>
  <si>
    <t>joint64040</t>
  </si>
  <si>
    <t>joint64041</t>
  </si>
  <si>
    <t>joint64340</t>
  </si>
  <si>
    <t>joint64341</t>
  </si>
  <si>
    <t>joint64440</t>
  </si>
  <si>
    <t>joint64740</t>
  </si>
  <si>
    <t>bus647</t>
  </si>
  <si>
    <t>bus648</t>
  </si>
  <si>
    <t>joint65040</t>
  </si>
  <si>
    <t>joint65041</t>
  </si>
  <si>
    <t>joint65141</t>
  </si>
  <si>
    <t>joint65240</t>
  </si>
  <si>
    <t>joint65441</t>
  </si>
  <si>
    <t>joint65541</t>
  </si>
  <si>
    <t>joint65641</t>
  </si>
  <si>
    <t>joint65741</t>
  </si>
  <si>
    <t>joint65940</t>
  </si>
  <si>
    <t>joint66041</t>
  </si>
  <si>
    <t>joint66140</t>
  </si>
  <si>
    <t>joint66240</t>
  </si>
  <si>
    <t>joint66340</t>
  </si>
  <si>
    <t>joint66540</t>
  </si>
  <si>
    <t>joint66641</t>
  </si>
  <si>
    <t>joint66740</t>
  </si>
  <si>
    <t>joint66741</t>
  </si>
  <si>
    <t>bus669</t>
  </si>
  <si>
    <t>bus673</t>
  </si>
  <si>
    <t>joint67440</t>
  </si>
  <si>
    <t>joint67541</t>
  </si>
  <si>
    <t>joint67640</t>
  </si>
  <si>
    <t>joint67741</t>
  </si>
  <si>
    <t>joint67940</t>
  </si>
  <si>
    <t>joint67941</t>
  </si>
  <si>
    <t>joint68040</t>
  </si>
  <si>
    <t>joint68041</t>
  </si>
  <si>
    <t>bus682</t>
  </si>
  <si>
    <t>joint68341</t>
  </si>
  <si>
    <t>joint68440</t>
  </si>
  <si>
    <t>joint68441</t>
  </si>
  <si>
    <t>joint68541</t>
  </si>
  <si>
    <t>joint68640</t>
  </si>
  <si>
    <t>joint68841</t>
  </si>
  <si>
    <t>joint68940</t>
  </si>
  <si>
    <t>joint69240</t>
  </si>
  <si>
    <t>bus695</t>
  </si>
  <si>
    <t>joint70040</t>
  </si>
  <si>
    <t>joint70041</t>
  </si>
  <si>
    <t>joint70140</t>
  </si>
  <si>
    <t>joint70141</t>
  </si>
  <si>
    <t>joint70240</t>
  </si>
  <si>
    <t>joint70241</t>
  </si>
  <si>
    <t>joint70341</t>
  </si>
  <si>
    <t>joint70440</t>
  </si>
  <si>
    <t>joint70441</t>
  </si>
  <si>
    <t>joint70741</t>
  </si>
  <si>
    <t>bus709</t>
  </si>
  <si>
    <t>joint71140</t>
  </si>
  <si>
    <t>joint71141</t>
  </si>
  <si>
    <t>joint71240</t>
  </si>
  <si>
    <t>joint71241</t>
  </si>
  <si>
    <t>joint71340</t>
  </si>
  <si>
    <t>joint71440</t>
  </si>
  <si>
    <t>joint71540</t>
  </si>
  <si>
    <t>joint71541</t>
  </si>
  <si>
    <t>joint71640</t>
  </si>
  <si>
    <t>tbus717</t>
  </si>
  <si>
    <t>joint71841</t>
  </si>
  <si>
    <t>joint72040</t>
  </si>
  <si>
    <t>joint72041</t>
  </si>
  <si>
    <t>joint72140</t>
  </si>
  <si>
    <t>joint72141</t>
  </si>
  <si>
    <t>joint72241</t>
  </si>
  <si>
    <t>joint72341</t>
  </si>
  <si>
    <t>joint72441</t>
  </si>
  <si>
    <t>joint72640</t>
  </si>
  <si>
    <t>joint72741</t>
  </si>
  <si>
    <t>joint73040</t>
  </si>
  <si>
    <t>joint73140</t>
  </si>
  <si>
    <t>joint73141</t>
  </si>
  <si>
    <t>joint73240</t>
  </si>
  <si>
    <t>joint73341</t>
  </si>
  <si>
    <t>joint73440</t>
  </si>
  <si>
    <t>joint73441</t>
  </si>
  <si>
    <t>joint73541</t>
  </si>
  <si>
    <t>joint73741</t>
  </si>
  <si>
    <t>bus738</t>
  </si>
  <si>
    <t>joint73841</t>
  </si>
  <si>
    <t>joint73940</t>
  </si>
  <si>
    <t>joint73941</t>
  </si>
  <si>
    <t>joint74040</t>
  </si>
  <si>
    <t>joint74041</t>
  </si>
  <si>
    <t>bus741</t>
  </si>
  <si>
    <t>joint74340</t>
  </si>
  <si>
    <t>joint74440</t>
  </si>
  <si>
    <t>joint74540</t>
  </si>
  <si>
    <t>joint75041</t>
  </si>
  <si>
    <t>joint75240</t>
  </si>
  <si>
    <t>joint75241</t>
  </si>
  <si>
    <t>joint75341</t>
  </si>
  <si>
    <t>joint75540</t>
  </si>
  <si>
    <t>joint75541</t>
  </si>
  <si>
    <t>joint75641</t>
  </si>
  <si>
    <t>bus758</t>
  </si>
  <si>
    <t>joint76140</t>
  </si>
  <si>
    <t>joint76440</t>
  </si>
  <si>
    <t>joint76441</t>
  </si>
  <si>
    <t>joint76540</t>
  </si>
  <si>
    <t>joint76541</t>
  </si>
  <si>
    <t>joint76640</t>
  </si>
  <si>
    <t>joint76641</t>
  </si>
  <si>
    <t>bus767</t>
  </si>
  <si>
    <t>joint76840</t>
  </si>
  <si>
    <t>joint76841</t>
  </si>
  <si>
    <t>tbus769</t>
  </si>
  <si>
    <t>joint76941</t>
  </si>
  <si>
    <t>joint77141</t>
  </si>
  <si>
    <t>bus773</t>
  </si>
  <si>
    <t>bus774</t>
  </si>
  <si>
    <t>joint77540</t>
  </si>
  <si>
    <t>bus776</t>
  </si>
  <si>
    <t>bus777</t>
  </si>
  <si>
    <t>joint77741</t>
  </si>
  <si>
    <t>joint77841</t>
  </si>
  <si>
    <t>joint77940</t>
  </si>
  <si>
    <t>bus782</t>
  </si>
  <si>
    <t>bus783</t>
  </si>
  <si>
    <t>joint78440</t>
  </si>
  <si>
    <t>joint78840</t>
  </si>
  <si>
    <t>tbus788</t>
  </si>
  <si>
    <t>joint78940</t>
  </si>
  <si>
    <t>joint78941</t>
  </si>
  <si>
    <t>joint79140</t>
  </si>
  <si>
    <t>joint79241</t>
  </si>
  <si>
    <t>joint79340</t>
  </si>
  <si>
    <t>joint79440</t>
  </si>
  <si>
    <t>bus795</t>
  </si>
  <si>
    <t>joint79741</t>
  </si>
  <si>
    <t>joint79840</t>
  </si>
  <si>
    <t>joint79940</t>
  </si>
  <si>
    <t>bus800</t>
  </si>
  <si>
    <t>tbus801</t>
  </si>
  <si>
    <t>joint80141</t>
  </si>
  <si>
    <t>joint80240</t>
  </si>
  <si>
    <t>joint80241</t>
  </si>
  <si>
    <t>joint80341</t>
  </si>
  <si>
    <t>joint80440</t>
  </si>
  <si>
    <t>bus804</t>
  </si>
  <si>
    <t>joint80540</t>
  </si>
  <si>
    <t>tbus807</t>
  </si>
  <si>
    <t>joint80841</t>
  </si>
  <si>
    <t>joint80940</t>
  </si>
  <si>
    <t>joint81040</t>
  </si>
  <si>
    <t>joint81141</t>
  </si>
  <si>
    <t>joint81240</t>
  </si>
  <si>
    <t>bus814</t>
  </si>
  <si>
    <t>joint81641</t>
  </si>
  <si>
    <t>joint81840</t>
  </si>
  <si>
    <t>joint81841</t>
  </si>
  <si>
    <t>joint81940</t>
  </si>
  <si>
    <t>joint82040</t>
  </si>
  <si>
    <t>joint82140</t>
  </si>
  <si>
    <t>tbus822</t>
  </si>
  <si>
    <t>joint82440</t>
  </si>
  <si>
    <t>joint82540</t>
  </si>
  <si>
    <t>joint82641</t>
  </si>
  <si>
    <t>joint82741</t>
  </si>
  <si>
    <t>joint82841</t>
  </si>
  <si>
    <t>joint83040</t>
  </si>
  <si>
    <t>joint83141</t>
  </si>
  <si>
    <t>joint83240</t>
  </si>
  <si>
    <t>tbus834</t>
  </si>
  <si>
    <t>joint83641</t>
  </si>
  <si>
    <t>joint83940</t>
  </si>
  <si>
    <t>joint84041</t>
  </si>
  <si>
    <t>joint84140</t>
  </si>
  <si>
    <t>joint84241</t>
  </si>
  <si>
    <t>joint84340</t>
  </si>
  <si>
    <t>bus843</t>
  </si>
  <si>
    <t>joint84440</t>
  </si>
  <si>
    <t>joint84740</t>
  </si>
  <si>
    <t>joint84841</t>
  </si>
  <si>
    <t>joint84940</t>
  </si>
  <si>
    <t>joint85040</t>
  </si>
  <si>
    <t>bus852</t>
  </si>
  <si>
    <t>joint85340</t>
  </si>
  <si>
    <t>joint85541</t>
  </si>
  <si>
    <t>joint85740</t>
  </si>
  <si>
    <t>joint85741</t>
  </si>
  <si>
    <t>joint85840</t>
  </si>
  <si>
    <t>joint85841</t>
  </si>
  <si>
    <t>joint86040</t>
  </si>
  <si>
    <t>joint86141</t>
  </si>
  <si>
    <t>joint86440</t>
  </si>
  <si>
    <t>joint86540</t>
  </si>
  <si>
    <t>joint86541</t>
  </si>
  <si>
    <t>joint86640</t>
  </si>
  <si>
    <t>joint86940</t>
  </si>
  <si>
    <t>joint86941</t>
  </si>
  <si>
    <t>joint87240</t>
  </si>
  <si>
    <t>bus872</t>
  </si>
  <si>
    <t>joint87340</t>
  </si>
  <si>
    <t>joint87540</t>
  </si>
  <si>
    <t>joint87640</t>
  </si>
  <si>
    <t>joint87740</t>
  </si>
  <si>
    <t>joint87741</t>
  </si>
  <si>
    <t>joint87840</t>
  </si>
  <si>
    <t>tbus878</t>
  </si>
  <si>
    <t>joint88041</t>
  </si>
  <si>
    <t>joint88141</t>
  </si>
  <si>
    <t>joint88241</t>
  </si>
  <si>
    <t>tbus883</t>
  </si>
  <si>
    <t>joint88440</t>
  </si>
  <si>
    <t>joint88540</t>
  </si>
  <si>
    <t>joint88641</t>
  </si>
  <si>
    <t>joint88740</t>
  </si>
  <si>
    <t>joint88841</t>
  </si>
  <si>
    <t>joint88940</t>
  </si>
  <si>
    <t>joint89140</t>
  </si>
  <si>
    <t>joint89340</t>
  </si>
  <si>
    <t>joint89441</t>
  </si>
  <si>
    <t>joint89740</t>
  </si>
  <si>
    <t>joint89741</t>
  </si>
  <si>
    <t>joint89941</t>
  </si>
  <si>
    <t>joint90140</t>
  </si>
  <si>
    <t>joint90241</t>
  </si>
  <si>
    <t>bus905</t>
  </si>
  <si>
    <t>bus906</t>
  </si>
  <si>
    <t>joint90740</t>
  </si>
  <si>
    <t>joint91040</t>
  </si>
  <si>
    <t>joint91440</t>
  </si>
  <si>
    <t>joint91441</t>
  </si>
  <si>
    <t>joint91541</t>
  </si>
  <si>
    <t>joint91640</t>
  </si>
  <si>
    <t>joint91641</t>
  </si>
  <si>
    <t>joint91740</t>
  </si>
  <si>
    <t>bus917</t>
  </si>
  <si>
    <t>joint91940</t>
  </si>
  <si>
    <t>joint91941</t>
  </si>
  <si>
    <t>joint92040</t>
  </si>
  <si>
    <t>joint92041</t>
  </si>
  <si>
    <t>bus921</t>
  </si>
  <si>
    <t>joint92241</t>
  </si>
  <si>
    <t>joint92441</t>
  </si>
  <si>
    <t>joint92540</t>
  </si>
  <si>
    <t>joint92640</t>
  </si>
  <si>
    <t>joint92740</t>
  </si>
  <si>
    <t>joint92840</t>
  </si>
  <si>
    <t>joint92940</t>
  </si>
  <si>
    <t>joint93040</t>
  </si>
  <si>
    <t>joint93041</t>
  </si>
  <si>
    <t>joint93140</t>
  </si>
  <si>
    <t>joint93340</t>
  </si>
  <si>
    <t>joint93341</t>
  </si>
  <si>
    <t>joint93540</t>
  </si>
  <si>
    <t>joint93541</t>
  </si>
  <si>
    <t>joint93641</t>
  </si>
  <si>
    <t>joint93840</t>
  </si>
  <si>
    <t>joint93941</t>
  </si>
  <si>
    <t>joint94040</t>
  </si>
  <si>
    <t>joint94041</t>
  </si>
  <si>
    <t>tbus941</t>
  </si>
  <si>
    <t>joint94340</t>
  </si>
  <si>
    <t>joint94440</t>
  </si>
  <si>
    <t>joint94640</t>
  </si>
  <si>
    <t>bus947</t>
  </si>
  <si>
    <t>joint95041</t>
  </si>
  <si>
    <t>joint95240</t>
  </si>
  <si>
    <t>joint95340</t>
  </si>
  <si>
    <t>joint95440</t>
  </si>
  <si>
    <t>joint95540</t>
  </si>
  <si>
    <t>joint95541</t>
  </si>
  <si>
    <t>joint95740</t>
  </si>
  <si>
    <t>joint95841</t>
  </si>
  <si>
    <t>joint96240</t>
  </si>
  <si>
    <t>joint96340</t>
  </si>
  <si>
    <t>joint96441</t>
  </si>
  <si>
    <t>joint96940</t>
  </si>
  <si>
    <t>joint96941</t>
  </si>
  <si>
    <t>joint97040</t>
  </si>
  <si>
    <t>joint97240</t>
  </si>
  <si>
    <t>joint97541</t>
  </si>
  <si>
    <t>joint97740</t>
  </si>
  <si>
    <t>joint97840</t>
  </si>
  <si>
    <t>joint97841</t>
  </si>
  <si>
    <t>joint98040</t>
  </si>
  <si>
    <t>joint98140</t>
  </si>
  <si>
    <t>joint98640</t>
  </si>
  <si>
    <t>joint98840</t>
  </si>
  <si>
    <t>joint98941</t>
  </si>
  <si>
    <t>joint99040</t>
  </si>
  <si>
    <t>joint99240</t>
  </si>
  <si>
    <t>joint99441</t>
  </si>
  <si>
    <t>joint99741</t>
  </si>
  <si>
    <t>joint99841</t>
  </si>
  <si>
    <t>joint100141</t>
  </si>
  <si>
    <t>joint100241</t>
  </si>
  <si>
    <t>joint100741</t>
  </si>
  <si>
    <t>joint101140</t>
  </si>
  <si>
    <t>joint101141</t>
  </si>
  <si>
    <t>joint101340</t>
  </si>
  <si>
    <t>joint101341</t>
  </si>
  <si>
    <t>joint101441</t>
  </si>
  <si>
    <t>joint101740</t>
  </si>
  <si>
    <t>joint101741</t>
  </si>
  <si>
    <t>joint101840</t>
  </si>
  <si>
    <t>joint101940</t>
  </si>
  <si>
    <t>joint102340</t>
  </si>
  <si>
    <t>joint102440</t>
  </si>
  <si>
    <t>joint102441</t>
  </si>
  <si>
    <t>joint102540</t>
  </si>
  <si>
    <t>joint102541</t>
  </si>
  <si>
    <t>joint102740</t>
  </si>
  <si>
    <t>joint102840</t>
  </si>
  <si>
    <t>joint103041</t>
  </si>
  <si>
    <t>joint103140</t>
  </si>
  <si>
    <t>joint103340</t>
  </si>
  <si>
    <t>joint103540</t>
  </si>
  <si>
    <t>joint103541</t>
  </si>
  <si>
    <t>joint103640</t>
  </si>
  <si>
    <t>joint103641</t>
  </si>
  <si>
    <t>joint103741</t>
  </si>
  <si>
    <t>joint103840</t>
  </si>
  <si>
    <t>joint103940</t>
  </si>
  <si>
    <t>joint104140</t>
  </si>
  <si>
    <t>joint104340</t>
  </si>
  <si>
    <t>joint104740</t>
  </si>
  <si>
    <t>joint104840</t>
  </si>
  <si>
    <t>joint105341</t>
  </si>
  <si>
    <t>joint105640</t>
  </si>
  <si>
    <t>joint105740</t>
  </si>
  <si>
    <t>joint105741</t>
  </si>
  <si>
    <t>joint105840</t>
  </si>
  <si>
    <t>joint105841</t>
  </si>
  <si>
    <t>joint105940</t>
  </si>
  <si>
    <t>joint105941</t>
  </si>
  <si>
    <t>joint106041</t>
  </si>
  <si>
    <t>joint106340</t>
  </si>
  <si>
    <t>joint106441</t>
  </si>
  <si>
    <t>joint106541</t>
  </si>
  <si>
    <t>joint106640</t>
  </si>
  <si>
    <t>joint106641</t>
  </si>
  <si>
    <t>joint106740</t>
  </si>
  <si>
    <t>joint106741</t>
  </si>
  <si>
    <t>joint107040</t>
  </si>
  <si>
    <t>joint107441</t>
  </si>
  <si>
    <t>joint107840</t>
  </si>
  <si>
    <t>joint107940</t>
  </si>
  <si>
    <t>bus1087</t>
  </si>
  <si>
    <t>bus1088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</si>
</sst>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0" fillId="2" borderId="0" xfId="0" applyFill="1"/>
    <xf numFmtId="164" fontId="0" fillId="2" borderId="0" xfId="0" applyNumberFormat="1" applyFill="1"/>
    <xf numFmtId="0" fontId="0" fillId="3" borderId="0" xfId="0" applyFill="1"/>
    <xf numFmtId="3" fontId="0" fillId="0" borderId="0" xfId="0" applyNumberFormat="1"/>
    <xf numFmtId="49" fontId="0" fillId="0" borderId="0" xfId="0" applyNumberFormat="1"/>
  </cellXfs>
  <cellStyles count="1">
    <cellStyle name="Normal" xfId="0" builtinId="0"/>
  </cellStyles>
  <dxfs count="2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V1092"/>
  <sheetViews>
    <sheetView tabSelected="1" topLeftCell="AA1" workbookViewId="0">
      <selection activeCell="AQ15" sqref="AQ15"/>
    </sheetView>
  </sheetViews>
  <sheetFormatPr defaultRowHeight="14.4" x14ac:dyDescent="0.3"/>
  <cols>
    <col min="1" max="5" width="0" hidden="1" customWidth="1"/>
    <col min="7" max="7" width="10.109375" bestFit="1" customWidth="1"/>
    <col min="8" max="9" width="0" hidden="1" customWidth="1"/>
    <col min="10" max="13" width="10.5546875" style="1" bestFit="1" customWidth="1"/>
    <col min="14" max="23" width="9.109375" hidden="1" customWidth="1"/>
    <col min="24" max="24" width="10.44140625" hidden="1" customWidth="1"/>
    <col min="25" max="28" width="9.109375" customWidth="1"/>
    <col min="30" max="34" width="0" hidden="1" customWidth="1"/>
    <col min="35" max="35" width="11.33203125" hidden="1" customWidth="1"/>
    <col min="36" max="37" width="0" hidden="1" customWidth="1"/>
    <col min="38" max="38" width="8.88671875" hidden="1" customWidth="1"/>
    <col min="40" max="41" width="21" bestFit="1" customWidth="1"/>
    <col min="43" max="44" width="21" bestFit="1" customWidth="1"/>
    <col min="47" max="47" width="19" bestFit="1" customWidth="1"/>
    <col min="48" max="48" width="22.33203125" bestFit="1" customWidth="1"/>
  </cols>
  <sheetData>
    <row r="1" spans="1:4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N1" t="s">
        <v>125</v>
      </c>
      <c r="AO1" t="s">
        <v>126</v>
      </c>
      <c r="AU1" t="s">
        <v>132</v>
      </c>
      <c r="AV1" t="s">
        <v>1966</v>
      </c>
    </row>
    <row r="2" spans="1:48" x14ac:dyDescent="0.3">
      <c r="A2">
        <v>3869</v>
      </c>
      <c r="B2">
        <v>4</v>
      </c>
      <c r="C2">
        <v>4032259</v>
      </c>
      <c r="D2">
        <v>27123</v>
      </c>
      <c r="E2">
        <v>2</v>
      </c>
      <c r="F2">
        <v>670050</v>
      </c>
      <c r="G2" t="s">
        <v>38</v>
      </c>
      <c r="H2" t="s">
        <v>41</v>
      </c>
      <c r="I2">
        <v>0</v>
      </c>
      <c r="J2" s="1">
        <v>405000</v>
      </c>
      <c r="K2" s="1">
        <v>281718.33199999999</v>
      </c>
      <c r="L2" s="1">
        <v>404635.15600000002</v>
      </c>
      <c r="M2" s="1">
        <v>282126.31599999999</v>
      </c>
      <c r="N2" t="s">
        <v>40</v>
      </c>
      <c r="P2" t="s">
        <v>40</v>
      </c>
      <c r="Q2">
        <v>0</v>
      </c>
      <c r="R2">
        <v>0</v>
      </c>
      <c r="S2">
        <v>0</v>
      </c>
      <c r="T2">
        <v>6</v>
      </c>
      <c r="U2">
        <v>6</v>
      </c>
      <c r="V2">
        <v>1</v>
      </c>
      <c r="W2">
        <v>2</v>
      </c>
      <c r="X2" t="s">
        <v>40</v>
      </c>
      <c r="Y2">
        <v>3</v>
      </c>
      <c r="Z2">
        <v>89</v>
      </c>
      <c r="AA2">
        <v>1</v>
      </c>
      <c r="AB2">
        <v>0</v>
      </c>
      <c r="AC2">
        <v>149.452</v>
      </c>
      <c r="AD2">
        <v>5059</v>
      </c>
      <c r="AH2">
        <v>0</v>
      </c>
      <c r="AI2">
        <v>0</v>
      </c>
      <c r="AL2" t="s">
        <v>40</v>
      </c>
      <c r="AM2" t="str">
        <f t="shared" ref="AM2:AM49" si="0">_xlfn.CONCAT(Z2, " ",AA2)</f>
        <v>89 1</v>
      </c>
      <c r="AN2" s="6" t="s">
        <v>879</v>
      </c>
      <c r="AO2" s="6" t="s">
        <v>137</v>
      </c>
      <c r="AQ2" t="s">
        <v>1870</v>
      </c>
      <c r="AR2" t="s">
        <v>139</v>
      </c>
      <c r="AU2" t="s">
        <v>134</v>
      </c>
      <c r="AV2" t="s">
        <v>127</v>
      </c>
    </row>
    <row r="3" spans="1:48" x14ac:dyDescent="0.3">
      <c r="A3">
        <v>3869</v>
      </c>
      <c r="B3">
        <v>4</v>
      </c>
      <c r="C3">
        <v>4032418</v>
      </c>
      <c r="D3">
        <v>28105</v>
      </c>
      <c r="E3">
        <v>2</v>
      </c>
      <c r="F3">
        <v>670050</v>
      </c>
      <c r="G3" t="s">
        <v>38</v>
      </c>
      <c r="H3" t="s">
        <v>39</v>
      </c>
      <c r="I3">
        <v>0</v>
      </c>
      <c r="J3" s="1">
        <v>404846.86</v>
      </c>
      <c r="K3" s="1">
        <v>282000</v>
      </c>
      <c r="L3" s="1">
        <v>404880.24</v>
      </c>
      <c r="M3" s="1">
        <v>282000</v>
      </c>
      <c r="N3" t="s">
        <v>40</v>
      </c>
      <c r="P3" t="s">
        <v>40</v>
      </c>
      <c r="Q3">
        <v>0</v>
      </c>
      <c r="R3">
        <v>0</v>
      </c>
      <c r="S3">
        <v>0</v>
      </c>
      <c r="T3">
        <v>6</v>
      </c>
      <c r="U3">
        <v>6</v>
      </c>
      <c r="V3">
        <v>1</v>
      </c>
      <c r="W3">
        <v>1</v>
      </c>
      <c r="X3" t="s">
        <v>40</v>
      </c>
      <c r="Y3">
        <v>3</v>
      </c>
      <c r="Z3">
        <v>40</v>
      </c>
      <c r="AA3">
        <v>5001</v>
      </c>
      <c r="AB3">
        <v>0</v>
      </c>
      <c r="AC3">
        <v>231.541</v>
      </c>
      <c r="AD3">
        <v>5060</v>
      </c>
      <c r="AH3">
        <v>0</v>
      </c>
      <c r="AI3">
        <v>0</v>
      </c>
      <c r="AL3" t="s">
        <v>40</v>
      </c>
      <c r="AM3" t="str">
        <f t="shared" si="0"/>
        <v>40 5001</v>
      </c>
      <c r="AN3" t="str">
        <f t="shared" ref="AN3:AN48" si="1">ROUND(J3,3)&amp;","&amp;ROUND(K3,3)</f>
        <v>404846.86,282000</v>
      </c>
      <c r="AO3" t="str">
        <f t="shared" ref="AO3:AO48" si="2">ROUND(L3,3)&amp;","&amp;ROUND(M3,3)</f>
        <v>404880.24,282000</v>
      </c>
      <c r="AQ3" t="s">
        <v>139</v>
      </c>
      <c r="AR3" t="s">
        <v>1983</v>
      </c>
      <c r="AU3" t="s">
        <v>136</v>
      </c>
      <c r="AV3" t="s">
        <v>128</v>
      </c>
    </row>
    <row r="4" spans="1:48" x14ac:dyDescent="0.3">
      <c r="A4">
        <v>3869</v>
      </c>
      <c r="B4">
        <v>4</v>
      </c>
      <c r="C4">
        <v>4032401</v>
      </c>
      <c r="D4">
        <v>106183</v>
      </c>
      <c r="E4">
        <v>2</v>
      </c>
      <c r="F4">
        <v>670050</v>
      </c>
      <c r="G4" t="s">
        <v>38</v>
      </c>
      <c r="H4" t="s">
        <v>39</v>
      </c>
      <c r="I4">
        <v>0</v>
      </c>
      <c r="J4" s="1">
        <v>404880.24</v>
      </c>
      <c r="K4" s="1">
        <v>282000</v>
      </c>
      <c r="L4" s="1">
        <v>405102.71600000001</v>
      </c>
      <c r="M4" s="1">
        <v>281000</v>
      </c>
      <c r="N4" t="s">
        <v>40</v>
      </c>
      <c r="P4" t="s">
        <v>40</v>
      </c>
      <c r="Q4">
        <v>0</v>
      </c>
      <c r="R4">
        <v>0</v>
      </c>
      <c r="S4">
        <v>0</v>
      </c>
      <c r="T4">
        <v>6</v>
      </c>
      <c r="U4">
        <v>6</v>
      </c>
      <c r="V4">
        <v>1</v>
      </c>
      <c r="W4">
        <v>2</v>
      </c>
      <c r="X4" t="s">
        <v>40</v>
      </c>
      <c r="Y4">
        <v>3</v>
      </c>
      <c r="Z4">
        <v>5024</v>
      </c>
      <c r="AA4">
        <v>1</v>
      </c>
      <c r="AB4">
        <v>0</v>
      </c>
      <c r="AC4">
        <v>12.212999999999999</v>
      </c>
      <c r="AD4">
        <v>5059</v>
      </c>
      <c r="AH4">
        <v>0</v>
      </c>
      <c r="AI4">
        <v>0</v>
      </c>
      <c r="AL4" t="s">
        <v>40</v>
      </c>
      <c r="AM4" t="str">
        <f t="shared" si="0"/>
        <v>5024 1</v>
      </c>
      <c r="AN4" t="str">
        <f t="shared" si="1"/>
        <v>404880.24,282000</v>
      </c>
      <c r="AO4" t="str">
        <f t="shared" si="2"/>
        <v>405102.716,281000</v>
      </c>
      <c r="AQ4" t="s">
        <v>1983</v>
      </c>
      <c r="AR4" t="s">
        <v>140</v>
      </c>
      <c r="AU4" t="s">
        <v>1967</v>
      </c>
      <c r="AV4" t="s">
        <v>128</v>
      </c>
    </row>
    <row r="5" spans="1:48" x14ac:dyDescent="0.3">
      <c r="A5">
        <v>3869</v>
      </c>
      <c r="B5">
        <v>4</v>
      </c>
      <c r="C5">
        <v>4032384</v>
      </c>
      <c r="D5">
        <v>106182</v>
      </c>
      <c r="E5">
        <v>2</v>
      </c>
      <c r="F5">
        <v>670050</v>
      </c>
      <c r="G5" t="s">
        <v>38</v>
      </c>
      <c r="H5" t="s">
        <v>43</v>
      </c>
      <c r="I5">
        <v>0</v>
      </c>
      <c r="J5" s="1">
        <v>405102.71600000001</v>
      </c>
      <c r="K5" s="1">
        <v>281000</v>
      </c>
      <c r="L5" s="1">
        <v>404434.24099999998</v>
      </c>
      <c r="M5" s="1">
        <v>282357.951</v>
      </c>
      <c r="N5" t="s">
        <v>40</v>
      </c>
      <c r="P5" t="s">
        <v>40</v>
      </c>
      <c r="Q5">
        <v>0</v>
      </c>
      <c r="R5">
        <v>0</v>
      </c>
      <c r="S5">
        <v>200610</v>
      </c>
      <c r="T5">
        <v>6</v>
      </c>
      <c r="U5">
        <v>6</v>
      </c>
      <c r="V5">
        <v>1</v>
      </c>
      <c r="W5">
        <v>2</v>
      </c>
      <c r="X5" t="s">
        <v>40</v>
      </c>
      <c r="Y5">
        <v>3</v>
      </c>
      <c r="Z5">
        <v>5028</v>
      </c>
      <c r="AA5">
        <v>1</v>
      </c>
      <c r="AB5">
        <v>0</v>
      </c>
      <c r="AC5">
        <v>4.5519999999999996</v>
      </c>
      <c r="AD5">
        <v>5059</v>
      </c>
      <c r="AH5">
        <v>0</v>
      </c>
      <c r="AI5">
        <v>0</v>
      </c>
      <c r="AL5" t="s">
        <v>40</v>
      </c>
      <c r="AM5" t="str">
        <f t="shared" si="0"/>
        <v>5028 1</v>
      </c>
      <c r="AN5" t="str">
        <f t="shared" si="1"/>
        <v>405102.716,281000</v>
      </c>
      <c r="AO5" t="str">
        <f t="shared" si="2"/>
        <v>404434.241,282357.951</v>
      </c>
      <c r="AQ5" t="s">
        <v>140</v>
      </c>
      <c r="AR5" t="s">
        <v>667</v>
      </c>
      <c r="AU5" t="s">
        <v>1968</v>
      </c>
      <c r="AV5" t="s">
        <v>128</v>
      </c>
    </row>
    <row r="6" spans="1:48" x14ac:dyDescent="0.3">
      <c r="A6">
        <v>3869</v>
      </c>
      <c r="B6">
        <v>4</v>
      </c>
      <c r="C6">
        <v>4032371</v>
      </c>
      <c r="D6">
        <v>27157</v>
      </c>
      <c r="E6">
        <v>2</v>
      </c>
      <c r="F6">
        <v>670050</v>
      </c>
      <c r="G6" t="s">
        <v>38</v>
      </c>
      <c r="H6" t="s">
        <v>39</v>
      </c>
      <c r="I6">
        <v>0</v>
      </c>
      <c r="J6" s="1">
        <v>404554.81599999999</v>
      </c>
      <c r="K6" s="1">
        <v>282221.31199999998</v>
      </c>
      <c r="L6" s="1">
        <v>404853.96299999999</v>
      </c>
      <c r="M6" s="1">
        <v>281421.59999999998</v>
      </c>
      <c r="N6" t="s">
        <v>40</v>
      </c>
      <c r="P6" t="s">
        <v>40</v>
      </c>
      <c r="Q6">
        <v>0</v>
      </c>
      <c r="R6">
        <v>0</v>
      </c>
      <c r="S6">
        <v>0</v>
      </c>
      <c r="T6">
        <v>6</v>
      </c>
      <c r="U6">
        <v>6</v>
      </c>
      <c r="V6">
        <v>1</v>
      </c>
      <c r="W6">
        <v>2</v>
      </c>
      <c r="X6" t="s">
        <v>40</v>
      </c>
      <c r="Y6">
        <v>3</v>
      </c>
      <c r="Z6">
        <v>40</v>
      </c>
      <c r="AA6">
        <v>5001</v>
      </c>
      <c r="AB6">
        <v>0</v>
      </c>
      <c r="AC6">
        <v>35.465000000000003</v>
      </c>
      <c r="AD6">
        <v>5059</v>
      </c>
      <c r="AH6">
        <v>0</v>
      </c>
      <c r="AI6">
        <v>0</v>
      </c>
      <c r="AL6" t="s">
        <v>40</v>
      </c>
      <c r="AM6" t="str">
        <f t="shared" si="0"/>
        <v>40 5001</v>
      </c>
      <c r="AN6" t="str">
        <f t="shared" si="1"/>
        <v>404554.816,282221.312</v>
      </c>
      <c r="AO6" t="str">
        <f t="shared" si="2"/>
        <v>404853.963,281421.6</v>
      </c>
      <c r="AQ6" t="s">
        <v>1876</v>
      </c>
      <c r="AR6" t="s">
        <v>130</v>
      </c>
      <c r="AU6" t="s">
        <v>1969</v>
      </c>
      <c r="AV6" t="s">
        <v>129</v>
      </c>
    </row>
    <row r="7" spans="1:48" x14ac:dyDescent="0.3">
      <c r="A7">
        <v>3869</v>
      </c>
      <c r="B7">
        <v>4</v>
      </c>
      <c r="C7">
        <v>4032348</v>
      </c>
      <c r="D7">
        <v>105143</v>
      </c>
      <c r="E7">
        <v>2</v>
      </c>
      <c r="F7">
        <v>670050</v>
      </c>
      <c r="G7" t="s">
        <v>38</v>
      </c>
      <c r="H7" t="s">
        <v>39</v>
      </c>
      <c r="I7">
        <v>0</v>
      </c>
      <c r="J7" s="1">
        <v>404581.701</v>
      </c>
      <c r="K7" s="1">
        <v>282594.15299999999</v>
      </c>
      <c r="L7" s="1">
        <v>404853.717</v>
      </c>
      <c r="M7" s="1">
        <v>281420.821</v>
      </c>
      <c r="N7" t="s">
        <v>40</v>
      </c>
      <c r="P7" t="s">
        <v>40</v>
      </c>
      <c r="Q7">
        <v>0</v>
      </c>
      <c r="R7">
        <v>0</v>
      </c>
      <c r="S7">
        <v>0</v>
      </c>
      <c r="T7">
        <v>6</v>
      </c>
      <c r="U7">
        <v>6</v>
      </c>
      <c r="V7">
        <v>1</v>
      </c>
      <c r="W7">
        <v>2</v>
      </c>
      <c r="X7" t="s">
        <v>40</v>
      </c>
      <c r="Y7">
        <v>3</v>
      </c>
      <c r="Z7">
        <v>40</v>
      </c>
      <c r="AA7">
        <v>5001</v>
      </c>
      <c r="AB7">
        <v>0</v>
      </c>
      <c r="AC7">
        <v>25.209</v>
      </c>
      <c r="AD7">
        <v>5059</v>
      </c>
      <c r="AH7">
        <v>0</v>
      </c>
      <c r="AI7">
        <v>0</v>
      </c>
      <c r="AL7" t="s">
        <v>40</v>
      </c>
      <c r="AM7" t="str">
        <f t="shared" si="0"/>
        <v>40 5001</v>
      </c>
      <c r="AN7" t="str">
        <f t="shared" si="1"/>
        <v>404581.701,282594.153</v>
      </c>
      <c r="AO7" t="str">
        <f t="shared" si="2"/>
        <v>404853.717,281420.821</v>
      </c>
      <c r="AQ7" t="s">
        <v>1155</v>
      </c>
      <c r="AR7" t="s">
        <v>130</v>
      </c>
      <c r="AU7" t="s">
        <v>1970</v>
      </c>
      <c r="AV7" t="s">
        <v>129</v>
      </c>
    </row>
    <row r="8" spans="1:48" x14ac:dyDescent="0.3">
      <c r="A8">
        <v>3869</v>
      </c>
      <c r="B8">
        <v>4</v>
      </c>
      <c r="C8">
        <v>4032336</v>
      </c>
      <c r="D8">
        <v>29047</v>
      </c>
      <c r="E8">
        <v>2</v>
      </c>
      <c r="F8" s="2">
        <v>670050</v>
      </c>
      <c r="G8" s="2" t="s">
        <v>38</v>
      </c>
      <c r="H8" t="s">
        <v>39</v>
      </c>
      <c r="I8">
        <v>0</v>
      </c>
      <c r="J8" s="3">
        <v>404582.83500000002</v>
      </c>
      <c r="K8" s="3">
        <v>282593.25400000002</v>
      </c>
      <c r="L8" s="3">
        <v>404410.52299999999</v>
      </c>
      <c r="M8" s="3">
        <v>282795.45799999998</v>
      </c>
      <c r="N8" t="s">
        <v>40</v>
      </c>
      <c r="P8" t="s">
        <v>40</v>
      </c>
      <c r="Q8">
        <v>0</v>
      </c>
      <c r="R8">
        <v>0</v>
      </c>
      <c r="S8">
        <v>0</v>
      </c>
      <c r="T8">
        <v>6</v>
      </c>
      <c r="U8">
        <v>6</v>
      </c>
      <c r="V8">
        <v>1</v>
      </c>
      <c r="W8">
        <v>3</v>
      </c>
      <c r="X8" t="s">
        <v>40</v>
      </c>
      <c r="Y8" s="2">
        <v>3</v>
      </c>
      <c r="Z8" s="2">
        <v>95</v>
      </c>
      <c r="AA8" s="2">
        <v>99</v>
      </c>
      <c r="AB8" s="2">
        <v>0</v>
      </c>
      <c r="AC8" s="2">
        <v>11.574</v>
      </c>
      <c r="AD8">
        <v>5059</v>
      </c>
      <c r="AH8">
        <v>0</v>
      </c>
      <c r="AI8">
        <v>0</v>
      </c>
      <c r="AL8" t="s">
        <v>40</v>
      </c>
      <c r="AM8" t="str">
        <f t="shared" si="0"/>
        <v>95 99</v>
      </c>
      <c r="AN8" t="str">
        <f t="shared" si="1"/>
        <v>404582.835,282593.254</v>
      </c>
      <c r="AO8" t="str">
        <f t="shared" si="2"/>
        <v>404410.523,282795.458</v>
      </c>
      <c r="AP8" s="2"/>
      <c r="AQ8" s="2" t="s">
        <v>1984</v>
      </c>
      <c r="AR8" s="2" t="s">
        <v>1985</v>
      </c>
      <c r="AU8" t="s">
        <v>1971</v>
      </c>
      <c r="AV8" t="s">
        <v>129</v>
      </c>
    </row>
    <row r="9" spans="1:48" x14ac:dyDescent="0.3">
      <c r="A9">
        <v>3869</v>
      </c>
      <c r="B9">
        <v>4</v>
      </c>
      <c r="C9">
        <v>4032335</v>
      </c>
      <c r="D9">
        <v>29030</v>
      </c>
      <c r="E9">
        <v>2</v>
      </c>
      <c r="F9">
        <v>670050</v>
      </c>
      <c r="G9" t="s">
        <v>38</v>
      </c>
      <c r="H9" t="s">
        <v>39</v>
      </c>
      <c r="I9">
        <v>0</v>
      </c>
      <c r="J9" s="1">
        <v>404607.15500000003</v>
      </c>
      <c r="K9" s="1">
        <v>282221.27299999999</v>
      </c>
      <c r="L9" s="3">
        <v>404410.52299999999</v>
      </c>
      <c r="M9" s="3">
        <v>282795.45799999998</v>
      </c>
      <c r="N9" t="s">
        <v>40</v>
      </c>
      <c r="P9" t="s">
        <v>40</v>
      </c>
      <c r="Q9">
        <v>0</v>
      </c>
      <c r="R9">
        <v>0</v>
      </c>
      <c r="S9">
        <v>0</v>
      </c>
      <c r="T9">
        <v>6</v>
      </c>
      <c r="U9">
        <v>6</v>
      </c>
      <c r="V9">
        <v>1</v>
      </c>
      <c r="W9">
        <v>3</v>
      </c>
      <c r="X9" t="s">
        <v>40</v>
      </c>
      <c r="Y9" s="2">
        <v>3</v>
      </c>
      <c r="Z9" s="2">
        <v>89</v>
      </c>
      <c r="AA9" s="2">
        <v>99</v>
      </c>
      <c r="AB9" s="2">
        <v>0</v>
      </c>
      <c r="AC9" s="2">
        <v>132.01300000000001</v>
      </c>
      <c r="AD9">
        <v>5059</v>
      </c>
      <c r="AH9">
        <v>0</v>
      </c>
      <c r="AI9">
        <v>0</v>
      </c>
      <c r="AL9" t="s">
        <v>40</v>
      </c>
      <c r="AM9" t="str">
        <f t="shared" si="0"/>
        <v>89 99</v>
      </c>
      <c r="AN9" t="str">
        <f t="shared" si="1"/>
        <v>404607.155,282221.273</v>
      </c>
      <c r="AO9" t="str">
        <f t="shared" si="2"/>
        <v>404410.523,282795.458</v>
      </c>
      <c r="AP9" s="2"/>
      <c r="AQ9" s="2" t="s">
        <v>1986</v>
      </c>
      <c r="AR9" s="2" t="s">
        <v>1985</v>
      </c>
      <c r="AU9" t="s">
        <v>1972</v>
      </c>
      <c r="AV9" t="s">
        <v>129</v>
      </c>
    </row>
    <row r="10" spans="1:48" x14ac:dyDescent="0.3">
      <c r="A10">
        <v>3869</v>
      </c>
      <c r="B10">
        <v>4</v>
      </c>
      <c r="C10">
        <v>4032449</v>
      </c>
      <c r="D10">
        <v>30018</v>
      </c>
      <c r="E10">
        <v>2</v>
      </c>
      <c r="F10">
        <v>670050</v>
      </c>
      <c r="G10" t="s">
        <v>38</v>
      </c>
      <c r="H10" t="s">
        <v>39</v>
      </c>
      <c r="I10">
        <v>0</v>
      </c>
      <c r="J10" s="1">
        <v>404607.15500000003</v>
      </c>
      <c r="K10" s="1">
        <v>282221.27299999999</v>
      </c>
      <c r="L10" s="1">
        <v>404554.81599999999</v>
      </c>
      <c r="M10" s="1">
        <v>282221.31199999998</v>
      </c>
      <c r="N10" t="s">
        <v>40</v>
      </c>
      <c r="P10" t="s">
        <v>40</v>
      </c>
      <c r="Q10">
        <v>0</v>
      </c>
      <c r="R10">
        <v>0</v>
      </c>
      <c r="S10">
        <v>0</v>
      </c>
      <c r="T10">
        <v>6</v>
      </c>
      <c r="U10">
        <v>6</v>
      </c>
      <c r="V10">
        <v>1</v>
      </c>
      <c r="W10">
        <v>2</v>
      </c>
      <c r="X10" t="s">
        <v>40</v>
      </c>
      <c r="Y10">
        <v>3</v>
      </c>
      <c r="Z10">
        <v>5024</v>
      </c>
      <c r="AA10">
        <v>1</v>
      </c>
      <c r="AB10">
        <v>0</v>
      </c>
      <c r="AC10">
        <v>53.545999999999999</v>
      </c>
      <c r="AD10">
        <v>5059</v>
      </c>
      <c r="AH10">
        <v>0</v>
      </c>
      <c r="AI10">
        <v>0</v>
      </c>
      <c r="AL10" t="s">
        <v>40</v>
      </c>
      <c r="AM10" t="str">
        <f t="shared" si="0"/>
        <v>5024 1</v>
      </c>
      <c r="AN10" t="str">
        <f t="shared" si="1"/>
        <v>404607.155,282221.273</v>
      </c>
      <c r="AO10" t="str">
        <f t="shared" si="2"/>
        <v>404554.816,282221.312</v>
      </c>
      <c r="AQ10" t="s">
        <v>1986</v>
      </c>
      <c r="AR10" t="s">
        <v>1876</v>
      </c>
      <c r="AU10" t="s">
        <v>1973</v>
      </c>
      <c r="AV10" t="s">
        <v>129</v>
      </c>
    </row>
    <row r="11" spans="1:48" x14ac:dyDescent="0.3">
      <c r="A11">
        <v>3869</v>
      </c>
      <c r="B11">
        <v>4</v>
      </c>
      <c r="C11">
        <v>4032324</v>
      </c>
      <c r="D11">
        <v>27140</v>
      </c>
      <c r="E11">
        <v>2</v>
      </c>
      <c r="F11">
        <v>670050</v>
      </c>
      <c r="G11" t="s">
        <v>38</v>
      </c>
      <c r="H11" t="s">
        <v>39</v>
      </c>
      <c r="I11">
        <v>0</v>
      </c>
      <c r="J11" s="1">
        <v>404611.30699999997</v>
      </c>
      <c r="K11" s="1">
        <v>282222.179</v>
      </c>
      <c r="L11" s="1">
        <v>404581.701</v>
      </c>
      <c r="M11" s="1">
        <v>282594.15299999999</v>
      </c>
      <c r="N11" t="s">
        <v>40</v>
      </c>
      <c r="P11" t="s">
        <v>40</v>
      </c>
      <c r="Q11">
        <v>0</v>
      </c>
      <c r="R11">
        <v>0</v>
      </c>
      <c r="S11">
        <v>0</v>
      </c>
      <c r="T11">
        <v>6</v>
      </c>
      <c r="U11">
        <v>6</v>
      </c>
      <c r="V11">
        <v>1</v>
      </c>
      <c r="W11">
        <v>3</v>
      </c>
      <c r="X11" t="s">
        <v>40</v>
      </c>
      <c r="Y11">
        <v>3</v>
      </c>
      <c r="Z11">
        <v>95</v>
      </c>
      <c r="AA11">
        <v>99</v>
      </c>
      <c r="AB11">
        <v>0</v>
      </c>
      <c r="AC11">
        <v>230.42</v>
      </c>
      <c r="AD11">
        <v>5059</v>
      </c>
      <c r="AH11">
        <v>0</v>
      </c>
      <c r="AI11">
        <v>0</v>
      </c>
      <c r="AL11" t="s">
        <v>40</v>
      </c>
      <c r="AM11" t="str">
        <f t="shared" si="0"/>
        <v>95 99</v>
      </c>
      <c r="AN11" t="str">
        <f t="shared" si="1"/>
        <v>404611.307,282222.179</v>
      </c>
      <c r="AO11" t="str">
        <f t="shared" si="2"/>
        <v>404581.701,282594.153</v>
      </c>
      <c r="AQ11" t="s">
        <v>1889</v>
      </c>
      <c r="AR11" t="s">
        <v>1155</v>
      </c>
      <c r="AU11" t="s">
        <v>1974</v>
      </c>
      <c r="AV11" t="s">
        <v>130</v>
      </c>
    </row>
    <row r="12" spans="1:48" x14ac:dyDescent="0.3">
      <c r="A12">
        <v>3869</v>
      </c>
      <c r="B12">
        <v>4</v>
      </c>
      <c r="C12">
        <v>4032476</v>
      </c>
      <c r="D12">
        <v>27352</v>
      </c>
      <c r="E12">
        <v>2</v>
      </c>
      <c r="F12">
        <v>670050</v>
      </c>
      <c r="G12" t="s">
        <v>38</v>
      </c>
      <c r="H12" t="s">
        <v>39</v>
      </c>
      <c r="I12">
        <v>0</v>
      </c>
      <c r="J12" s="1">
        <v>404616.69799999997</v>
      </c>
      <c r="K12" s="1">
        <v>282221.86300000001</v>
      </c>
      <c r="L12" s="1">
        <v>404582.83500000002</v>
      </c>
      <c r="M12" s="1">
        <v>282593.25400000002</v>
      </c>
      <c r="N12" t="s">
        <v>40</v>
      </c>
      <c r="P12" t="s">
        <v>40</v>
      </c>
      <c r="Q12">
        <v>0</v>
      </c>
      <c r="R12">
        <v>0</v>
      </c>
      <c r="S12">
        <v>0</v>
      </c>
      <c r="T12">
        <v>6</v>
      </c>
      <c r="U12">
        <v>6</v>
      </c>
      <c r="V12">
        <v>1</v>
      </c>
      <c r="W12">
        <v>1</v>
      </c>
      <c r="X12" t="s">
        <v>40</v>
      </c>
      <c r="Y12">
        <v>3</v>
      </c>
      <c r="Z12">
        <v>95</v>
      </c>
      <c r="AA12">
        <v>1</v>
      </c>
      <c r="AB12">
        <v>0</v>
      </c>
      <c r="AC12">
        <v>223.57400000000001</v>
      </c>
      <c r="AD12">
        <v>5059</v>
      </c>
      <c r="AH12">
        <v>0</v>
      </c>
      <c r="AI12">
        <v>0</v>
      </c>
      <c r="AL12" t="s">
        <v>40</v>
      </c>
      <c r="AM12" t="str">
        <f t="shared" si="0"/>
        <v>95 1</v>
      </c>
      <c r="AN12" t="str">
        <f t="shared" si="1"/>
        <v>404616.698,282221.863</v>
      </c>
      <c r="AO12" t="str">
        <f t="shared" si="2"/>
        <v>404582.835,282593.254</v>
      </c>
      <c r="AQ12" t="s">
        <v>1885</v>
      </c>
      <c r="AR12" t="s">
        <v>1984</v>
      </c>
      <c r="AU12" t="s">
        <v>1975</v>
      </c>
      <c r="AV12" t="s">
        <v>130</v>
      </c>
    </row>
    <row r="13" spans="1:48" x14ac:dyDescent="0.3">
      <c r="A13">
        <v>3869</v>
      </c>
      <c r="B13">
        <v>4</v>
      </c>
      <c r="C13">
        <v>4032322</v>
      </c>
      <c r="D13">
        <v>27135</v>
      </c>
      <c r="E13">
        <v>2</v>
      </c>
      <c r="F13">
        <v>670050</v>
      </c>
      <c r="G13" t="s">
        <v>38</v>
      </c>
      <c r="H13" t="s">
        <v>39</v>
      </c>
      <c r="I13">
        <v>0</v>
      </c>
      <c r="J13" s="1">
        <v>404616.69799999997</v>
      </c>
      <c r="K13" s="1">
        <v>282221.86300000001</v>
      </c>
      <c r="L13" s="1">
        <v>404611.30699999997</v>
      </c>
      <c r="M13" s="1">
        <v>282222.179</v>
      </c>
      <c r="N13" t="s">
        <v>40</v>
      </c>
      <c r="P13" t="s">
        <v>40</v>
      </c>
      <c r="Q13">
        <v>0</v>
      </c>
      <c r="R13">
        <v>0</v>
      </c>
      <c r="S13">
        <v>0</v>
      </c>
      <c r="T13">
        <v>6</v>
      </c>
      <c r="U13">
        <v>6</v>
      </c>
      <c r="V13">
        <v>1</v>
      </c>
      <c r="W13">
        <v>2</v>
      </c>
      <c r="X13" t="s">
        <v>40</v>
      </c>
      <c r="Y13">
        <v>3</v>
      </c>
      <c r="Z13">
        <v>89</v>
      </c>
      <c r="AA13">
        <v>1</v>
      </c>
      <c r="AB13">
        <v>0</v>
      </c>
      <c r="AC13">
        <v>4.266</v>
      </c>
      <c r="AD13">
        <v>5059</v>
      </c>
      <c r="AH13">
        <v>0</v>
      </c>
      <c r="AI13">
        <v>0</v>
      </c>
      <c r="AL13" t="s">
        <v>40</v>
      </c>
      <c r="AM13" t="str">
        <f t="shared" si="0"/>
        <v>89 1</v>
      </c>
      <c r="AN13" t="str">
        <f t="shared" si="1"/>
        <v>404616.698,282221.863</v>
      </c>
      <c r="AO13" t="str">
        <f t="shared" si="2"/>
        <v>404611.307,282222.179</v>
      </c>
      <c r="AQ13" t="s">
        <v>1885</v>
      </c>
      <c r="AR13" t="s">
        <v>1889</v>
      </c>
      <c r="AU13" t="s">
        <v>1976</v>
      </c>
      <c r="AV13" t="s">
        <v>130</v>
      </c>
    </row>
    <row r="14" spans="1:48" x14ac:dyDescent="0.3">
      <c r="A14">
        <v>3869</v>
      </c>
      <c r="B14">
        <v>4</v>
      </c>
      <c r="C14">
        <v>4032321</v>
      </c>
      <c r="D14">
        <v>27136</v>
      </c>
      <c r="E14">
        <v>2</v>
      </c>
      <c r="F14">
        <v>670050</v>
      </c>
      <c r="G14" t="s">
        <v>38</v>
      </c>
      <c r="H14" t="s">
        <v>39</v>
      </c>
      <c r="I14">
        <v>0</v>
      </c>
      <c r="J14" s="1">
        <v>404618.08500000002</v>
      </c>
      <c r="K14" s="1">
        <v>282188.86599999998</v>
      </c>
      <c r="L14" s="1">
        <v>404611.30699999997</v>
      </c>
      <c r="M14" s="1">
        <v>282222.179</v>
      </c>
      <c r="N14" t="s">
        <v>40</v>
      </c>
      <c r="P14" t="s">
        <v>40</v>
      </c>
      <c r="Q14">
        <v>0</v>
      </c>
      <c r="R14">
        <v>0</v>
      </c>
      <c r="S14">
        <v>0</v>
      </c>
      <c r="T14">
        <v>6</v>
      </c>
      <c r="U14">
        <v>6</v>
      </c>
      <c r="V14">
        <v>1</v>
      </c>
      <c r="W14">
        <v>2</v>
      </c>
      <c r="X14" t="s">
        <v>40</v>
      </c>
      <c r="Y14">
        <v>3</v>
      </c>
      <c r="Z14">
        <v>38</v>
      </c>
      <c r="AA14">
        <v>1</v>
      </c>
      <c r="AB14">
        <v>0</v>
      </c>
      <c r="AC14">
        <v>42.045000000000002</v>
      </c>
      <c r="AD14">
        <v>5059</v>
      </c>
      <c r="AH14">
        <v>0</v>
      </c>
      <c r="AI14">
        <v>0</v>
      </c>
      <c r="AL14" t="s">
        <v>40</v>
      </c>
      <c r="AM14" t="str">
        <f t="shared" si="0"/>
        <v>38 1</v>
      </c>
      <c r="AN14" s="6" t="s">
        <v>841</v>
      </c>
      <c r="AO14" s="6" t="s">
        <v>839</v>
      </c>
      <c r="AQ14" t="s">
        <v>1422</v>
      </c>
      <c r="AR14" t="s">
        <v>1889</v>
      </c>
      <c r="AU14" t="s">
        <v>1977</v>
      </c>
      <c r="AV14" t="s">
        <v>131</v>
      </c>
    </row>
    <row r="15" spans="1:48" x14ac:dyDescent="0.3">
      <c r="A15">
        <v>3869</v>
      </c>
      <c r="B15">
        <v>4</v>
      </c>
      <c r="C15">
        <v>4032307</v>
      </c>
      <c r="D15">
        <v>27134</v>
      </c>
      <c r="E15">
        <v>2</v>
      </c>
      <c r="F15">
        <v>670050</v>
      </c>
      <c r="G15" t="s">
        <v>38</v>
      </c>
      <c r="H15" t="s">
        <v>39</v>
      </c>
      <c r="I15">
        <v>0</v>
      </c>
      <c r="J15" s="1">
        <v>404649.85499999998</v>
      </c>
      <c r="K15" s="1">
        <v>282271.8</v>
      </c>
      <c r="L15" s="1">
        <v>404629.74699999997</v>
      </c>
      <c r="M15" s="1">
        <v>282140.25300000003</v>
      </c>
      <c r="N15" t="s">
        <v>40</v>
      </c>
      <c r="P15" t="s">
        <v>40</v>
      </c>
      <c r="Q15">
        <v>0</v>
      </c>
      <c r="R15">
        <v>0</v>
      </c>
      <c r="S15">
        <v>0</v>
      </c>
      <c r="T15">
        <v>6</v>
      </c>
      <c r="U15">
        <v>6</v>
      </c>
      <c r="V15">
        <v>1</v>
      </c>
      <c r="W15">
        <v>2</v>
      </c>
      <c r="X15" t="s">
        <v>40</v>
      </c>
      <c r="Y15">
        <v>3</v>
      </c>
      <c r="Z15">
        <v>89</v>
      </c>
      <c r="AA15">
        <v>1</v>
      </c>
      <c r="AB15">
        <v>0</v>
      </c>
      <c r="AC15">
        <v>64.977000000000004</v>
      </c>
      <c r="AD15">
        <v>5059</v>
      </c>
      <c r="AH15">
        <v>0</v>
      </c>
      <c r="AI15">
        <v>0</v>
      </c>
      <c r="AL15" t="s">
        <v>40</v>
      </c>
      <c r="AM15" t="str">
        <f t="shared" si="0"/>
        <v>89 1</v>
      </c>
      <c r="AN15" t="str">
        <f t="shared" si="1"/>
        <v>404649.855,282271.8</v>
      </c>
      <c r="AO15" t="str">
        <f t="shared" si="2"/>
        <v>404629.747,282140.253</v>
      </c>
      <c r="AQ15" t="s">
        <v>1461</v>
      </c>
      <c r="AR15" t="s">
        <v>1422</v>
      </c>
    </row>
    <row r="16" spans="1:48" x14ac:dyDescent="0.3">
      <c r="A16">
        <v>3869</v>
      </c>
      <c r="B16">
        <v>4</v>
      </c>
      <c r="C16">
        <v>4032276</v>
      </c>
      <c r="D16">
        <v>27142</v>
      </c>
      <c r="E16">
        <v>2</v>
      </c>
      <c r="F16">
        <v>670050</v>
      </c>
      <c r="G16" t="s">
        <v>38</v>
      </c>
      <c r="H16" t="s">
        <v>39</v>
      </c>
      <c r="I16">
        <v>0</v>
      </c>
      <c r="J16" s="1">
        <v>404413.44</v>
      </c>
      <c r="K16" s="1">
        <v>282815.065</v>
      </c>
      <c r="L16" s="1">
        <v>404649.85499999998</v>
      </c>
      <c r="M16" s="1">
        <v>282271.8</v>
      </c>
      <c r="N16" t="s">
        <v>40</v>
      </c>
      <c r="P16" t="s">
        <v>40</v>
      </c>
      <c r="Q16">
        <v>0</v>
      </c>
      <c r="R16">
        <v>0</v>
      </c>
      <c r="S16">
        <v>0</v>
      </c>
      <c r="T16">
        <v>6</v>
      </c>
      <c r="U16">
        <v>6</v>
      </c>
      <c r="V16">
        <v>1</v>
      </c>
      <c r="W16">
        <v>2</v>
      </c>
      <c r="X16" t="s">
        <v>40</v>
      </c>
      <c r="Y16">
        <v>3</v>
      </c>
      <c r="Z16">
        <v>38</v>
      </c>
      <c r="AA16">
        <v>5001</v>
      </c>
      <c r="AB16">
        <v>0</v>
      </c>
      <c r="AC16">
        <v>68.441999999999993</v>
      </c>
      <c r="AD16">
        <v>5059</v>
      </c>
      <c r="AH16">
        <v>0</v>
      </c>
      <c r="AI16">
        <v>0</v>
      </c>
      <c r="AL16" t="s">
        <v>40</v>
      </c>
      <c r="AM16" t="str">
        <f t="shared" si="0"/>
        <v>38 5001</v>
      </c>
      <c r="AN16" t="str">
        <f t="shared" si="1"/>
        <v>404413.44,282815.065</v>
      </c>
      <c r="AO16" t="str">
        <f t="shared" si="2"/>
        <v>404649.855,282271.8</v>
      </c>
      <c r="AQ16" t="s">
        <v>1987</v>
      </c>
      <c r="AR16" t="s">
        <v>1461</v>
      </c>
    </row>
    <row r="17" spans="1:44" x14ac:dyDescent="0.3">
      <c r="A17">
        <v>3869</v>
      </c>
      <c r="B17">
        <v>4</v>
      </c>
      <c r="C17">
        <v>4032275</v>
      </c>
      <c r="D17">
        <v>27120</v>
      </c>
      <c r="E17">
        <v>2</v>
      </c>
      <c r="F17">
        <v>670050</v>
      </c>
      <c r="G17" t="s">
        <v>38</v>
      </c>
      <c r="H17" t="s">
        <v>39</v>
      </c>
      <c r="I17">
        <v>0</v>
      </c>
      <c r="J17" s="1">
        <v>404413.44</v>
      </c>
      <c r="K17" s="1">
        <v>282815.065</v>
      </c>
      <c r="L17" s="1">
        <v>404653.19099999999</v>
      </c>
      <c r="M17" s="1">
        <v>282270.81599999999</v>
      </c>
      <c r="N17" t="s">
        <v>40</v>
      </c>
      <c r="P17" t="s">
        <v>40</v>
      </c>
      <c r="Q17">
        <v>0</v>
      </c>
      <c r="R17">
        <v>0</v>
      </c>
      <c r="S17">
        <v>200003</v>
      </c>
      <c r="T17">
        <v>6</v>
      </c>
      <c r="U17">
        <v>6</v>
      </c>
      <c r="V17">
        <v>1</v>
      </c>
      <c r="W17">
        <v>2</v>
      </c>
      <c r="X17" t="s">
        <v>40</v>
      </c>
      <c r="Y17">
        <v>3</v>
      </c>
      <c r="Z17">
        <v>38</v>
      </c>
      <c r="AA17">
        <v>1</v>
      </c>
      <c r="AB17">
        <v>0</v>
      </c>
      <c r="AC17">
        <v>3.8140000000000001</v>
      </c>
      <c r="AD17">
        <v>5059</v>
      </c>
      <c r="AH17">
        <v>0</v>
      </c>
      <c r="AI17">
        <v>0</v>
      </c>
      <c r="AL17" t="s">
        <v>40</v>
      </c>
      <c r="AM17" t="str">
        <f t="shared" si="0"/>
        <v>38 1</v>
      </c>
      <c r="AN17" t="str">
        <f t="shared" si="1"/>
        <v>404413.44,282815.065</v>
      </c>
      <c r="AO17" t="str">
        <f t="shared" si="2"/>
        <v>404653.191,282270.816</v>
      </c>
      <c r="AQ17" t="s">
        <v>1987</v>
      </c>
      <c r="AR17" t="s">
        <v>1988</v>
      </c>
    </row>
    <row r="18" spans="1:44" x14ac:dyDescent="0.3">
      <c r="A18">
        <v>3869</v>
      </c>
      <c r="B18">
        <v>4</v>
      </c>
      <c r="C18">
        <v>4014588</v>
      </c>
      <c r="D18">
        <v>14462</v>
      </c>
      <c r="E18">
        <v>2</v>
      </c>
      <c r="F18">
        <v>670050</v>
      </c>
      <c r="G18" t="s">
        <v>38</v>
      </c>
      <c r="H18" t="s">
        <v>39</v>
      </c>
      <c r="I18">
        <v>0</v>
      </c>
      <c r="J18" s="1">
        <v>404785.64199999999</v>
      </c>
      <c r="K18" s="1">
        <v>282086.58100000001</v>
      </c>
      <c r="L18" s="1">
        <v>404821.94199999998</v>
      </c>
      <c r="M18" s="1">
        <v>282041.484</v>
      </c>
      <c r="N18" t="s">
        <v>40</v>
      </c>
      <c r="P18" t="s">
        <v>40</v>
      </c>
      <c r="Q18">
        <v>0</v>
      </c>
      <c r="R18">
        <v>0</v>
      </c>
      <c r="S18">
        <v>0</v>
      </c>
      <c r="T18">
        <v>6</v>
      </c>
      <c r="U18">
        <v>6</v>
      </c>
      <c r="V18">
        <v>1</v>
      </c>
      <c r="W18">
        <v>2</v>
      </c>
      <c r="X18" t="s">
        <v>40</v>
      </c>
      <c r="Y18">
        <v>3</v>
      </c>
      <c r="Z18">
        <v>89</v>
      </c>
      <c r="AA18">
        <v>1</v>
      </c>
      <c r="AB18">
        <v>0</v>
      </c>
      <c r="AC18">
        <v>334.12299999999993</v>
      </c>
      <c r="AD18">
        <v>5059</v>
      </c>
      <c r="AH18">
        <v>0</v>
      </c>
      <c r="AI18">
        <v>0</v>
      </c>
      <c r="AL18" t="s">
        <v>40</v>
      </c>
      <c r="AM18" t="str">
        <f t="shared" si="0"/>
        <v>89 1</v>
      </c>
      <c r="AN18" s="6" t="s">
        <v>845</v>
      </c>
      <c r="AO18" s="6" t="s">
        <v>844</v>
      </c>
      <c r="AQ18" t="s">
        <v>1989</v>
      </c>
      <c r="AR18" t="s">
        <v>1988</v>
      </c>
    </row>
    <row r="19" spans="1:44" x14ac:dyDescent="0.3">
      <c r="A19">
        <v>3869</v>
      </c>
      <c r="B19">
        <v>4</v>
      </c>
      <c r="C19">
        <v>4014585</v>
      </c>
      <c r="D19">
        <v>15076</v>
      </c>
      <c r="E19">
        <v>2</v>
      </c>
      <c r="F19">
        <v>670050</v>
      </c>
      <c r="G19" t="s">
        <v>38</v>
      </c>
      <c r="H19" t="s">
        <v>39</v>
      </c>
      <c r="I19">
        <v>0</v>
      </c>
      <c r="J19" s="1">
        <v>404821.94199999998</v>
      </c>
      <c r="K19" s="1">
        <v>282041.484</v>
      </c>
      <c r="L19" s="1">
        <v>404829.20400000003</v>
      </c>
      <c r="M19" s="1">
        <v>282220.36800000002</v>
      </c>
      <c r="N19" t="s">
        <v>40</v>
      </c>
      <c r="P19" t="s">
        <v>40</v>
      </c>
      <c r="Q19">
        <v>0</v>
      </c>
      <c r="R19">
        <v>0</v>
      </c>
      <c r="S19">
        <v>0</v>
      </c>
      <c r="T19">
        <v>6</v>
      </c>
      <c r="U19">
        <v>6</v>
      </c>
      <c r="V19">
        <v>1</v>
      </c>
      <c r="W19">
        <v>3</v>
      </c>
      <c r="X19" t="s">
        <v>40</v>
      </c>
      <c r="Y19">
        <v>3</v>
      </c>
      <c r="Z19">
        <v>95</v>
      </c>
      <c r="AA19">
        <v>99</v>
      </c>
      <c r="AB19">
        <v>0</v>
      </c>
      <c r="AC19">
        <v>482.226</v>
      </c>
      <c r="AD19">
        <v>5059</v>
      </c>
      <c r="AH19">
        <v>0</v>
      </c>
      <c r="AI19">
        <v>0</v>
      </c>
      <c r="AL19" t="s">
        <v>40</v>
      </c>
      <c r="AM19" t="str">
        <f t="shared" si="0"/>
        <v>95 99</v>
      </c>
      <c r="AN19" s="6" t="s">
        <v>846</v>
      </c>
      <c r="AO19" s="6" t="s">
        <v>845</v>
      </c>
      <c r="AQ19" t="s">
        <v>1990</v>
      </c>
      <c r="AR19" t="s">
        <v>1989</v>
      </c>
    </row>
    <row r="20" spans="1:44" x14ac:dyDescent="0.3">
      <c r="A20">
        <v>3869</v>
      </c>
      <c r="B20">
        <v>4</v>
      </c>
      <c r="C20">
        <v>4014578</v>
      </c>
      <c r="D20">
        <v>15079</v>
      </c>
      <c r="E20">
        <v>2</v>
      </c>
      <c r="F20">
        <v>670050</v>
      </c>
      <c r="G20" t="s">
        <v>38</v>
      </c>
      <c r="H20" t="s">
        <v>39</v>
      </c>
      <c r="I20">
        <v>0</v>
      </c>
      <c r="J20" s="1">
        <v>404845.48700000002</v>
      </c>
      <c r="K20" s="1">
        <v>282194.72899999999</v>
      </c>
      <c r="L20" s="1">
        <v>404830.44699999999</v>
      </c>
      <c r="M20" s="1">
        <v>282219.152</v>
      </c>
      <c r="N20" t="s">
        <v>40</v>
      </c>
      <c r="P20" t="s">
        <v>40</v>
      </c>
      <c r="Q20">
        <v>0</v>
      </c>
      <c r="R20">
        <v>0</v>
      </c>
      <c r="S20">
        <v>0</v>
      </c>
      <c r="T20">
        <v>6</v>
      </c>
      <c r="U20">
        <v>6</v>
      </c>
      <c r="V20">
        <v>1</v>
      </c>
      <c r="W20">
        <v>1</v>
      </c>
      <c r="X20" t="s">
        <v>40</v>
      </c>
      <c r="Y20">
        <v>3</v>
      </c>
      <c r="Z20">
        <v>95</v>
      </c>
      <c r="AA20">
        <v>1</v>
      </c>
      <c r="AB20">
        <v>0</v>
      </c>
      <c r="AC20">
        <v>228.614</v>
      </c>
      <c r="AD20">
        <v>5059</v>
      </c>
      <c r="AH20">
        <v>0</v>
      </c>
      <c r="AI20">
        <v>0</v>
      </c>
      <c r="AL20" t="s">
        <v>40</v>
      </c>
      <c r="AM20" t="str">
        <f t="shared" si="0"/>
        <v>95 1</v>
      </c>
      <c r="AN20" t="str">
        <f t="shared" si="1"/>
        <v>404845.487,282194.729</v>
      </c>
      <c r="AO20" t="str">
        <f t="shared" si="2"/>
        <v>404830.447,282219.152</v>
      </c>
      <c r="AQ20" t="s">
        <v>1940</v>
      </c>
      <c r="AR20" t="s">
        <v>1990</v>
      </c>
    </row>
    <row r="21" spans="1:44" x14ac:dyDescent="0.3">
      <c r="A21">
        <v>3869</v>
      </c>
      <c r="B21">
        <v>4</v>
      </c>
      <c r="C21">
        <v>4025603</v>
      </c>
      <c r="D21">
        <v>23905</v>
      </c>
      <c r="E21">
        <v>2</v>
      </c>
      <c r="F21">
        <v>670050</v>
      </c>
      <c r="G21" t="s">
        <v>38</v>
      </c>
      <c r="H21" t="s">
        <v>42</v>
      </c>
      <c r="I21">
        <v>0</v>
      </c>
      <c r="J21" s="1">
        <v>404857.19300000003</v>
      </c>
      <c r="K21" s="1">
        <v>281450.96799999999</v>
      </c>
      <c r="L21" s="1">
        <v>404862.07799999998</v>
      </c>
      <c r="M21" s="1">
        <v>281398.35600000003</v>
      </c>
      <c r="N21" t="s">
        <v>40</v>
      </c>
      <c r="P21" t="s">
        <v>40</v>
      </c>
      <c r="Q21">
        <v>0</v>
      </c>
      <c r="R21">
        <v>0</v>
      </c>
      <c r="S21">
        <v>0</v>
      </c>
      <c r="T21">
        <v>6</v>
      </c>
      <c r="U21">
        <v>6</v>
      </c>
      <c r="V21">
        <v>1</v>
      </c>
      <c r="W21">
        <v>2</v>
      </c>
      <c r="X21" t="s">
        <v>40</v>
      </c>
      <c r="Y21">
        <v>3</v>
      </c>
      <c r="Z21">
        <v>40</v>
      </c>
      <c r="AA21">
        <v>5001</v>
      </c>
      <c r="AB21">
        <v>0</v>
      </c>
      <c r="AC21">
        <v>71.863</v>
      </c>
      <c r="AD21">
        <v>5059</v>
      </c>
      <c r="AH21">
        <v>0</v>
      </c>
      <c r="AI21">
        <v>0</v>
      </c>
      <c r="AL21" t="s">
        <v>40</v>
      </c>
      <c r="AM21" t="str">
        <f t="shared" si="0"/>
        <v>40 5001</v>
      </c>
      <c r="AN21" s="6" t="s">
        <v>848</v>
      </c>
      <c r="AO21" s="6" t="s">
        <v>850</v>
      </c>
      <c r="AQ21" t="s">
        <v>1991</v>
      </c>
      <c r="AR21" t="s">
        <v>1992</v>
      </c>
    </row>
    <row r="22" spans="1:44" x14ac:dyDescent="0.3">
      <c r="A22">
        <v>3869</v>
      </c>
      <c r="B22">
        <v>4</v>
      </c>
      <c r="C22">
        <v>4014555</v>
      </c>
      <c r="D22">
        <v>15314</v>
      </c>
      <c r="E22">
        <v>2</v>
      </c>
      <c r="F22">
        <v>670050</v>
      </c>
      <c r="G22" t="s">
        <v>38</v>
      </c>
      <c r="H22" t="s">
        <v>42</v>
      </c>
      <c r="I22">
        <v>0</v>
      </c>
      <c r="J22" s="1">
        <v>404862.07799999998</v>
      </c>
      <c r="K22" s="1">
        <v>281398.35600000003</v>
      </c>
      <c r="L22" s="1">
        <v>404866.31800000003</v>
      </c>
      <c r="M22" s="1">
        <v>282069.96000000002</v>
      </c>
      <c r="N22" t="s">
        <v>40</v>
      </c>
      <c r="P22" t="s">
        <v>40</v>
      </c>
      <c r="Q22">
        <v>0</v>
      </c>
      <c r="R22">
        <v>0</v>
      </c>
      <c r="S22">
        <v>0</v>
      </c>
      <c r="T22">
        <v>6</v>
      </c>
      <c r="U22">
        <v>6</v>
      </c>
      <c r="V22">
        <v>1</v>
      </c>
      <c r="W22">
        <v>1</v>
      </c>
      <c r="X22" t="s">
        <v>40</v>
      </c>
      <c r="Y22">
        <v>3</v>
      </c>
      <c r="Z22">
        <v>95</v>
      </c>
      <c r="AA22">
        <v>1</v>
      </c>
      <c r="AB22">
        <v>0</v>
      </c>
      <c r="AC22">
        <v>181.37899999999999</v>
      </c>
      <c r="AD22">
        <v>5059</v>
      </c>
      <c r="AH22">
        <v>0</v>
      </c>
      <c r="AI22">
        <v>0</v>
      </c>
      <c r="AL22" t="s">
        <v>40</v>
      </c>
      <c r="AM22" t="str">
        <f t="shared" si="0"/>
        <v>95 1</v>
      </c>
      <c r="AN22" t="str">
        <f t="shared" si="1"/>
        <v>404862.078,281398.356</v>
      </c>
      <c r="AO22" t="str">
        <f t="shared" si="2"/>
        <v>404866.318,282069.96</v>
      </c>
      <c r="AQ22" t="s">
        <v>1991</v>
      </c>
      <c r="AR22" t="s">
        <v>1993</v>
      </c>
    </row>
    <row r="23" spans="1:44" x14ac:dyDescent="0.3">
      <c r="A23">
        <v>3869</v>
      </c>
      <c r="B23">
        <v>4</v>
      </c>
      <c r="C23">
        <v>4014554</v>
      </c>
      <c r="D23">
        <v>15344</v>
      </c>
      <c r="E23">
        <v>2</v>
      </c>
      <c r="F23">
        <v>670050</v>
      </c>
      <c r="G23" t="s">
        <v>38</v>
      </c>
      <c r="H23" t="s">
        <v>42</v>
      </c>
      <c r="I23">
        <v>0</v>
      </c>
      <c r="J23" s="1">
        <v>404864.07299999997</v>
      </c>
      <c r="K23" s="1">
        <v>281398.83399999997</v>
      </c>
      <c r="L23" s="1">
        <v>404877.772</v>
      </c>
      <c r="M23" s="1">
        <v>282006.34700000001</v>
      </c>
      <c r="N23" t="s">
        <v>40</v>
      </c>
      <c r="P23" t="s">
        <v>40</v>
      </c>
      <c r="Q23">
        <v>0</v>
      </c>
      <c r="R23">
        <v>0</v>
      </c>
      <c r="S23">
        <v>0</v>
      </c>
      <c r="T23">
        <v>6</v>
      </c>
      <c r="U23">
        <v>6</v>
      </c>
      <c r="V23">
        <v>1</v>
      </c>
      <c r="W23">
        <v>1</v>
      </c>
      <c r="X23" t="s">
        <v>40</v>
      </c>
      <c r="Y23">
        <v>3</v>
      </c>
      <c r="Z23">
        <v>40</v>
      </c>
      <c r="AA23">
        <v>5001</v>
      </c>
      <c r="AB23">
        <v>0</v>
      </c>
      <c r="AC23">
        <v>6.8490000000000002</v>
      </c>
      <c r="AD23">
        <v>5059</v>
      </c>
      <c r="AH23">
        <v>0</v>
      </c>
      <c r="AI23">
        <v>0</v>
      </c>
      <c r="AL23" t="s">
        <v>40</v>
      </c>
      <c r="AM23" t="str">
        <f t="shared" si="0"/>
        <v>40 5001</v>
      </c>
      <c r="AN23" t="str">
        <f t="shared" si="1"/>
        <v>404864.073,281398.834</v>
      </c>
      <c r="AO23" t="str">
        <f t="shared" si="2"/>
        <v>404877.772,282006.347</v>
      </c>
      <c r="AQ23" t="s">
        <v>1994</v>
      </c>
      <c r="AR23" t="s">
        <v>1995</v>
      </c>
    </row>
    <row r="24" spans="1:44" x14ac:dyDescent="0.3">
      <c r="A24">
        <v>3869</v>
      </c>
      <c r="B24">
        <v>4</v>
      </c>
      <c r="C24">
        <v>4032437</v>
      </c>
      <c r="D24">
        <v>29732</v>
      </c>
      <c r="E24">
        <v>2</v>
      </c>
      <c r="F24">
        <v>670050</v>
      </c>
      <c r="G24" t="s">
        <v>38</v>
      </c>
      <c r="H24" t="s">
        <v>42</v>
      </c>
      <c r="I24">
        <v>0</v>
      </c>
      <c r="J24" s="1">
        <v>404864.07299999997</v>
      </c>
      <c r="K24" s="1">
        <v>281398.83399999997</v>
      </c>
      <c r="L24" s="1">
        <v>404902.478</v>
      </c>
      <c r="M24" s="1">
        <v>281408.10499999998</v>
      </c>
      <c r="N24" t="s">
        <v>40</v>
      </c>
      <c r="P24" t="s">
        <v>40</v>
      </c>
      <c r="Q24">
        <v>0</v>
      </c>
      <c r="R24">
        <v>0</v>
      </c>
      <c r="S24">
        <v>0</v>
      </c>
      <c r="T24">
        <v>6</v>
      </c>
      <c r="U24">
        <v>6</v>
      </c>
      <c r="V24">
        <v>1</v>
      </c>
      <c r="W24">
        <v>2</v>
      </c>
      <c r="X24" t="s">
        <v>40</v>
      </c>
      <c r="Y24">
        <v>3</v>
      </c>
      <c r="Z24">
        <v>38</v>
      </c>
      <c r="AA24">
        <v>5001</v>
      </c>
      <c r="AB24">
        <v>0</v>
      </c>
      <c r="AC24">
        <v>55.803000000000004</v>
      </c>
      <c r="AD24">
        <v>5059</v>
      </c>
      <c r="AH24">
        <v>0</v>
      </c>
      <c r="AI24">
        <v>0</v>
      </c>
      <c r="AL24" t="s">
        <v>40</v>
      </c>
      <c r="AM24" t="str">
        <f t="shared" si="0"/>
        <v>38 5001</v>
      </c>
      <c r="AN24" s="6" t="s">
        <v>850</v>
      </c>
      <c r="AO24" s="6" t="s">
        <v>849</v>
      </c>
      <c r="AQ24" t="s">
        <v>1992</v>
      </c>
      <c r="AR24" t="s">
        <v>1994</v>
      </c>
    </row>
    <row r="25" spans="1:44" x14ac:dyDescent="0.3">
      <c r="A25">
        <v>3869</v>
      </c>
      <c r="B25">
        <v>4</v>
      </c>
      <c r="C25">
        <v>4032347</v>
      </c>
      <c r="D25">
        <v>29036</v>
      </c>
      <c r="E25">
        <v>2</v>
      </c>
      <c r="F25">
        <v>670050</v>
      </c>
      <c r="G25" t="s">
        <v>38</v>
      </c>
      <c r="H25" t="s">
        <v>39</v>
      </c>
      <c r="I25">
        <v>0</v>
      </c>
      <c r="J25" s="1">
        <v>404866.31800000003</v>
      </c>
      <c r="K25" s="1">
        <v>282069.96000000002</v>
      </c>
      <c r="L25" s="1">
        <v>404938.27399999998</v>
      </c>
      <c r="M25" s="1">
        <v>281711.212</v>
      </c>
      <c r="N25" t="s">
        <v>40</v>
      </c>
      <c r="P25" t="s">
        <v>40</v>
      </c>
      <c r="Q25">
        <v>0</v>
      </c>
      <c r="R25">
        <v>0</v>
      </c>
      <c r="S25">
        <v>0</v>
      </c>
      <c r="T25">
        <v>6</v>
      </c>
      <c r="U25">
        <v>6</v>
      </c>
      <c r="V25">
        <v>1</v>
      </c>
      <c r="W25">
        <v>2</v>
      </c>
      <c r="X25" t="s">
        <v>40</v>
      </c>
      <c r="Y25">
        <v>3</v>
      </c>
      <c r="Z25">
        <v>89</v>
      </c>
      <c r="AA25">
        <v>1</v>
      </c>
      <c r="AB25">
        <v>0</v>
      </c>
      <c r="AC25">
        <v>174.375</v>
      </c>
      <c r="AD25">
        <v>5059</v>
      </c>
      <c r="AH25">
        <v>0</v>
      </c>
      <c r="AI25">
        <v>0</v>
      </c>
      <c r="AL25" t="s">
        <v>40</v>
      </c>
      <c r="AM25" t="str">
        <f t="shared" si="0"/>
        <v>89 1</v>
      </c>
      <c r="AN25" t="str">
        <f t="shared" si="1"/>
        <v>404866.318,282069.96</v>
      </c>
      <c r="AO25" t="str">
        <f t="shared" si="2"/>
        <v>404938.274,281711.212</v>
      </c>
      <c r="AQ25" t="s">
        <v>1993</v>
      </c>
      <c r="AR25" t="s">
        <v>1996</v>
      </c>
    </row>
    <row r="26" spans="1:44" x14ac:dyDescent="0.3">
      <c r="A26">
        <v>3869</v>
      </c>
      <c r="B26">
        <v>4</v>
      </c>
      <c r="C26">
        <v>4025605</v>
      </c>
      <c r="D26">
        <v>23773</v>
      </c>
      <c r="E26">
        <v>2</v>
      </c>
      <c r="F26">
        <v>670050</v>
      </c>
      <c r="G26" t="s">
        <v>38</v>
      </c>
      <c r="H26" t="s">
        <v>39</v>
      </c>
      <c r="I26">
        <v>0</v>
      </c>
      <c r="J26" s="1">
        <v>404877.772</v>
      </c>
      <c r="K26" s="1">
        <v>282006.34700000001</v>
      </c>
      <c r="L26" s="1">
        <v>404941.38699999999</v>
      </c>
      <c r="M26" s="1">
        <v>281699.32699999999</v>
      </c>
      <c r="N26" t="s">
        <v>40</v>
      </c>
      <c r="P26" t="s">
        <v>40</v>
      </c>
      <c r="Q26">
        <v>0</v>
      </c>
      <c r="R26">
        <v>0</v>
      </c>
      <c r="S26">
        <v>0</v>
      </c>
      <c r="T26">
        <v>6</v>
      </c>
      <c r="U26">
        <v>6</v>
      </c>
      <c r="V26">
        <v>1</v>
      </c>
      <c r="W26">
        <v>2</v>
      </c>
      <c r="X26" t="s">
        <v>40</v>
      </c>
      <c r="Y26">
        <v>3</v>
      </c>
      <c r="Z26">
        <v>38</v>
      </c>
      <c r="AA26">
        <v>5001</v>
      </c>
      <c r="AB26">
        <v>0</v>
      </c>
      <c r="AC26">
        <v>12.286</v>
      </c>
      <c r="AD26">
        <v>5059</v>
      </c>
      <c r="AH26">
        <v>0</v>
      </c>
      <c r="AI26">
        <v>0</v>
      </c>
      <c r="AL26" t="s">
        <v>40</v>
      </c>
      <c r="AM26" t="str">
        <f t="shared" si="0"/>
        <v>38 5001</v>
      </c>
      <c r="AN26" t="str">
        <f t="shared" si="1"/>
        <v>404877.772,282006.347</v>
      </c>
      <c r="AO26" t="str">
        <f t="shared" si="2"/>
        <v>404941.387,281699.327</v>
      </c>
      <c r="AQ26" t="s">
        <v>1995</v>
      </c>
      <c r="AR26" t="s">
        <v>1997</v>
      </c>
    </row>
    <row r="27" spans="1:44" x14ac:dyDescent="0.3">
      <c r="A27">
        <v>3869</v>
      </c>
      <c r="B27">
        <v>4</v>
      </c>
      <c r="C27">
        <v>4025606</v>
      </c>
      <c r="D27">
        <v>23758</v>
      </c>
      <c r="E27">
        <v>2</v>
      </c>
      <c r="F27">
        <v>670050</v>
      </c>
      <c r="G27" t="s">
        <v>38</v>
      </c>
      <c r="H27" t="s">
        <v>42</v>
      </c>
      <c r="I27">
        <v>0</v>
      </c>
      <c r="J27" s="1">
        <v>404893.17499999999</v>
      </c>
      <c r="K27" s="1">
        <v>281879.64299999998</v>
      </c>
      <c r="L27" s="1">
        <v>404951.02100000001</v>
      </c>
      <c r="M27" s="1">
        <v>281661.73700000002</v>
      </c>
      <c r="N27" t="s">
        <v>40</v>
      </c>
      <c r="P27" t="s">
        <v>40</v>
      </c>
      <c r="Q27">
        <v>0</v>
      </c>
      <c r="R27">
        <v>0</v>
      </c>
      <c r="S27">
        <v>0</v>
      </c>
      <c r="T27">
        <v>6</v>
      </c>
      <c r="U27">
        <v>6</v>
      </c>
      <c r="V27">
        <v>1</v>
      </c>
      <c r="W27">
        <v>2</v>
      </c>
      <c r="X27" t="s">
        <v>40</v>
      </c>
      <c r="Y27">
        <v>3</v>
      </c>
      <c r="Z27">
        <v>89</v>
      </c>
      <c r="AA27">
        <v>1</v>
      </c>
      <c r="AB27">
        <v>0</v>
      </c>
      <c r="AC27">
        <v>38.805</v>
      </c>
      <c r="AD27">
        <v>5059</v>
      </c>
      <c r="AH27">
        <v>0</v>
      </c>
      <c r="AI27">
        <v>0</v>
      </c>
      <c r="AL27" t="s">
        <v>40</v>
      </c>
      <c r="AM27" t="str">
        <f t="shared" si="0"/>
        <v>89 1</v>
      </c>
      <c r="AN27" t="str">
        <f t="shared" si="1"/>
        <v>404893.175,281879.643</v>
      </c>
      <c r="AO27" t="str">
        <f t="shared" si="2"/>
        <v>404951.021,281661.737</v>
      </c>
      <c r="AQ27" t="s">
        <v>1998</v>
      </c>
      <c r="AR27" t="s">
        <v>1999</v>
      </c>
    </row>
    <row r="28" spans="1:44" x14ac:dyDescent="0.3">
      <c r="A28">
        <v>3869</v>
      </c>
      <c r="B28">
        <v>4</v>
      </c>
      <c r="C28">
        <v>4025607</v>
      </c>
      <c r="D28">
        <v>22918</v>
      </c>
      <c r="E28">
        <v>2</v>
      </c>
      <c r="F28">
        <v>670050</v>
      </c>
      <c r="G28" t="s">
        <v>38</v>
      </c>
      <c r="H28" t="s">
        <v>42</v>
      </c>
      <c r="I28">
        <v>0</v>
      </c>
      <c r="J28" s="1">
        <v>404893.17499999999</v>
      </c>
      <c r="K28" s="1">
        <v>281879.64299999998</v>
      </c>
      <c r="L28" s="1">
        <v>404958.07500000001</v>
      </c>
      <c r="M28" s="1">
        <v>281529.24099999998</v>
      </c>
      <c r="N28" t="s">
        <v>40</v>
      </c>
      <c r="P28" t="s">
        <v>40</v>
      </c>
      <c r="Q28">
        <v>0</v>
      </c>
      <c r="R28">
        <v>0</v>
      </c>
      <c r="S28">
        <v>0</v>
      </c>
      <c r="T28">
        <v>6</v>
      </c>
      <c r="U28">
        <v>6</v>
      </c>
      <c r="V28">
        <v>1</v>
      </c>
      <c r="W28">
        <v>2</v>
      </c>
      <c r="X28" t="s">
        <v>40</v>
      </c>
      <c r="Y28">
        <v>3</v>
      </c>
      <c r="Z28">
        <v>40</v>
      </c>
      <c r="AA28">
        <v>1</v>
      </c>
      <c r="AB28">
        <v>0</v>
      </c>
      <c r="AC28">
        <v>30.648</v>
      </c>
      <c r="AD28">
        <v>5059</v>
      </c>
      <c r="AH28">
        <v>0</v>
      </c>
      <c r="AI28">
        <v>0</v>
      </c>
      <c r="AL28" t="s">
        <v>40</v>
      </c>
      <c r="AM28" t="str">
        <f t="shared" si="0"/>
        <v>40 1</v>
      </c>
      <c r="AN28" t="str">
        <f t="shared" si="1"/>
        <v>404893.175,281879.643</v>
      </c>
      <c r="AO28" t="str">
        <f t="shared" si="2"/>
        <v>404958.075,281529.241</v>
      </c>
      <c r="AQ28" t="s">
        <v>1998</v>
      </c>
      <c r="AR28" t="s">
        <v>2000</v>
      </c>
    </row>
    <row r="29" spans="1:44" x14ac:dyDescent="0.3">
      <c r="A29">
        <v>3869</v>
      </c>
      <c r="B29">
        <v>4</v>
      </c>
      <c r="C29">
        <v>4025608</v>
      </c>
      <c r="D29">
        <v>22928</v>
      </c>
      <c r="E29">
        <v>2</v>
      </c>
      <c r="F29">
        <v>670050</v>
      </c>
      <c r="G29" t="s">
        <v>38</v>
      </c>
      <c r="H29" t="s">
        <v>42</v>
      </c>
      <c r="I29">
        <v>0</v>
      </c>
      <c r="J29" s="1">
        <v>404910.18300000002</v>
      </c>
      <c r="K29" s="1">
        <v>281417.98499999999</v>
      </c>
      <c r="L29" s="1">
        <v>404958.69900000002</v>
      </c>
      <c r="M29" s="1">
        <v>281526.72600000002</v>
      </c>
      <c r="N29" t="s">
        <v>40</v>
      </c>
      <c r="P29" t="s">
        <v>40</v>
      </c>
      <c r="Q29">
        <v>0</v>
      </c>
      <c r="R29">
        <v>0</v>
      </c>
      <c r="S29">
        <v>0</v>
      </c>
      <c r="T29">
        <v>6</v>
      </c>
      <c r="U29">
        <v>6</v>
      </c>
      <c r="V29">
        <v>1</v>
      </c>
      <c r="W29">
        <v>2</v>
      </c>
      <c r="X29" t="s">
        <v>40</v>
      </c>
      <c r="Y29">
        <v>3</v>
      </c>
      <c r="Z29">
        <v>40</v>
      </c>
      <c r="AA29">
        <v>1</v>
      </c>
      <c r="AB29">
        <v>0</v>
      </c>
      <c r="AC29">
        <v>30.667999999999999</v>
      </c>
      <c r="AD29">
        <v>5059</v>
      </c>
      <c r="AH29">
        <v>0</v>
      </c>
      <c r="AI29">
        <v>0</v>
      </c>
      <c r="AL29" t="s">
        <v>40</v>
      </c>
      <c r="AM29" t="str">
        <f t="shared" si="0"/>
        <v>40 1</v>
      </c>
      <c r="AN29" t="str">
        <f t="shared" si="1"/>
        <v>404910.183,281417.985</v>
      </c>
      <c r="AO29" t="str">
        <f t="shared" si="2"/>
        <v>404958.699,281526.726</v>
      </c>
      <c r="AQ29" t="s">
        <v>2001</v>
      </c>
      <c r="AR29" t="s">
        <v>2002</v>
      </c>
    </row>
    <row r="30" spans="1:44" x14ac:dyDescent="0.3">
      <c r="A30">
        <v>3869</v>
      </c>
      <c r="B30">
        <v>4</v>
      </c>
      <c r="C30">
        <v>4025609</v>
      </c>
      <c r="D30">
        <v>22938</v>
      </c>
      <c r="E30">
        <v>2</v>
      </c>
      <c r="F30">
        <v>670050</v>
      </c>
      <c r="G30" t="s">
        <v>38</v>
      </c>
      <c r="H30" t="s">
        <v>42</v>
      </c>
      <c r="I30">
        <v>0</v>
      </c>
      <c r="J30" s="1">
        <v>404910.18300000002</v>
      </c>
      <c r="K30" s="1">
        <v>281417.98499999999</v>
      </c>
      <c r="L30" s="1">
        <v>404958.69900000002</v>
      </c>
      <c r="M30" s="1">
        <v>281526.72600000002</v>
      </c>
      <c r="N30" t="s">
        <v>40</v>
      </c>
      <c r="P30" t="s">
        <v>40</v>
      </c>
      <c r="Q30">
        <v>0</v>
      </c>
      <c r="R30">
        <v>0</v>
      </c>
      <c r="S30">
        <v>0</v>
      </c>
      <c r="T30">
        <v>6</v>
      </c>
      <c r="U30">
        <v>6</v>
      </c>
      <c r="V30">
        <v>1</v>
      </c>
      <c r="W30">
        <v>2</v>
      </c>
      <c r="X30" t="s">
        <v>40</v>
      </c>
      <c r="Y30">
        <v>3</v>
      </c>
      <c r="Z30">
        <v>38</v>
      </c>
      <c r="AA30">
        <v>5001</v>
      </c>
      <c r="AB30">
        <v>0</v>
      </c>
      <c r="AC30">
        <v>139.554</v>
      </c>
      <c r="AD30">
        <v>5059</v>
      </c>
      <c r="AH30">
        <v>0</v>
      </c>
      <c r="AI30">
        <v>0</v>
      </c>
      <c r="AL30" t="s">
        <v>40</v>
      </c>
      <c r="AM30" t="str">
        <f t="shared" si="0"/>
        <v>38 5001</v>
      </c>
      <c r="AN30" t="str">
        <f t="shared" si="1"/>
        <v>404910.183,281417.985</v>
      </c>
      <c r="AO30" t="str">
        <f t="shared" si="2"/>
        <v>404958.699,281526.726</v>
      </c>
      <c r="AQ30" t="s">
        <v>2001</v>
      </c>
      <c r="AR30" t="s">
        <v>2002</v>
      </c>
    </row>
    <row r="31" spans="1:44" x14ac:dyDescent="0.3">
      <c r="A31">
        <v>3869</v>
      </c>
      <c r="B31">
        <v>4</v>
      </c>
      <c r="C31">
        <v>4025610</v>
      </c>
      <c r="D31">
        <v>22516</v>
      </c>
      <c r="E31">
        <v>2</v>
      </c>
      <c r="F31">
        <v>670050</v>
      </c>
      <c r="G31" t="s">
        <v>38</v>
      </c>
      <c r="H31" t="s">
        <v>42</v>
      </c>
      <c r="I31">
        <v>0</v>
      </c>
      <c r="J31" s="1">
        <v>404938.27399999998</v>
      </c>
      <c r="K31" s="1">
        <v>281711.212</v>
      </c>
      <c r="L31" s="1">
        <v>404958.82799999998</v>
      </c>
      <c r="M31" s="1">
        <v>281521.69099999999</v>
      </c>
      <c r="N31" t="s">
        <v>40</v>
      </c>
      <c r="P31" t="s">
        <v>40</v>
      </c>
      <c r="Q31">
        <v>0</v>
      </c>
      <c r="R31">
        <v>0</v>
      </c>
      <c r="S31">
        <v>0</v>
      </c>
      <c r="T31">
        <v>6</v>
      </c>
      <c r="U31">
        <v>6</v>
      </c>
      <c r="V31">
        <v>1</v>
      </c>
      <c r="W31">
        <v>2</v>
      </c>
      <c r="X31" t="s">
        <v>40</v>
      </c>
      <c r="Y31">
        <v>3</v>
      </c>
      <c r="Z31">
        <v>38</v>
      </c>
      <c r="AA31">
        <v>5001</v>
      </c>
      <c r="AB31">
        <v>0</v>
      </c>
      <c r="AC31">
        <v>141.08099999999999</v>
      </c>
      <c r="AD31">
        <v>5059</v>
      </c>
      <c r="AH31">
        <v>0</v>
      </c>
      <c r="AI31">
        <v>0</v>
      </c>
      <c r="AL31" t="s">
        <v>40</v>
      </c>
      <c r="AM31" t="str">
        <f t="shared" si="0"/>
        <v>38 5001</v>
      </c>
      <c r="AN31" s="6" t="s">
        <v>856</v>
      </c>
      <c r="AO31" s="6" t="s">
        <v>855</v>
      </c>
      <c r="AQ31" t="s">
        <v>2003</v>
      </c>
      <c r="AR31" t="s">
        <v>1996</v>
      </c>
    </row>
    <row r="32" spans="1:44" x14ac:dyDescent="0.3">
      <c r="A32">
        <v>3869</v>
      </c>
      <c r="B32">
        <v>4</v>
      </c>
      <c r="C32">
        <v>4025631</v>
      </c>
      <c r="D32">
        <v>22895</v>
      </c>
      <c r="E32">
        <v>2</v>
      </c>
      <c r="F32">
        <v>670050</v>
      </c>
      <c r="G32" t="s">
        <v>38</v>
      </c>
      <c r="H32" t="s">
        <v>39</v>
      </c>
      <c r="I32">
        <v>0</v>
      </c>
      <c r="J32" s="1">
        <v>404432.18</v>
      </c>
      <c r="K32" s="1">
        <v>282769.27799999999</v>
      </c>
      <c r="L32" s="1">
        <v>404963.02</v>
      </c>
      <c r="M32" s="1">
        <v>281798.07799999998</v>
      </c>
      <c r="N32" t="s">
        <v>40</v>
      </c>
      <c r="P32" t="s">
        <v>40</v>
      </c>
      <c r="Q32">
        <v>0</v>
      </c>
      <c r="R32">
        <v>0</v>
      </c>
      <c r="S32">
        <v>0</v>
      </c>
      <c r="T32">
        <v>6</v>
      </c>
      <c r="U32">
        <v>6</v>
      </c>
      <c r="V32">
        <v>1</v>
      </c>
      <c r="W32">
        <v>1</v>
      </c>
      <c r="X32" t="s">
        <v>40</v>
      </c>
      <c r="Y32">
        <v>3</v>
      </c>
      <c r="Z32">
        <v>40</v>
      </c>
      <c r="AA32">
        <v>5001</v>
      </c>
      <c r="AB32">
        <v>0</v>
      </c>
      <c r="AC32">
        <v>89.105999999999995</v>
      </c>
      <c r="AD32">
        <v>5059</v>
      </c>
      <c r="AH32">
        <v>0</v>
      </c>
      <c r="AI32">
        <v>0</v>
      </c>
      <c r="AL32" t="s">
        <v>40</v>
      </c>
      <c r="AM32" t="str">
        <f t="shared" si="0"/>
        <v>40 5001</v>
      </c>
      <c r="AN32" t="str">
        <f t="shared" si="1"/>
        <v>404432.18,282769.278</v>
      </c>
      <c r="AO32" t="str">
        <f t="shared" si="2"/>
        <v>404963.02,281798.078</v>
      </c>
      <c r="AQ32" t="s">
        <v>2003</v>
      </c>
      <c r="AR32" t="s">
        <v>2004</v>
      </c>
    </row>
    <row r="33" spans="1:44" x14ac:dyDescent="0.3">
      <c r="A33">
        <v>3869</v>
      </c>
      <c r="B33">
        <v>4</v>
      </c>
      <c r="C33">
        <v>4025632</v>
      </c>
      <c r="D33">
        <v>22926</v>
      </c>
      <c r="E33">
        <v>2</v>
      </c>
      <c r="F33">
        <v>670050</v>
      </c>
      <c r="G33" t="s">
        <v>38</v>
      </c>
      <c r="H33" t="s">
        <v>42</v>
      </c>
      <c r="I33">
        <v>0</v>
      </c>
      <c r="J33" s="1">
        <v>404941.38699999999</v>
      </c>
      <c r="K33" s="1">
        <v>281699.32699999999</v>
      </c>
      <c r="L33" s="1">
        <v>404981.77799999999</v>
      </c>
      <c r="M33" s="1">
        <v>281539.34299999999</v>
      </c>
      <c r="N33" t="s">
        <v>40</v>
      </c>
      <c r="P33" t="s">
        <v>40</v>
      </c>
      <c r="Q33">
        <v>0</v>
      </c>
      <c r="R33">
        <v>0</v>
      </c>
      <c r="S33">
        <v>0</v>
      </c>
      <c r="T33">
        <v>6</v>
      </c>
      <c r="U33">
        <v>6</v>
      </c>
      <c r="V33">
        <v>1</v>
      </c>
      <c r="W33">
        <v>2</v>
      </c>
      <c r="X33" t="s">
        <v>40</v>
      </c>
      <c r="Y33">
        <v>3</v>
      </c>
      <c r="Z33">
        <v>89</v>
      </c>
      <c r="AA33">
        <v>1</v>
      </c>
      <c r="AB33">
        <v>0</v>
      </c>
      <c r="AC33">
        <v>126.20099999999999</v>
      </c>
      <c r="AD33">
        <v>5059</v>
      </c>
      <c r="AH33">
        <v>0</v>
      </c>
      <c r="AI33">
        <v>0</v>
      </c>
      <c r="AL33" t="s">
        <v>40</v>
      </c>
      <c r="AM33" t="str">
        <f t="shared" si="0"/>
        <v>89 1</v>
      </c>
      <c r="AN33" t="str">
        <f t="shared" si="1"/>
        <v>404941.387,281699.327</v>
      </c>
      <c r="AO33" t="str">
        <f t="shared" si="2"/>
        <v>404981.778,281539.343</v>
      </c>
      <c r="AQ33" t="s">
        <v>1997</v>
      </c>
      <c r="AR33" t="s">
        <v>2005</v>
      </c>
    </row>
    <row r="34" spans="1:44" x14ac:dyDescent="0.3">
      <c r="A34">
        <v>3869</v>
      </c>
      <c r="B34">
        <v>4</v>
      </c>
      <c r="C34">
        <v>4032533</v>
      </c>
      <c r="D34">
        <v>108138</v>
      </c>
      <c r="E34">
        <v>2</v>
      </c>
      <c r="F34">
        <v>670050</v>
      </c>
      <c r="G34" t="s">
        <v>38</v>
      </c>
      <c r="H34" t="s">
        <v>42</v>
      </c>
      <c r="I34">
        <v>0</v>
      </c>
      <c r="J34" s="1">
        <v>404951.02100000001</v>
      </c>
      <c r="K34" s="1">
        <v>281661.73700000002</v>
      </c>
      <c r="L34" s="1">
        <v>404983.10700000002</v>
      </c>
      <c r="M34" s="1">
        <v>281533.90399999998</v>
      </c>
      <c r="N34" t="s">
        <v>40</v>
      </c>
      <c r="P34" t="s">
        <v>40</v>
      </c>
      <c r="Q34">
        <v>0</v>
      </c>
      <c r="R34">
        <v>0</v>
      </c>
      <c r="S34">
        <v>0</v>
      </c>
      <c r="T34">
        <v>6</v>
      </c>
      <c r="U34">
        <v>6</v>
      </c>
      <c r="V34">
        <v>1</v>
      </c>
      <c r="W34">
        <v>2</v>
      </c>
      <c r="X34" t="s">
        <v>40</v>
      </c>
      <c r="Y34">
        <v>3</v>
      </c>
      <c r="Z34">
        <v>38</v>
      </c>
      <c r="AA34">
        <v>5001</v>
      </c>
      <c r="AB34">
        <v>0</v>
      </c>
      <c r="AC34">
        <v>5.9279999999999999</v>
      </c>
      <c r="AD34">
        <v>5059</v>
      </c>
      <c r="AH34">
        <v>0</v>
      </c>
      <c r="AI34">
        <v>0</v>
      </c>
      <c r="AL34" t="s">
        <v>40</v>
      </c>
      <c r="AM34" t="str">
        <f t="shared" si="0"/>
        <v>38 5001</v>
      </c>
      <c r="AN34" t="str">
        <f t="shared" si="1"/>
        <v>404951.021,281661.737</v>
      </c>
      <c r="AO34" t="str">
        <f t="shared" si="2"/>
        <v>404983.107,281533.904</v>
      </c>
      <c r="AQ34" t="s">
        <v>1999</v>
      </c>
      <c r="AR34" t="s">
        <v>2006</v>
      </c>
    </row>
    <row r="35" spans="1:44" x14ac:dyDescent="0.3">
      <c r="A35">
        <v>3869</v>
      </c>
      <c r="B35">
        <v>4</v>
      </c>
      <c r="C35">
        <v>4014480</v>
      </c>
      <c r="D35">
        <v>15281</v>
      </c>
      <c r="E35">
        <v>2</v>
      </c>
      <c r="F35">
        <v>670050</v>
      </c>
      <c r="G35" t="s">
        <v>38</v>
      </c>
      <c r="H35" t="s">
        <v>42</v>
      </c>
      <c r="I35">
        <v>0</v>
      </c>
      <c r="J35" s="1">
        <v>404963.02</v>
      </c>
      <c r="K35" s="1">
        <v>281798.07799999998</v>
      </c>
      <c r="L35" s="1">
        <v>404987.65</v>
      </c>
      <c r="M35" s="1">
        <v>281514.913</v>
      </c>
      <c r="N35" t="s">
        <v>40</v>
      </c>
      <c r="P35" t="s">
        <v>40</v>
      </c>
      <c r="Q35">
        <v>0</v>
      </c>
      <c r="R35">
        <v>0</v>
      </c>
      <c r="S35">
        <v>0</v>
      </c>
      <c r="T35">
        <v>6</v>
      </c>
      <c r="U35">
        <v>6</v>
      </c>
      <c r="V35">
        <v>1</v>
      </c>
      <c r="W35">
        <v>2</v>
      </c>
      <c r="X35" t="s">
        <v>40</v>
      </c>
      <c r="Y35">
        <v>3</v>
      </c>
      <c r="Z35">
        <v>89</v>
      </c>
      <c r="AA35">
        <v>1</v>
      </c>
      <c r="AB35">
        <v>0</v>
      </c>
      <c r="AC35">
        <v>54.043999999999997</v>
      </c>
      <c r="AD35">
        <v>5059</v>
      </c>
      <c r="AH35">
        <v>0</v>
      </c>
      <c r="AI35">
        <v>0</v>
      </c>
      <c r="AL35" t="s">
        <v>40</v>
      </c>
      <c r="AM35" t="str">
        <f t="shared" si="0"/>
        <v>89 1</v>
      </c>
      <c r="AN35" t="str">
        <f t="shared" si="1"/>
        <v>404963.02,281798.078</v>
      </c>
      <c r="AO35" t="str">
        <f t="shared" si="2"/>
        <v>404987.65,281514.913</v>
      </c>
      <c r="AQ35" t="s">
        <v>2004</v>
      </c>
      <c r="AR35" t="s">
        <v>2007</v>
      </c>
    </row>
    <row r="36" spans="1:44" x14ac:dyDescent="0.3">
      <c r="A36">
        <v>3869</v>
      </c>
      <c r="B36">
        <v>4</v>
      </c>
      <c r="C36">
        <v>4027730</v>
      </c>
      <c r="D36">
        <v>30046</v>
      </c>
      <c r="E36">
        <v>2</v>
      </c>
      <c r="F36">
        <v>670050</v>
      </c>
      <c r="G36" t="s">
        <v>38</v>
      </c>
      <c r="H36" t="s">
        <v>42</v>
      </c>
      <c r="I36">
        <v>0</v>
      </c>
      <c r="J36" s="1">
        <v>404981.77799999999</v>
      </c>
      <c r="K36" s="1">
        <v>281539.34299999999</v>
      </c>
      <c r="L36" s="1">
        <v>404433.48700000002</v>
      </c>
      <c r="M36" s="1">
        <v>282768.36599999998</v>
      </c>
      <c r="N36" t="s">
        <v>40</v>
      </c>
      <c r="P36" t="s">
        <v>40</v>
      </c>
      <c r="Q36">
        <v>0</v>
      </c>
      <c r="R36">
        <v>0</v>
      </c>
      <c r="S36">
        <v>0</v>
      </c>
      <c r="T36">
        <v>6</v>
      </c>
      <c r="U36">
        <v>6</v>
      </c>
      <c r="V36">
        <v>1</v>
      </c>
      <c r="W36">
        <v>1</v>
      </c>
      <c r="X36" t="s">
        <v>40</v>
      </c>
      <c r="Y36">
        <v>3</v>
      </c>
      <c r="Z36">
        <v>95</v>
      </c>
      <c r="AA36">
        <v>1</v>
      </c>
      <c r="AB36">
        <v>0</v>
      </c>
      <c r="AC36">
        <v>287.28399999999999</v>
      </c>
      <c r="AD36">
        <v>5059</v>
      </c>
      <c r="AH36">
        <v>0</v>
      </c>
      <c r="AI36">
        <v>0</v>
      </c>
      <c r="AL36" t="s">
        <v>40</v>
      </c>
      <c r="AM36" t="str">
        <f t="shared" si="0"/>
        <v>95 1</v>
      </c>
      <c r="AN36" s="6" t="s">
        <v>862</v>
      </c>
      <c r="AO36" s="6" t="s">
        <v>861</v>
      </c>
      <c r="AQ36" t="s">
        <v>2006</v>
      </c>
      <c r="AR36" t="s">
        <v>2005</v>
      </c>
    </row>
    <row r="37" spans="1:44" x14ac:dyDescent="0.3">
      <c r="A37">
        <v>3869</v>
      </c>
      <c r="B37">
        <v>4</v>
      </c>
      <c r="C37">
        <v>4032370</v>
      </c>
      <c r="D37">
        <v>27167</v>
      </c>
      <c r="E37">
        <v>2</v>
      </c>
      <c r="F37">
        <v>670050</v>
      </c>
      <c r="G37" t="s">
        <v>38</v>
      </c>
      <c r="H37" t="s">
        <v>42</v>
      </c>
      <c r="I37">
        <v>0</v>
      </c>
      <c r="J37" s="1">
        <v>404987.65</v>
      </c>
      <c r="K37" s="1">
        <v>281514.913</v>
      </c>
      <c r="L37" s="1">
        <v>405016.761</v>
      </c>
      <c r="M37" s="1">
        <v>281384.87099999998</v>
      </c>
      <c r="N37" t="s">
        <v>40</v>
      </c>
      <c r="P37" t="s">
        <v>40</v>
      </c>
      <c r="Q37">
        <v>0</v>
      </c>
      <c r="R37">
        <v>0</v>
      </c>
      <c r="S37">
        <v>0</v>
      </c>
      <c r="T37">
        <v>6</v>
      </c>
      <c r="U37">
        <v>6</v>
      </c>
      <c r="V37">
        <v>1</v>
      </c>
      <c r="W37">
        <v>2</v>
      </c>
      <c r="X37" t="s">
        <v>40</v>
      </c>
      <c r="Y37">
        <v>3</v>
      </c>
      <c r="Z37">
        <v>38</v>
      </c>
      <c r="AA37">
        <v>1</v>
      </c>
      <c r="AB37">
        <v>0</v>
      </c>
      <c r="AC37">
        <v>21.658999999999999</v>
      </c>
      <c r="AD37">
        <v>5059</v>
      </c>
      <c r="AH37">
        <v>0</v>
      </c>
      <c r="AI37">
        <v>0</v>
      </c>
      <c r="AL37" t="s">
        <v>40</v>
      </c>
      <c r="AM37" t="str">
        <f t="shared" si="0"/>
        <v>38 1</v>
      </c>
      <c r="AN37" t="str">
        <f t="shared" si="1"/>
        <v>404987.65,281514.913</v>
      </c>
      <c r="AO37" t="str">
        <f t="shared" si="2"/>
        <v>405016.761,281384.871</v>
      </c>
      <c r="AQ37" t="s">
        <v>2007</v>
      </c>
      <c r="AR37" t="s">
        <v>2008</v>
      </c>
    </row>
    <row r="38" spans="1:44" x14ac:dyDescent="0.3">
      <c r="A38">
        <v>3869</v>
      </c>
      <c r="B38">
        <v>4</v>
      </c>
      <c r="C38">
        <v>4025273</v>
      </c>
      <c r="D38">
        <v>27349</v>
      </c>
      <c r="E38">
        <v>2</v>
      </c>
      <c r="F38">
        <v>670050</v>
      </c>
      <c r="G38" t="s">
        <v>38</v>
      </c>
      <c r="H38" t="s">
        <v>41</v>
      </c>
      <c r="I38">
        <v>0</v>
      </c>
      <c r="J38" s="1">
        <v>405007.87300000002</v>
      </c>
      <c r="K38" s="1">
        <v>281426.16200000001</v>
      </c>
      <c r="L38" s="1">
        <v>405021.12099999998</v>
      </c>
      <c r="M38" s="1">
        <v>281365.39600000001</v>
      </c>
      <c r="N38" t="s">
        <v>40</v>
      </c>
      <c r="P38" t="s">
        <v>40</v>
      </c>
      <c r="Q38">
        <v>0</v>
      </c>
      <c r="R38">
        <v>0</v>
      </c>
      <c r="S38">
        <v>0</v>
      </c>
      <c r="T38">
        <v>6</v>
      </c>
      <c r="U38">
        <v>6</v>
      </c>
      <c r="V38">
        <v>1</v>
      </c>
      <c r="W38">
        <v>2</v>
      </c>
      <c r="X38" t="s">
        <v>40</v>
      </c>
      <c r="Y38">
        <v>3</v>
      </c>
      <c r="Z38">
        <v>89</v>
      </c>
      <c r="AA38">
        <v>1</v>
      </c>
      <c r="AB38">
        <v>0</v>
      </c>
      <c r="AC38">
        <v>19.957999999999998</v>
      </c>
      <c r="AD38">
        <v>5059</v>
      </c>
      <c r="AH38">
        <v>0</v>
      </c>
      <c r="AI38">
        <v>0</v>
      </c>
      <c r="AL38" t="s">
        <v>40</v>
      </c>
      <c r="AM38" t="str">
        <f t="shared" si="0"/>
        <v>89 1</v>
      </c>
      <c r="AN38" t="str">
        <f t="shared" si="1"/>
        <v>405007.873,281426.162</v>
      </c>
      <c r="AO38" t="str">
        <f t="shared" si="2"/>
        <v>405021.121,281365.396</v>
      </c>
      <c r="AQ38" t="s">
        <v>2009</v>
      </c>
      <c r="AR38" t="s">
        <v>2010</v>
      </c>
    </row>
    <row r="39" spans="1:44" x14ac:dyDescent="0.3">
      <c r="A39">
        <v>3869</v>
      </c>
      <c r="B39">
        <v>4</v>
      </c>
      <c r="C39">
        <v>4028307</v>
      </c>
      <c r="D39">
        <v>56858</v>
      </c>
      <c r="E39">
        <v>2</v>
      </c>
      <c r="F39">
        <v>670050</v>
      </c>
      <c r="G39" t="s">
        <v>38</v>
      </c>
      <c r="H39" t="s">
        <v>41</v>
      </c>
      <c r="I39">
        <v>0</v>
      </c>
      <c r="J39" s="1">
        <v>405007.87300000002</v>
      </c>
      <c r="K39" s="1">
        <v>281426.16200000001</v>
      </c>
      <c r="L39" s="1">
        <v>405023.38500000001</v>
      </c>
      <c r="M39" s="1">
        <v>281355.38199999998</v>
      </c>
      <c r="N39" t="s">
        <v>40</v>
      </c>
      <c r="P39" t="s">
        <v>40</v>
      </c>
      <c r="Q39">
        <v>0</v>
      </c>
      <c r="R39">
        <v>0</v>
      </c>
      <c r="S39">
        <v>0</v>
      </c>
      <c r="T39">
        <v>6</v>
      </c>
      <c r="U39">
        <v>6</v>
      </c>
      <c r="V39">
        <v>1</v>
      </c>
      <c r="W39">
        <v>2</v>
      </c>
      <c r="X39" t="s">
        <v>40</v>
      </c>
      <c r="Y39">
        <v>3</v>
      </c>
      <c r="Z39">
        <v>40</v>
      </c>
      <c r="AA39">
        <v>5001</v>
      </c>
      <c r="AB39">
        <v>0</v>
      </c>
      <c r="AC39">
        <v>10.266999999999999</v>
      </c>
      <c r="AD39">
        <v>5059</v>
      </c>
      <c r="AH39">
        <v>0</v>
      </c>
      <c r="AI39">
        <v>0</v>
      </c>
      <c r="AL39" t="s">
        <v>40</v>
      </c>
      <c r="AM39" t="str">
        <f t="shared" si="0"/>
        <v>40 5001</v>
      </c>
      <c r="AN39" t="str">
        <f t="shared" si="1"/>
        <v>405007.873,281426.162</v>
      </c>
      <c r="AO39" t="str">
        <f t="shared" si="2"/>
        <v>405023.385,281355.382</v>
      </c>
      <c r="AQ39" t="s">
        <v>2009</v>
      </c>
      <c r="AR39" t="s">
        <v>2011</v>
      </c>
    </row>
    <row r="40" spans="1:44" x14ac:dyDescent="0.3">
      <c r="A40">
        <v>3869</v>
      </c>
      <c r="B40">
        <v>4</v>
      </c>
      <c r="C40">
        <v>4028308</v>
      </c>
      <c r="D40">
        <v>23906</v>
      </c>
      <c r="E40">
        <v>2</v>
      </c>
      <c r="F40">
        <v>670050</v>
      </c>
      <c r="G40" t="s">
        <v>38</v>
      </c>
      <c r="H40" t="s">
        <v>41</v>
      </c>
      <c r="I40">
        <v>0</v>
      </c>
      <c r="J40" s="1">
        <v>405012.20299999998</v>
      </c>
      <c r="K40" s="1">
        <v>281406.04499999998</v>
      </c>
      <c r="L40" s="1">
        <v>405023.38500000001</v>
      </c>
      <c r="M40" s="1">
        <v>281355.38199999998</v>
      </c>
      <c r="N40" t="s">
        <v>40</v>
      </c>
      <c r="P40" t="s">
        <v>40</v>
      </c>
      <c r="Q40">
        <v>0</v>
      </c>
      <c r="R40">
        <v>0</v>
      </c>
      <c r="S40">
        <v>0</v>
      </c>
      <c r="T40">
        <v>6</v>
      </c>
      <c r="U40">
        <v>6</v>
      </c>
      <c r="V40">
        <v>1</v>
      </c>
      <c r="W40">
        <v>2</v>
      </c>
      <c r="X40" t="s">
        <v>40</v>
      </c>
      <c r="Y40">
        <v>3</v>
      </c>
      <c r="Z40">
        <v>89</v>
      </c>
      <c r="AA40">
        <v>1</v>
      </c>
      <c r="AB40">
        <v>0</v>
      </c>
      <c r="AC40">
        <v>171.791</v>
      </c>
      <c r="AD40">
        <v>5059</v>
      </c>
      <c r="AH40">
        <v>0</v>
      </c>
      <c r="AI40">
        <v>0</v>
      </c>
      <c r="AL40" t="s">
        <v>40</v>
      </c>
      <c r="AM40" t="str">
        <f t="shared" si="0"/>
        <v>89 1</v>
      </c>
      <c r="AN40" s="6" t="s">
        <v>882</v>
      </c>
      <c r="AO40" s="6" t="s">
        <v>859</v>
      </c>
      <c r="AQ40" t="s">
        <v>2011</v>
      </c>
      <c r="AR40" t="s">
        <v>2000</v>
      </c>
    </row>
    <row r="41" spans="1:44" x14ac:dyDescent="0.3">
      <c r="A41">
        <v>3869</v>
      </c>
      <c r="B41">
        <v>4</v>
      </c>
      <c r="C41">
        <v>4022358</v>
      </c>
      <c r="D41">
        <v>22972</v>
      </c>
      <c r="E41">
        <v>2</v>
      </c>
      <c r="F41">
        <v>670050</v>
      </c>
      <c r="G41" t="s">
        <v>38</v>
      </c>
      <c r="H41" t="s">
        <v>41</v>
      </c>
      <c r="I41">
        <v>0</v>
      </c>
      <c r="J41" s="1">
        <v>405016.761</v>
      </c>
      <c r="K41" s="1">
        <v>281384.87099999998</v>
      </c>
      <c r="L41" s="1">
        <v>405044.78600000002</v>
      </c>
      <c r="M41" s="1">
        <v>281617.83100000001</v>
      </c>
      <c r="N41" t="s">
        <v>40</v>
      </c>
      <c r="P41" t="s">
        <v>40</v>
      </c>
      <c r="Q41">
        <v>0</v>
      </c>
      <c r="R41">
        <v>0</v>
      </c>
      <c r="S41">
        <v>0</v>
      </c>
      <c r="T41">
        <v>6</v>
      </c>
      <c r="U41">
        <v>6</v>
      </c>
      <c r="V41">
        <v>1</v>
      </c>
      <c r="W41">
        <v>1</v>
      </c>
      <c r="X41" t="s">
        <v>40</v>
      </c>
      <c r="Y41">
        <v>3</v>
      </c>
      <c r="Z41">
        <v>40</v>
      </c>
      <c r="AA41">
        <v>5001</v>
      </c>
      <c r="AB41">
        <v>0</v>
      </c>
      <c r="AC41">
        <v>249.49299999999999</v>
      </c>
      <c r="AD41">
        <v>5059</v>
      </c>
      <c r="AH41">
        <v>0</v>
      </c>
      <c r="AI41">
        <v>0</v>
      </c>
      <c r="AL41" t="s">
        <v>40</v>
      </c>
      <c r="AM41" t="str">
        <f t="shared" si="0"/>
        <v>40 5001</v>
      </c>
      <c r="AN41" t="str">
        <f t="shared" si="1"/>
        <v>405016.761,281384.871</v>
      </c>
      <c r="AO41" t="str">
        <f t="shared" si="2"/>
        <v>405044.786,281617.831</v>
      </c>
      <c r="AQ41" t="s">
        <v>2008</v>
      </c>
      <c r="AR41" t="s">
        <v>2012</v>
      </c>
    </row>
    <row r="42" spans="1:44" x14ac:dyDescent="0.3">
      <c r="A42">
        <v>3869</v>
      </c>
      <c r="B42">
        <v>4</v>
      </c>
      <c r="C42">
        <v>4014475</v>
      </c>
      <c r="D42">
        <v>14465</v>
      </c>
      <c r="E42">
        <v>2</v>
      </c>
      <c r="F42">
        <v>670050</v>
      </c>
      <c r="G42" t="s">
        <v>38</v>
      </c>
      <c r="H42" t="s">
        <v>41</v>
      </c>
      <c r="I42">
        <v>0</v>
      </c>
      <c r="J42" s="1">
        <v>405021.12099999998</v>
      </c>
      <c r="K42" s="1">
        <v>281365.39600000001</v>
      </c>
      <c r="L42" s="1">
        <v>405045.67499999999</v>
      </c>
      <c r="M42" s="1">
        <v>281326.53399999999</v>
      </c>
      <c r="N42" t="s">
        <v>40</v>
      </c>
      <c r="P42" t="s">
        <v>40</v>
      </c>
      <c r="Q42">
        <v>0</v>
      </c>
      <c r="R42">
        <v>0</v>
      </c>
      <c r="S42">
        <v>0</v>
      </c>
      <c r="T42">
        <v>6</v>
      </c>
      <c r="U42">
        <v>6</v>
      </c>
      <c r="V42">
        <v>1</v>
      </c>
      <c r="W42">
        <v>1</v>
      </c>
      <c r="X42" t="s">
        <v>40</v>
      </c>
      <c r="Y42">
        <v>3</v>
      </c>
      <c r="Z42">
        <v>40</v>
      </c>
      <c r="AA42">
        <v>5001</v>
      </c>
      <c r="AB42">
        <v>0</v>
      </c>
      <c r="AC42">
        <v>9.9600000000000009</v>
      </c>
      <c r="AD42">
        <v>5059</v>
      </c>
      <c r="AH42">
        <v>0</v>
      </c>
      <c r="AI42">
        <v>0</v>
      </c>
      <c r="AL42" t="s">
        <v>40</v>
      </c>
      <c r="AM42" t="str">
        <f t="shared" si="0"/>
        <v>40 5001</v>
      </c>
      <c r="AN42" t="str">
        <f t="shared" si="1"/>
        <v>405021.121,281365.396</v>
      </c>
      <c r="AO42" t="str">
        <f t="shared" si="2"/>
        <v>405045.675,281326.534</v>
      </c>
      <c r="AQ42" t="s">
        <v>2010</v>
      </c>
      <c r="AR42" t="s">
        <v>2013</v>
      </c>
    </row>
    <row r="43" spans="1:44" x14ac:dyDescent="0.3">
      <c r="A43">
        <v>3869</v>
      </c>
      <c r="B43">
        <v>4</v>
      </c>
      <c r="C43">
        <v>4014474</v>
      </c>
      <c r="D43">
        <v>14408</v>
      </c>
      <c r="E43">
        <v>2</v>
      </c>
      <c r="F43">
        <v>670050</v>
      </c>
      <c r="G43" t="s">
        <v>38</v>
      </c>
      <c r="H43" t="s">
        <v>41</v>
      </c>
      <c r="I43">
        <v>0</v>
      </c>
      <c r="J43" s="1">
        <v>405044.78600000002</v>
      </c>
      <c r="K43" s="1">
        <v>281617.83100000001</v>
      </c>
      <c r="L43" s="1">
        <v>405045.67499999999</v>
      </c>
      <c r="M43" s="1">
        <v>281326.53399999999</v>
      </c>
      <c r="N43" t="s">
        <v>40</v>
      </c>
      <c r="P43" t="s">
        <v>40</v>
      </c>
      <c r="Q43">
        <v>0</v>
      </c>
      <c r="R43">
        <v>0</v>
      </c>
      <c r="S43">
        <v>0</v>
      </c>
      <c r="T43">
        <v>6</v>
      </c>
      <c r="U43">
        <v>6</v>
      </c>
      <c r="V43">
        <v>1</v>
      </c>
      <c r="W43">
        <v>1</v>
      </c>
      <c r="X43" t="s">
        <v>40</v>
      </c>
      <c r="Y43">
        <v>3</v>
      </c>
      <c r="Z43">
        <v>95</v>
      </c>
      <c r="AA43">
        <v>1</v>
      </c>
      <c r="AB43">
        <v>0</v>
      </c>
      <c r="AC43">
        <v>136.79400000000001</v>
      </c>
      <c r="AD43">
        <v>5060</v>
      </c>
      <c r="AH43">
        <v>0</v>
      </c>
      <c r="AI43">
        <v>0</v>
      </c>
      <c r="AL43" t="s">
        <v>40</v>
      </c>
      <c r="AM43" t="str">
        <f t="shared" si="0"/>
        <v>95 1</v>
      </c>
      <c r="AN43" t="str">
        <f t="shared" si="1"/>
        <v>405044.786,281617.831</v>
      </c>
      <c r="AO43" t="str">
        <f t="shared" si="2"/>
        <v>405045.675,281326.534</v>
      </c>
      <c r="AQ43" t="s">
        <v>2012</v>
      </c>
      <c r="AR43" t="s">
        <v>2013</v>
      </c>
    </row>
    <row r="44" spans="1:44" x14ac:dyDescent="0.3">
      <c r="A44">
        <v>3869</v>
      </c>
      <c r="B44">
        <v>4</v>
      </c>
      <c r="C44">
        <v>4014478</v>
      </c>
      <c r="D44">
        <v>15287</v>
      </c>
      <c r="E44">
        <v>2</v>
      </c>
      <c r="F44">
        <v>670050</v>
      </c>
      <c r="G44" t="s">
        <v>38</v>
      </c>
      <c r="H44" t="s">
        <v>41</v>
      </c>
      <c r="I44">
        <v>0</v>
      </c>
      <c r="J44" s="1">
        <v>405049.43900000001</v>
      </c>
      <c r="K44" s="1">
        <v>281335.04200000002</v>
      </c>
      <c r="L44" s="1">
        <v>405076.924</v>
      </c>
      <c r="M44" s="1">
        <v>281189.28000000003</v>
      </c>
      <c r="N44" t="s">
        <v>40</v>
      </c>
      <c r="P44" t="s">
        <v>40</v>
      </c>
      <c r="Q44">
        <v>0</v>
      </c>
      <c r="R44">
        <v>0</v>
      </c>
      <c r="S44">
        <v>0</v>
      </c>
      <c r="T44">
        <v>6</v>
      </c>
      <c r="U44">
        <v>6</v>
      </c>
      <c r="V44">
        <v>1</v>
      </c>
      <c r="W44">
        <v>1</v>
      </c>
      <c r="X44" t="s">
        <v>40</v>
      </c>
      <c r="Y44">
        <v>3</v>
      </c>
      <c r="Z44">
        <v>72</v>
      </c>
      <c r="AA44">
        <v>1</v>
      </c>
      <c r="AB44">
        <v>0</v>
      </c>
      <c r="AC44">
        <v>5.6</v>
      </c>
      <c r="AD44">
        <v>5059</v>
      </c>
      <c r="AH44">
        <v>0</v>
      </c>
      <c r="AI44">
        <v>0</v>
      </c>
      <c r="AL44" t="s">
        <v>40</v>
      </c>
      <c r="AM44" t="str">
        <f t="shared" si="0"/>
        <v>72 1</v>
      </c>
      <c r="AN44" t="str">
        <f t="shared" si="1"/>
        <v>405049.439,281335.042</v>
      </c>
      <c r="AO44" t="str">
        <f t="shared" si="2"/>
        <v>405076.924,281189.28</v>
      </c>
      <c r="AQ44" t="s">
        <v>2014</v>
      </c>
      <c r="AR44" t="s">
        <v>2015</v>
      </c>
    </row>
    <row r="45" spans="1:44" x14ac:dyDescent="0.3">
      <c r="A45">
        <v>3869</v>
      </c>
      <c r="B45">
        <v>4</v>
      </c>
      <c r="C45">
        <v>4022460</v>
      </c>
      <c r="D45">
        <v>51393</v>
      </c>
      <c r="E45">
        <v>2</v>
      </c>
      <c r="F45">
        <v>670050</v>
      </c>
      <c r="G45" t="s">
        <v>38</v>
      </c>
      <c r="H45" t="s">
        <v>41</v>
      </c>
      <c r="I45">
        <v>0</v>
      </c>
      <c r="J45" s="1">
        <v>405049.43900000001</v>
      </c>
      <c r="K45" s="1">
        <v>281335.04200000002</v>
      </c>
      <c r="L45" s="1">
        <v>405076.924</v>
      </c>
      <c r="M45" s="1">
        <v>281189.28000000003</v>
      </c>
      <c r="N45" t="s">
        <v>40</v>
      </c>
      <c r="P45" t="s">
        <v>40</v>
      </c>
      <c r="Q45">
        <v>0</v>
      </c>
      <c r="R45">
        <v>0</v>
      </c>
      <c r="S45">
        <v>0</v>
      </c>
      <c r="T45">
        <v>6</v>
      </c>
      <c r="U45">
        <v>6</v>
      </c>
      <c r="V45">
        <v>1</v>
      </c>
      <c r="W45">
        <v>1</v>
      </c>
      <c r="X45" t="s">
        <v>40</v>
      </c>
      <c r="Y45">
        <v>3</v>
      </c>
      <c r="Z45">
        <v>95</v>
      </c>
      <c r="AA45">
        <v>1</v>
      </c>
      <c r="AB45">
        <v>0</v>
      </c>
      <c r="AC45">
        <v>45.847999999999999</v>
      </c>
      <c r="AD45">
        <v>5059</v>
      </c>
      <c r="AH45">
        <v>0</v>
      </c>
      <c r="AI45">
        <v>0</v>
      </c>
      <c r="AL45" t="s">
        <v>40</v>
      </c>
      <c r="AM45" t="str">
        <f t="shared" si="0"/>
        <v>95 1</v>
      </c>
      <c r="AN45" t="str">
        <f t="shared" si="1"/>
        <v>405049.439,281335.042</v>
      </c>
      <c r="AO45" t="str">
        <f t="shared" si="2"/>
        <v>405076.924,281189.28</v>
      </c>
      <c r="AQ45" t="s">
        <v>2014</v>
      </c>
      <c r="AR45" t="s">
        <v>2015</v>
      </c>
    </row>
    <row r="46" spans="1:44" x14ac:dyDescent="0.3">
      <c r="A46">
        <v>3869</v>
      </c>
      <c r="B46">
        <v>4</v>
      </c>
      <c r="C46">
        <v>4022357</v>
      </c>
      <c r="D46">
        <v>22975</v>
      </c>
      <c r="E46">
        <v>2</v>
      </c>
      <c r="F46">
        <v>670050</v>
      </c>
      <c r="G46" t="s">
        <v>38</v>
      </c>
      <c r="H46" t="s">
        <v>41</v>
      </c>
      <c r="I46">
        <v>0</v>
      </c>
      <c r="J46" s="1">
        <v>405051.91399999999</v>
      </c>
      <c r="K46" s="1">
        <v>281220.76299999998</v>
      </c>
      <c r="L46" s="1">
        <v>405085.712</v>
      </c>
      <c r="M46" s="1">
        <v>281144.3</v>
      </c>
      <c r="N46" t="s">
        <v>40</v>
      </c>
      <c r="P46" t="s">
        <v>40</v>
      </c>
      <c r="Q46">
        <v>0</v>
      </c>
      <c r="R46">
        <v>0</v>
      </c>
      <c r="S46">
        <v>0</v>
      </c>
      <c r="T46">
        <v>6</v>
      </c>
      <c r="U46">
        <v>6</v>
      </c>
      <c r="V46">
        <v>1</v>
      </c>
      <c r="W46">
        <v>1</v>
      </c>
      <c r="X46" t="s">
        <v>40</v>
      </c>
      <c r="Y46">
        <v>3</v>
      </c>
      <c r="Z46">
        <v>95</v>
      </c>
      <c r="AA46">
        <v>99</v>
      </c>
      <c r="AB46">
        <v>0</v>
      </c>
      <c r="AC46">
        <v>137.78899999999999</v>
      </c>
      <c r="AD46">
        <v>5059</v>
      </c>
      <c r="AH46">
        <v>0</v>
      </c>
      <c r="AI46">
        <v>0</v>
      </c>
      <c r="AL46" t="s">
        <v>40</v>
      </c>
      <c r="AM46" t="str">
        <f t="shared" si="0"/>
        <v>95 99</v>
      </c>
      <c r="AN46" t="str">
        <f t="shared" si="1"/>
        <v>405051.914,281220.763</v>
      </c>
      <c r="AO46" t="str">
        <f t="shared" si="2"/>
        <v>405085.712,281144.3</v>
      </c>
      <c r="AQ46" t="s">
        <v>2016</v>
      </c>
      <c r="AR46" t="s">
        <v>2017</v>
      </c>
    </row>
    <row r="47" spans="1:44" x14ac:dyDescent="0.3">
      <c r="A47">
        <v>3869</v>
      </c>
      <c r="B47">
        <v>4</v>
      </c>
      <c r="C47">
        <v>4027711</v>
      </c>
      <c r="D47">
        <v>30016</v>
      </c>
      <c r="E47">
        <v>2</v>
      </c>
      <c r="F47">
        <v>670050</v>
      </c>
      <c r="G47" t="s">
        <v>38</v>
      </c>
      <c r="H47" t="s">
        <v>41</v>
      </c>
      <c r="I47">
        <v>0</v>
      </c>
      <c r="J47" s="1">
        <v>405051.91399999999</v>
      </c>
      <c r="K47" s="1">
        <v>281220.76299999998</v>
      </c>
      <c r="L47" s="1">
        <v>405097.685</v>
      </c>
      <c r="M47" s="1">
        <v>281010.11</v>
      </c>
      <c r="N47" t="s">
        <v>40</v>
      </c>
      <c r="P47" t="s">
        <v>40</v>
      </c>
      <c r="Q47">
        <v>0</v>
      </c>
      <c r="R47">
        <v>0</v>
      </c>
      <c r="S47">
        <v>0</v>
      </c>
      <c r="T47">
        <v>6</v>
      </c>
      <c r="U47">
        <v>6</v>
      </c>
      <c r="V47">
        <v>1</v>
      </c>
      <c r="W47">
        <v>2</v>
      </c>
      <c r="X47" t="s">
        <v>40</v>
      </c>
      <c r="Y47">
        <v>3</v>
      </c>
      <c r="Z47">
        <v>89</v>
      </c>
      <c r="AA47">
        <v>1</v>
      </c>
      <c r="AB47">
        <v>0</v>
      </c>
      <c r="AC47">
        <v>215.602</v>
      </c>
      <c r="AD47">
        <v>5060</v>
      </c>
      <c r="AH47">
        <v>0</v>
      </c>
      <c r="AI47">
        <v>0</v>
      </c>
      <c r="AL47" t="s">
        <v>40</v>
      </c>
      <c r="AM47" t="str">
        <f t="shared" si="0"/>
        <v>89 1</v>
      </c>
      <c r="AN47" t="str">
        <f t="shared" si="1"/>
        <v>405051.914,281220.763</v>
      </c>
      <c r="AO47" t="str">
        <f t="shared" si="2"/>
        <v>405097.685,281010.11</v>
      </c>
      <c r="AQ47" t="s">
        <v>2016</v>
      </c>
      <c r="AR47" t="s">
        <v>2018</v>
      </c>
    </row>
    <row r="48" spans="1:44" x14ac:dyDescent="0.3">
      <c r="A48">
        <v>3869</v>
      </c>
      <c r="B48">
        <v>4</v>
      </c>
      <c r="C48">
        <v>4025648</v>
      </c>
      <c r="D48">
        <v>56836</v>
      </c>
      <c r="E48">
        <v>2</v>
      </c>
      <c r="F48">
        <v>670050</v>
      </c>
      <c r="G48" t="s">
        <v>38</v>
      </c>
      <c r="H48" t="s">
        <v>41</v>
      </c>
      <c r="I48">
        <v>0</v>
      </c>
      <c r="J48" s="1">
        <v>405069.788</v>
      </c>
      <c r="K48" s="1">
        <v>281443.8</v>
      </c>
      <c r="L48" s="1">
        <v>405108.92200000002</v>
      </c>
      <c r="M48" s="1">
        <v>280972.01799999998</v>
      </c>
      <c r="N48" t="s">
        <v>40</v>
      </c>
      <c r="P48" t="s">
        <v>40</v>
      </c>
      <c r="Q48">
        <v>0</v>
      </c>
      <c r="R48">
        <v>0</v>
      </c>
      <c r="S48">
        <v>0</v>
      </c>
      <c r="T48">
        <v>6</v>
      </c>
      <c r="U48">
        <v>6</v>
      </c>
      <c r="V48">
        <v>1</v>
      </c>
      <c r="W48">
        <v>2</v>
      </c>
      <c r="X48" t="s">
        <v>40</v>
      </c>
      <c r="Y48">
        <v>3</v>
      </c>
      <c r="Z48">
        <v>5024</v>
      </c>
      <c r="AA48">
        <v>1</v>
      </c>
      <c r="AB48">
        <v>0</v>
      </c>
      <c r="AC48">
        <v>30.129000000000001</v>
      </c>
      <c r="AD48">
        <v>5059</v>
      </c>
      <c r="AH48">
        <v>0</v>
      </c>
      <c r="AI48">
        <v>0</v>
      </c>
      <c r="AL48" t="s">
        <v>40</v>
      </c>
      <c r="AM48" t="str">
        <f t="shared" si="0"/>
        <v>5024 1</v>
      </c>
      <c r="AN48" t="str">
        <f t="shared" si="1"/>
        <v>405069.788,281443.8</v>
      </c>
      <c r="AO48" t="str">
        <f t="shared" si="2"/>
        <v>405108.922,280972.018</v>
      </c>
      <c r="AQ48" t="s">
        <v>2019</v>
      </c>
      <c r="AR48" t="s">
        <v>2020</v>
      </c>
    </row>
    <row r="49" spans="1:44" x14ac:dyDescent="0.3">
      <c r="A49">
        <v>3869</v>
      </c>
      <c r="B49">
        <v>4</v>
      </c>
      <c r="C49">
        <v>4027482</v>
      </c>
      <c r="D49">
        <v>29731</v>
      </c>
      <c r="E49">
        <v>2</v>
      </c>
      <c r="F49">
        <v>670050</v>
      </c>
      <c r="G49" t="s">
        <v>38</v>
      </c>
      <c r="H49" t="s">
        <v>41</v>
      </c>
      <c r="I49">
        <v>0</v>
      </c>
      <c r="J49" s="1">
        <v>405069.788</v>
      </c>
      <c r="K49" s="1">
        <v>281443.8</v>
      </c>
      <c r="L49" s="1">
        <v>404440.01899999997</v>
      </c>
      <c r="M49" s="1">
        <v>282357.57299999997</v>
      </c>
      <c r="N49" t="s">
        <v>40</v>
      </c>
      <c r="P49" t="s">
        <v>40</v>
      </c>
      <c r="Q49">
        <v>0</v>
      </c>
      <c r="R49">
        <v>0</v>
      </c>
      <c r="S49">
        <v>0</v>
      </c>
      <c r="T49">
        <v>6</v>
      </c>
      <c r="U49">
        <v>6</v>
      </c>
      <c r="V49">
        <v>1</v>
      </c>
      <c r="W49">
        <v>2</v>
      </c>
      <c r="X49" t="s">
        <v>40</v>
      </c>
      <c r="Y49">
        <v>3</v>
      </c>
      <c r="Z49">
        <v>89</v>
      </c>
      <c r="AA49">
        <v>1</v>
      </c>
      <c r="AB49">
        <v>0</v>
      </c>
      <c r="AC49">
        <v>72.259</v>
      </c>
      <c r="AD49">
        <v>5059</v>
      </c>
      <c r="AH49">
        <v>0</v>
      </c>
      <c r="AI49">
        <v>0</v>
      </c>
      <c r="AL49" t="s">
        <v>40</v>
      </c>
      <c r="AM49" t="str">
        <f t="shared" si="0"/>
        <v>89 1</v>
      </c>
      <c r="AN49" s="6" t="s">
        <v>871</v>
      </c>
      <c r="AO49" s="6" t="s">
        <v>870</v>
      </c>
      <c r="AQ49" t="s">
        <v>2021</v>
      </c>
      <c r="AR49" t="s">
        <v>2019</v>
      </c>
    </row>
    <row r="50" spans="1:44" x14ac:dyDescent="0.3">
      <c r="A50">
        <v>3869</v>
      </c>
      <c r="B50">
        <v>4</v>
      </c>
      <c r="C50">
        <v>4025985</v>
      </c>
      <c r="D50">
        <v>28102</v>
      </c>
      <c r="E50">
        <v>2</v>
      </c>
      <c r="F50">
        <v>670050</v>
      </c>
      <c r="G50" t="s">
        <v>38</v>
      </c>
      <c r="H50" t="s">
        <v>39</v>
      </c>
      <c r="I50">
        <v>0</v>
      </c>
      <c r="J50" s="1">
        <v>404437.23100000003</v>
      </c>
      <c r="K50" s="1">
        <v>282360.58500000002</v>
      </c>
      <c r="L50" s="1">
        <v>404488.50799999997</v>
      </c>
      <c r="M50" s="1">
        <v>282299.20699999999</v>
      </c>
      <c r="N50" t="s">
        <v>40</v>
      </c>
      <c r="P50" t="s">
        <v>40</v>
      </c>
      <c r="Q50">
        <v>0</v>
      </c>
      <c r="R50">
        <v>0</v>
      </c>
      <c r="S50">
        <v>200703</v>
      </c>
      <c r="T50">
        <v>6</v>
      </c>
      <c r="U50">
        <v>6</v>
      </c>
      <c r="V50">
        <v>1</v>
      </c>
      <c r="W50">
        <v>2</v>
      </c>
      <c r="X50" t="s">
        <v>40</v>
      </c>
      <c r="Y50">
        <v>3</v>
      </c>
      <c r="Z50">
        <v>5023</v>
      </c>
      <c r="AA50">
        <v>1</v>
      </c>
      <c r="AB50">
        <v>0</v>
      </c>
      <c r="AC50">
        <v>7.8949999999999996</v>
      </c>
      <c r="AD50">
        <v>5059</v>
      </c>
      <c r="AH50">
        <v>0</v>
      </c>
      <c r="AI50">
        <v>0</v>
      </c>
      <c r="AL50" t="s">
        <v>40</v>
      </c>
      <c r="AM50" t="str">
        <f t="shared" ref="AM50:AM96" si="3">_xlfn.CONCAT(Z50, " ",AA50)</f>
        <v>5023 1</v>
      </c>
      <c r="AN50" t="str">
        <f t="shared" ref="AN50:AN97" si="4">ROUND(J50,3)&amp;","&amp;ROUND(K50,3)</f>
        <v>404437.231,282360.585</v>
      </c>
      <c r="AO50" t="str">
        <f t="shared" ref="AO50:AO97" si="5">ROUND(L50,3)&amp;","&amp;ROUND(M50,3)</f>
        <v>404488.508,282299.207</v>
      </c>
      <c r="AQ50" t="s">
        <v>2021</v>
      </c>
      <c r="AR50" t="s">
        <v>2022</v>
      </c>
    </row>
    <row r="51" spans="1:44" x14ac:dyDescent="0.3">
      <c r="A51">
        <v>3869</v>
      </c>
      <c r="B51">
        <v>4</v>
      </c>
      <c r="C51">
        <v>4014481</v>
      </c>
      <c r="D51">
        <v>129</v>
      </c>
      <c r="E51">
        <v>2</v>
      </c>
      <c r="F51">
        <v>670050</v>
      </c>
      <c r="G51" t="s">
        <v>38</v>
      </c>
      <c r="H51" t="s">
        <v>41</v>
      </c>
      <c r="I51">
        <v>0</v>
      </c>
      <c r="J51" s="1">
        <v>405075.734</v>
      </c>
      <c r="K51" s="1">
        <v>281194.75199999998</v>
      </c>
      <c r="L51" s="1">
        <v>404488.50799999997</v>
      </c>
      <c r="M51" s="1">
        <v>282299.20699999999</v>
      </c>
      <c r="N51" t="s">
        <v>40</v>
      </c>
      <c r="P51" t="s">
        <v>40</v>
      </c>
      <c r="Q51">
        <v>0</v>
      </c>
      <c r="R51">
        <v>0</v>
      </c>
      <c r="S51">
        <v>0</v>
      </c>
      <c r="T51">
        <v>6</v>
      </c>
      <c r="U51">
        <v>6</v>
      </c>
      <c r="V51">
        <v>1</v>
      </c>
      <c r="W51">
        <v>2</v>
      </c>
      <c r="X51" t="s">
        <v>40</v>
      </c>
      <c r="Y51">
        <v>3</v>
      </c>
      <c r="Z51">
        <v>89</v>
      </c>
      <c r="AA51">
        <v>1</v>
      </c>
      <c r="AB51">
        <v>0</v>
      </c>
      <c r="AC51">
        <v>102.431</v>
      </c>
      <c r="AD51">
        <v>5059</v>
      </c>
      <c r="AH51">
        <v>0</v>
      </c>
      <c r="AI51">
        <v>0</v>
      </c>
      <c r="AL51" t="s">
        <v>40</v>
      </c>
      <c r="AM51" t="str">
        <f t="shared" si="3"/>
        <v>89 1</v>
      </c>
      <c r="AN51" t="str">
        <f t="shared" si="4"/>
        <v>405075.734,281194.752</v>
      </c>
      <c r="AO51" t="str">
        <f t="shared" si="5"/>
        <v>404488.508,282299.207</v>
      </c>
      <c r="AQ51" t="s">
        <v>2023</v>
      </c>
      <c r="AR51" t="s">
        <v>2022</v>
      </c>
    </row>
    <row r="52" spans="1:44" x14ac:dyDescent="0.3">
      <c r="A52">
        <v>3869</v>
      </c>
      <c r="B52">
        <v>4</v>
      </c>
      <c r="C52">
        <v>4025643</v>
      </c>
      <c r="D52">
        <v>22899</v>
      </c>
      <c r="E52">
        <v>2</v>
      </c>
      <c r="F52">
        <v>670050</v>
      </c>
      <c r="G52" t="s">
        <v>38</v>
      </c>
      <c r="H52" t="s">
        <v>41</v>
      </c>
      <c r="I52">
        <v>0</v>
      </c>
      <c r="J52" s="1">
        <v>405075.734</v>
      </c>
      <c r="K52" s="1">
        <v>281194.75199999998</v>
      </c>
      <c r="L52" s="1">
        <v>405011.42200000002</v>
      </c>
      <c r="M52" s="1">
        <v>281677.98300000001</v>
      </c>
      <c r="N52" t="s">
        <v>40</v>
      </c>
      <c r="P52" t="s">
        <v>40</v>
      </c>
      <c r="Q52">
        <v>0</v>
      </c>
      <c r="R52">
        <v>0</v>
      </c>
      <c r="S52">
        <v>0</v>
      </c>
      <c r="T52">
        <v>6</v>
      </c>
      <c r="U52">
        <v>6</v>
      </c>
      <c r="V52">
        <v>1</v>
      </c>
      <c r="W52">
        <v>1</v>
      </c>
      <c r="X52" t="s">
        <v>40</v>
      </c>
      <c r="Y52">
        <v>3</v>
      </c>
      <c r="Z52">
        <v>40</v>
      </c>
      <c r="AA52">
        <v>5001</v>
      </c>
      <c r="AB52">
        <v>0</v>
      </c>
      <c r="AC52">
        <v>48.198999999999998</v>
      </c>
      <c r="AD52">
        <v>5059</v>
      </c>
      <c r="AH52">
        <v>0</v>
      </c>
      <c r="AI52">
        <v>0</v>
      </c>
      <c r="AL52" t="s">
        <v>40</v>
      </c>
      <c r="AM52" t="str">
        <f t="shared" si="3"/>
        <v>40 5001</v>
      </c>
      <c r="AN52" t="str">
        <f t="shared" si="4"/>
        <v>405075.734,281194.752</v>
      </c>
      <c r="AO52" t="str">
        <f t="shared" si="5"/>
        <v>405011.422,281677.983</v>
      </c>
      <c r="AQ52" t="s">
        <v>2023</v>
      </c>
      <c r="AR52" t="s">
        <v>128</v>
      </c>
    </row>
    <row r="53" spans="1:44" x14ac:dyDescent="0.3">
      <c r="A53">
        <v>3869</v>
      </c>
      <c r="B53">
        <v>4</v>
      </c>
      <c r="C53">
        <v>4027702</v>
      </c>
      <c r="D53">
        <v>30006</v>
      </c>
      <c r="E53">
        <v>2</v>
      </c>
      <c r="F53">
        <v>670050</v>
      </c>
      <c r="G53" t="s">
        <v>38</v>
      </c>
      <c r="H53" t="s">
        <v>41</v>
      </c>
      <c r="I53">
        <v>0</v>
      </c>
      <c r="J53" s="1">
        <v>405085.712</v>
      </c>
      <c r="K53" s="1">
        <v>281144.3</v>
      </c>
      <c r="L53" s="1">
        <v>405011.70899999997</v>
      </c>
      <c r="M53" s="1">
        <v>281677.62800000003</v>
      </c>
      <c r="N53" t="s">
        <v>40</v>
      </c>
      <c r="P53" t="s">
        <v>40</v>
      </c>
      <c r="Q53">
        <v>0</v>
      </c>
      <c r="R53">
        <v>0</v>
      </c>
      <c r="S53">
        <v>0</v>
      </c>
      <c r="T53">
        <v>6</v>
      </c>
      <c r="U53">
        <v>6</v>
      </c>
      <c r="V53">
        <v>1</v>
      </c>
      <c r="W53">
        <v>1</v>
      </c>
      <c r="X53" t="s">
        <v>40</v>
      </c>
      <c r="Y53">
        <v>3</v>
      </c>
      <c r="Z53">
        <v>40</v>
      </c>
      <c r="AA53">
        <v>5001</v>
      </c>
      <c r="AB53">
        <v>0</v>
      </c>
      <c r="AC53">
        <v>73.192999999999998</v>
      </c>
      <c r="AD53">
        <v>5060</v>
      </c>
      <c r="AH53">
        <v>0</v>
      </c>
      <c r="AI53">
        <v>0</v>
      </c>
      <c r="AL53" t="s">
        <v>40</v>
      </c>
      <c r="AM53" t="str">
        <f t="shared" si="3"/>
        <v>40 5001</v>
      </c>
      <c r="AN53" t="str">
        <f t="shared" si="4"/>
        <v>405085.712,281144.3</v>
      </c>
      <c r="AO53" t="str">
        <f t="shared" si="5"/>
        <v>405011.709,281677.628</v>
      </c>
      <c r="AQ53" t="s">
        <v>2017</v>
      </c>
      <c r="AR53" t="s">
        <v>129</v>
      </c>
    </row>
    <row r="54" spans="1:44" x14ac:dyDescent="0.3">
      <c r="A54">
        <v>3869</v>
      </c>
      <c r="B54">
        <v>4</v>
      </c>
      <c r="C54">
        <v>4025665</v>
      </c>
      <c r="D54">
        <v>56837</v>
      </c>
      <c r="E54">
        <v>2</v>
      </c>
      <c r="F54">
        <v>670050</v>
      </c>
      <c r="G54" t="s">
        <v>38</v>
      </c>
      <c r="H54" t="s">
        <v>41</v>
      </c>
      <c r="I54">
        <v>0</v>
      </c>
      <c r="J54" s="1">
        <v>405097.685</v>
      </c>
      <c r="K54" s="1">
        <v>281010.11</v>
      </c>
      <c r="L54" s="1">
        <v>404782.96799999999</v>
      </c>
      <c r="M54" s="1">
        <v>282026.40899999999</v>
      </c>
      <c r="N54" t="s">
        <v>40</v>
      </c>
      <c r="P54" t="s">
        <v>40</v>
      </c>
      <c r="Q54">
        <v>0</v>
      </c>
      <c r="R54">
        <v>0</v>
      </c>
      <c r="S54">
        <v>200806</v>
      </c>
      <c r="T54">
        <v>6</v>
      </c>
      <c r="U54">
        <v>6</v>
      </c>
      <c r="V54">
        <v>1</v>
      </c>
      <c r="W54">
        <v>1</v>
      </c>
      <c r="X54" t="s">
        <v>40</v>
      </c>
      <c r="Y54">
        <v>3</v>
      </c>
      <c r="Z54">
        <v>5028</v>
      </c>
      <c r="AA54">
        <v>1</v>
      </c>
      <c r="AB54">
        <v>0</v>
      </c>
      <c r="AC54">
        <v>103.291</v>
      </c>
      <c r="AD54">
        <v>5059</v>
      </c>
      <c r="AH54">
        <v>0</v>
      </c>
      <c r="AI54">
        <v>0</v>
      </c>
      <c r="AL54" t="s">
        <v>40</v>
      </c>
      <c r="AM54" t="str">
        <f t="shared" si="3"/>
        <v>5028 1</v>
      </c>
      <c r="AN54" t="str">
        <f t="shared" si="4"/>
        <v>405097.685,281010.11</v>
      </c>
      <c r="AO54" t="str">
        <f t="shared" si="5"/>
        <v>404782.968,282026.409</v>
      </c>
      <c r="AQ54" t="s">
        <v>2018</v>
      </c>
      <c r="AR54" t="s">
        <v>666</v>
      </c>
    </row>
    <row r="55" spans="1:44" x14ac:dyDescent="0.3">
      <c r="A55">
        <v>3869</v>
      </c>
      <c r="B55">
        <v>4</v>
      </c>
      <c r="C55">
        <v>4025698</v>
      </c>
      <c r="D55">
        <v>56859</v>
      </c>
      <c r="E55">
        <v>2</v>
      </c>
      <c r="F55">
        <v>670050</v>
      </c>
      <c r="G55" t="s">
        <v>38</v>
      </c>
      <c r="H55" t="s">
        <v>43</v>
      </c>
      <c r="I55">
        <v>0</v>
      </c>
      <c r="J55" s="1">
        <v>405108.92200000002</v>
      </c>
      <c r="K55" s="1">
        <v>280972.01799999998</v>
      </c>
      <c r="L55" s="1">
        <v>404782.49400000001</v>
      </c>
      <c r="M55" s="1">
        <v>282026.18900000001</v>
      </c>
      <c r="N55" t="s">
        <v>40</v>
      </c>
      <c r="P55" t="s">
        <v>40</v>
      </c>
      <c r="Q55">
        <v>0</v>
      </c>
      <c r="R55">
        <v>0</v>
      </c>
      <c r="S55">
        <v>200806</v>
      </c>
      <c r="T55">
        <v>6</v>
      </c>
      <c r="U55">
        <v>6</v>
      </c>
      <c r="V55">
        <v>1</v>
      </c>
      <c r="W55">
        <v>1</v>
      </c>
      <c r="X55" t="s">
        <v>40</v>
      </c>
      <c r="Y55">
        <v>3</v>
      </c>
      <c r="Z55">
        <v>5028</v>
      </c>
      <c r="AA55">
        <v>1</v>
      </c>
      <c r="AB55">
        <v>0</v>
      </c>
      <c r="AC55">
        <v>105.485</v>
      </c>
      <c r="AD55">
        <v>5059</v>
      </c>
      <c r="AH55">
        <v>0</v>
      </c>
      <c r="AI55">
        <v>0</v>
      </c>
      <c r="AL55" t="s">
        <v>40</v>
      </c>
      <c r="AM55" t="str">
        <f t="shared" si="3"/>
        <v>5028 1</v>
      </c>
      <c r="AN55" t="str">
        <f t="shared" si="4"/>
        <v>405108.922,280972.018</v>
      </c>
      <c r="AO55" t="str">
        <f t="shared" si="5"/>
        <v>404782.494,282026.189</v>
      </c>
      <c r="AQ55" t="s">
        <v>2020</v>
      </c>
      <c r="AR55" t="s">
        <v>666</v>
      </c>
    </row>
    <row r="56" spans="1:44" x14ac:dyDescent="0.3">
      <c r="A56">
        <v>3869</v>
      </c>
      <c r="B56">
        <v>4</v>
      </c>
      <c r="C56">
        <v>4014473</v>
      </c>
      <c r="D56">
        <v>14404</v>
      </c>
      <c r="E56">
        <v>2</v>
      </c>
      <c r="F56">
        <v>670050</v>
      </c>
      <c r="G56" t="s">
        <v>38</v>
      </c>
      <c r="H56" t="s">
        <v>39</v>
      </c>
      <c r="I56">
        <v>0</v>
      </c>
      <c r="J56" s="1">
        <v>404483.43800000002</v>
      </c>
      <c r="K56" s="1">
        <v>282305.25099999999</v>
      </c>
      <c r="L56" s="1">
        <v>405082.70400000003</v>
      </c>
      <c r="M56" s="1">
        <v>281455.08899999998</v>
      </c>
      <c r="N56" t="s">
        <v>40</v>
      </c>
      <c r="P56" t="s">
        <v>40</v>
      </c>
      <c r="Q56">
        <v>0</v>
      </c>
      <c r="R56">
        <v>0</v>
      </c>
      <c r="S56">
        <v>0</v>
      </c>
      <c r="T56">
        <v>6</v>
      </c>
      <c r="U56">
        <v>6</v>
      </c>
      <c r="V56">
        <v>1</v>
      </c>
      <c r="W56">
        <v>1</v>
      </c>
      <c r="X56" t="s">
        <v>40</v>
      </c>
      <c r="Y56">
        <v>3</v>
      </c>
      <c r="Z56">
        <v>40</v>
      </c>
      <c r="AA56">
        <v>5001</v>
      </c>
      <c r="AB56">
        <v>0</v>
      </c>
      <c r="AC56">
        <v>183.69400000000002</v>
      </c>
      <c r="AD56">
        <v>5060</v>
      </c>
      <c r="AH56">
        <v>0</v>
      </c>
      <c r="AI56">
        <v>0</v>
      </c>
      <c r="AL56" t="s">
        <v>40</v>
      </c>
      <c r="AM56" t="str">
        <f t="shared" si="3"/>
        <v>40 5001</v>
      </c>
      <c r="AN56" s="6" t="s">
        <v>145</v>
      </c>
      <c r="AO56" s="6" t="s">
        <v>144</v>
      </c>
      <c r="AQ56" t="s">
        <v>129</v>
      </c>
      <c r="AR56" t="s">
        <v>129</v>
      </c>
    </row>
    <row r="57" spans="1:44" x14ac:dyDescent="0.3">
      <c r="A57">
        <v>3869</v>
      </c>
      <c r="B57">
        <v>4</v>
      </c>
      <c r="C57">
        <v>4032240</v>
      </c>
      <c r="D57">
        <v>27168</v>
      </c>
      <c r="E57">
        <v>2</v>
      </c>
      <c r="F57">
        <v>670050</v>
      </c>
      <c r="G57" t="s">
        <v>38</v>
      </c>
      <c r="H57" t="s">
        <v>43</v>
      </c>
      <c r="I57">
        <v>0</v>
      </c>
      <c r="J57" s="1">
        <v>405126.897</v>
      </c>
      <c r="K57" s="1">
        <v>280994.32299999997</v>
      </c>
      <c r="L57" s="1">
        <v>405125.94400000002</v>
      </c>
      <c r="M57" s="1">
        <v>280994.14600000001</v>
      </c>
      <c r="N57" t="s">
        <v>40</v>
      </c>
      <c r="P57" t="s">
        <v>40</v>
      </c>
      <c r="Q57">
        <v>0</v>
      </c>
      <c r="R57">
        <v>0</v>
      </c>
      <c r="S57">
        <v>0</v>
      </c>
      <c r="T57">
        <v>6</v>
      </c>
      <c r="U57">
        <v>6</v>
      </c>
      <c r="V57">
        <v>1</v>
      </c>
      <c r="W57">
        <v>1</v>
      </c>
      <c r="X57" t="s">
        <v>40</v>
      </c>
      <c r="Y57">
        <v>3</v>
      </c>
      <c r="Z57">
        <v>169</v>
      </c>
      <c r="AA57">
        <v>99</v>
      </c>
      <c r="AB57">
        <v>0</v>
      </c>
      <c r="AC57">
        <v>0.96899999999999997</v>
      </c>
      <c r="AD57">
        <v>5059</v>
      </c>
      <c r="AH57">
        <v>0</v>
      </c>
      <c r="AI57">
        <v>0</v>
      </c>
      <c r="AL57" t="s">
        <v>40</v>
      </c>
      <c r="AM57" t="str">
        <f t="shared" si="3"/>
        <v>169 99</v>
      </c>
      <c r="AN57" t="str">
        <f t="shared" si="4"/>
        <v>405126.897,280994.323</v>
      </c>
      <c r="AO57" t="str">
        <f t="shared" si="5"/>
        <v>405125.944,280994.146</v>
      </c>
      <c r="AQ57" t="s">
        <v>1810</v>
      </c>
      <c r="AR57" t="s">
        <v>1941</v>
      </c>
    </row>
    <row r="58" spans="1:44" x14ac:dyDescent="0.3">
      <c r="A58">
        <v>3869</v>
      </c>
      <c r="B58">
        <v>4</v>
      </c>
      <c r="C58">
        <v>4014491</v>
      </c>
      <c r="D58">
        <v>64220</v>
      </c>
      <c r="E58">
        <v>2</v>
      </c>
      <c r="F58">
        <v>670050</v>
      </c>
      <c r="G58" t="s">
        <v>38</v>
      </c>
      <c r="H58" t="s">
        <v>39</v>
      </c>
      <c r="I58">
        <v>0</v>
      </c>
      <c r="J58" s="1">
        <v>404383.14799999999</v>
      </c>
      <c r="K58" s="1">
        <v>282892.60600000003</v>
      </c>
      <c r="L58" s="1">
        <v>404383.44</v>
      </c>
      <c r="M58" s="1">
        <v>282892.65899999999</v>
      </c>
      <c r="N58" t="s">
        <v>40</v>
      </c>
      <c r="P58" t="s">
        <v>40</v>
      </c>
      <c r="Q58">
        <v>0</v>
      </c>
      <c r="R58">
        <v>0</v>
      </c>
      <c r="S58">
        <v>0</v>
      </c>
      <c r="T58">
        <v>6</v>
      </c>
      <c r="U58">
        <v>6</v>
      </c>
      <c r="V58">
        <v>1</v>
      </c>
      <c r="W58">
        <v>1</v>
      </c>
      <c r="X58" t="s">
        <v>40</v>
      </c>
      <c r="Y58">
        <v>3</v>
      </c>
      <c r="Z58">
        <v>54</v>
      </c>
      <c r="AA58">
        <v>1</v>
      </c>
      <c r="AB58">
        <v>0</v>
      </c>
      <c r="AC58">
        <v>108.17700000000001</v>
      </c>
      <c r="AD58">
        <v>5059</v>
      </c>
      <c r="AH58">
        <v>0</v>
      </c>
      <c r="AI58">
        <v>0</v>
      </c>
      <c r="AL58" t="s">
        <v>40</v>
      </c>
      <c r="AM58" t="str">
        <f t="shared" si="3"/>
        <v>54 1</v>
      </c>
      <c r="AN58" t="str">
        <f t="shared" si="4"/>
        <v>404383.148,282892.606</v>
      </c>
      <c r="AO58" t="str">
        <f t="shared" si="5"/>
        <v>404383.44,282892.659</v>
      </c>
      <c r="AQ58" t="s">
        <v>1942</v>
      </c>
      <c r="AR58" t="s">
        <v>1942</v>
      </c>
    </row>
    <row r="59" spans="1:44" x14ac:dyDescent="0.3">
      <c r="A59">
        <v>3869</v>
      </c>
      <c r="B59">
        <v>4</v>
      </c>
      <c r="C59">
        <v>4014472</v>
      </c>
      <c r="D59">
        <v>14461</v>
      </c>
      <c r="E59">
        <v>2</v>
      </c>
      <c r="F59" s="2">
        <v>670050</v>
      </c>
      <c r="G59" s="2" t="s">
        <v>38</v>
      </c>
      <c r="H59" t="s">
        <v>41</v>
      </c>
      <c r="I59">
        <v>0</v>
      </c>
      <c r="J59" s="3">
        <v>405119.40899999999</v>
      </c>
      <c r="K59" s="3">
        <v>281011.56199999998</v>
      </c>
      <c r="L59" s="1">
        <v>405123.565</v>
      </c>
      <c r="M59" s="1">
        <v>280973.93599999999</v>
      </c>
      <c r="N59" t="s">
        <v>40</v>
      </c>
      <c r="P59" t="s">
        <v>40</v>
      </c>
      <c r="Q59">
        <v>0</v>
      </c>
      <c r="R59">
        <v>0</v>
      </c>
      <c r="S59">
        <v>0</v>
      </c>
      <c r="T59">
        <v>6</v>
      </c>
      <c r="U59">
        <v>6</v>
      </c>
      <c r="V59">
        <v>1</v>
      </c>
      <c r="W59">
        <v>2</v>
      </c>
      <c r="X59" t="s">
        <v>40</v>
      </c>
      <c r="Y59">
        <v>3</v>
      </c>
      <c r="Z59">
        <v>89</v>
      </c>
      <c r="AA59">
        <v>99</v>
      </c>
      <c r="AB59">
        <v>0</v>
      </c>
      <c r="AC59">
        <v>18.038</v>
      </c>
      <c r="AD59">
        <v>5059</v>
      </c>
      <c r="AH59">
        <v>0</v>
      </c>
      <c r="AI59">
        <v>0</v>
      </c>
      <c r="AL59" t="s">
        <v>40</v>
      </c>
      <c r="AM59" t="str">
        <f t="shared" si="3"/>
        <v>89 99</v>
      </c>
      <c r="AN59" t="str">
        <f t="shared" si="4"/>
        <v>405119.409,281011.562</v>
      </c>
      <c r="AO59" t="str">
        <f t="shared" si="5"/>
        <v>405123.565,280973.936</v>
      </c>
      <c r="AQ59" t="s">
        <v>1943</v>
      </c>
      <c r="AR59" t="s">
        <v>1943</v>
      </c>
    </row>
    <row r="60" spans="1:44" x14ac:dyDescent="0.3">
      <c r="A60">
        <v>3869</v>
      </c>
      <c r="B60">
        <v>4</v>
      </c>
      <c r="C60">
        <v>4024295</v>
      </c>
      <c r="D60">
        <v>112703</v>
      </c>
      <c r="E60">
        <v>2</v>
      </c>
      <c r="F60">
        <v>670050</v>
      </c>
      <c r="G60" t="s">
        <v>44</v>
      </c>
      <c r="H60" t="s">
        <v>43</v>
      </c>
      <c r="I60">
        <v>0</v>
      </c>
      <c r="J60" s="1">
        <v>405491.277</v>
      </c>
      <c r="K60" s="1">
        <v>280148.33100000001</v>
      </c>
      <c r="L60" s="1">
        <v>405488.30499999999</v>
      </c>
      <c r="M60" s="1">
        <v>280147.78499999997</v>
      </c>
      <c r="N60" t="s">
        <v>40</v>
      </c>
      <c r="P60" t="s">
        <v>40</v>
      </c>
      <c r="Q60">
        <v>0</v>
      </c>
      <c r="R60">
        <v>0</v>
      </c>
      <c r="S60">
        <v>0</v>
      </c>
      <c r="T60">
        <v>6</v>
      </c>
      <c r="U60">
        <v>6</v>
      </c>
      <c r="V60">
        <v>1</v>
      </c>
      <c r="W60">
        <v>1</v>
      </c>
      <c r="X60" t="s">
        <v>40</v>
      </c>
      <c r="Y60">
        <v>3</v>
      </c>
      <c r="Z60">
        <v>36</v>
      </c>
      <c r="AA60">
        <v>5001</v>
      </c>
      <c r="AB60">
        <v>0</v>
      </c>
      <c r="AC60">
        <v>10.241</v>
      </c>
      <c r="AD60">
        <v>5059</v>
      </c>
      <c r="AH60">
        <v>0</v>
      </c>
      <c r="AI60">
        <v>0</v>
      </c>
      <c r="AL60" t="s">
        <v>40</v>
      </c>
      <c r="AM60" t="str">
        <f t="shared" si="3"/>
        <v>36 5001</v>
      </c>
      <c r="AN60" t="str">
        <f t="shared" si="4"/>
        <v>405491.277,280148.331</v>
      </c>
      <c r="AO60" t="str">
        <f t="shared" si="5"/>
        <v>405488.305,280147.785</v>
      </c>
      <c r="AQ60" t="s">
        <v>2024</v>
      </c>
      <c r="AR60" t="s">
        <v>673</v>
      </c>
    </row>
    <row r="61" spans="1:44" x14ac:dyDescent="0.3">
      <c r="A61">
        <v>3869</v>
      </c>
      <c r="B61">
        <v>4</v>
      </c>
      <c r="C61">
        <v>4024309</v>
      </c>
      <c r="D61">
        <v>100</v>
      </c>
      <c r="E61">
        <v>2</v>
      </c>
      <c r="F61">
        <v>670050</v>
      </c>
      <c r="G61" t="s">
        <v>44</v>
      </c>
      <c r="H61" t="s">
        <v>43</v>
      </c>
      <c r="I61">
        <v>0</v>
      </c>
      <c r="J61" s="1">
        <v>405498.25</v>
      </c>
      <c r="K61" s="1">
        <v>280000</v>
      </c>
      <c r="L61" s="1">
        <v>405498.04399999999</v>
      </c>
      <c r="M61" s="1">
        <v>280028.07299999997</v>
      </c>
      <c r="N61" t="s">
        <v>40</v>
      </c>
      <c r="P61" t="s">
        <v>40</v>
      </c>
      <c r="Q61">
        <v>0</v>
      </c>
      <c r="R61">
        <v>0</v>
      </c>
      <c r="S61">
        <v>0</v>
      </c>
      <c r="T61">
        <v>6</v>
      </c>
      <c r="U61">
        <v>6</v>
      </c>
      <c r="V61">
        <v>1</v>
      </c>
      <c r="W61">
        <v>1</v>
      </c>
      <c r="X61" t="s">
        <v>40</v>
      </c>
      <c r="Y61">
        <v>3</v>
      </c>
      <c r="Z61">
        <v>89</v>
      </c>
      <c r="AA61">
        <v>1</v>
      </c>
      <c r="AB61">
        <v>0</v>
      </c>
      <c r="AC61">
        <v>161.72999999999999</v>
      </c>
      <c r="AD61">
        <v>5059</v>
      </c>
      <c r="AH61">
        <v>0</v>
      </c>
      <c r="AI61">
        <v>0</v>
      </c>
      <c r="AL61" t="s">
        <v>40</v>
      </c>
      <c r="AM61" t="str">
        <f t="shared" si="3"/>
        <v>89 1</v>
      </c>
      <c r="AN61" s="6" t="s">
        <v>889</v>
      </c>
      <c r="AO61" s="6" t="s">
        <v>891</v>
      </c>
      <c r="AQ61" t="s">
        <v>2024</v>
      </c>
      <c r="AR61" t="s">
        <v>2025</v>
      </c>
    </row>
    <row r="62" spans="1:44" x14ac:dyDescent="0.3">
      <c r="A62">
        <v>3869</v>
      </c>
      <c r="B62">
        <v>4</v>
      </c>
      <c r="C62">
        <v>4012242</v>
      </c>
      <c r="D62">
        <v>11516</v>
      </c>
      <c r="E62">
        <v>2</v>
      </c>
      <c r="F62">
        <v>670050</v>
      </c>
      <c r="G62" t="s">
        <v>44</v>
      </c>
      <c r="H62" t="s">
        <v>45</v>
      </c>
      <c r="I62">
        <v>0</v>
      </c>
      <c r="J62" s="1">
        <v>405582.56599999999</v>
      </c>
      <c r="K62" s="1">
        <v>279535.72899999999</v>
      </c>
      <c r="L62" s="1">
        <v>405577.33</v>
      </c>
      <c r="M62" s="1">
        <v>279531.44400000002</v>
      </c>
      <c r="N62" t="s">
        <v>40</v>
      </c>
      <c r="P62" t="s">
        <v>40</v>
      </c>
      <c r="Q62">
        <v>0</v>
      </c>
      <c r="R62">
        <v>0</v>
      </c>
      <c r="S62">
        <v>0</v>
      </c>
      <c r="T62">
        <v>6</v>
      </c>
      <c r="U62">
        <v>6</v>
      </c>
      <c r="V62">
        <v>1</v>
      </c>
      <c r="W62">
        <v>1</v>
      </c>
      <c r="X62" t="s">
        <v>40</v>
      </c>
      <c r="Y62">
        <v>3</v>
      </c>
      <c r="Z62">
        <v>38</v>
      </c>
      <c r="AA62">
        <v>5001</v>
      </c>
      <c r="AB62">
        <v>0</v>
      </c>
      <c r="AC62">
        <v>92.278000000000006</v>
      </c>
      <c r="AD62">
        <v>5059</v>
      </c>
      <c r="AH62">
        <v>0</v>
      </c>
      <c r="AI62">
        <v>0</v>
      </c>
      <c r="AL62" t="s">
        <v>40</v>
      </c>
      <c r="AM62" t="str">
        <f t="shared" si="3"/>
        <v>38 5001</v>
      </c>
      <c r="AN62" s="6" t="s">
        <v>902</v>
      </c>
      <c r="AO62" s="6" t="s">
        <v>890</v>
      </c>
      <c r="AQ62" t="s">
        <v>2026</v>
      </c>
      <c r="AR62" t="s">
        <v>2027</v>
      </c>
    </row>
    <row r="63" spans="1:44" x14ac:dyDescent="0.3">
      <c r="A63">
        <v>3869</v>
      </c>
      <c r="B63">
        <v>4</v>
      </c>
      <c r="C63">
        <v>4012299</v>
      </c>
      <c r="D63">
        <v>11537</v>
      </c>
      <c r="E63">
        <v>2</v>
      </c>
      <c r="F63">
        <v>670050</v>
      </c>
      <c r="G63" t="s">
        <v>44</v>
      </c>
      <c r="H63" t="s">
        <v>45</v>
      </c>
      <c r="I63">
        <v>0</v>
      </c>
      <c r="J63" s="1">
        <v>405564.902</v>
      </c>
      <c r="K63" s="1">
        <v>279559.94900000002</v>
      </c>
      <c r="L63" s="1">
        <v>405557.45500000002</v>
      </c>
      <c r="M63" s="1">
        <v>279514.39500000002</v>
      </c>
      <c r="N63" t="s">
        <v>40</v>
      </c>
      <c r="P63" t="s">
        <v>40</v>
      </c>
      <c r="Q63">
        <v>0</v>
      </c>
      <c r="R63">
        <v>0</v>
      </c>
      <c r="S63">
        <v>0</v>
      </c>
      <c r="T63">
        <v>6</v>
      </c>
      <c r="U63">
        <v>6</v>
      </c>
      <c r="V63">
        <v>1</v>
      </c>
      <c r="W63">
        <v>1</v>
      </c>
      <c r="X63" t="s">
        <v>40</v>
      </c>
      <c r="Y63">
        <v>3</v>
      </c>
      <c r="Z63">
        <v>38</v>
      </c>
      <c r="AA63">
        <v>5001</v>
      </c>
      <c r="AB63">
        <v>0</v>
      </c>
      <c r="AC63">
        <v>47.008000000000003</v>
      </c>
      <c r="AD63">
        <v>5059</v>
      </c>
      <c r="AH63">
        <v>0</v>
      </c>
      <c r="AI63">
        <v>0</v>
      </c>
      <c r="AL63" t="s">
        <v>40</v>
      </c>
      <c r="AM63" t="str">
        <f t="shared" si="3"/>
        <v>38 5001</v>
      </c>
      <c r="AN63" t="str">
        <f t="shared" si="4"/>
        <v>405564.902,279559.949</v>
      </c>
      <c r="AO63" t="str">
        <f t="shared" si="5"/>
        <v>405557.455,279514.395</v>
      </c>
      <c r="AQ63" t="s">
        <v>2028</v>
      </c>
      <c r="AR63" t="s">
        <v>2029</v>
      </c>
    </row>
    <row r="64" spans="1:44" x14ac:dyDescent="0.3">
      <c r="A64">
        <v>3869</v>
      </c>
      <c r="B64">
        <v>4</v>
      </c>
      <c r="C64">
        <v>4012241</v>
      </c>
      <c r="D64">
        <v>42721</v>
      </c>
      <c r="E64">
        <v>2</v>
      </c>
      <c r="F64">
        <v>670050</v>
      </c>
      <c r="G64" t="s">
        <v>44</v>
      </c>
      <c r="H64" t="s">
        <v>45</v>
      </c>
      <c r="I64">
        <v>0</v>
      </c>
      <c r="J64" s="1">
        <v>405582.56599999999</v>
      </c>
      <c r="K64" s="1">
        <v>279535.72899999999</v>
      </c>
      <c r="L64" s="1">
        <v>405585.24699999997</v>
      </c>
      <c r="M64" s="1">
        <v>279535.97700000001</v>
      </c>
      <c r="N64" t="s">
        <v>40</v>
      </c>
      <c r="P64" t="s">
        <v>40</v>
      </c>
      <c r="Q64">
        <v>0</v>
      </c>
      <c r="R64">
        <v>0</v>
      </c>
      <c r="S64">
        <v>0</v>
      </c>
      <c r="T64">
        <v>6</v>
      </c>
      <c r="U64">
        <v>6</v>
      </c>
      <c r="V64">
        <v>1</v>
      </c>
      <c r="W64">
        <v>1</v>
      </c>
      <c r="X64" t="s">
        <v>40</v>
      </c>
      <c r="Y64">
        <v>3</v>
      </c>
      <c r="Z64">
        <v>89</v>
      </c>
      <c r="AA64">
        <v>1</v>
      </c>
      <c r="AB64">
        <v>0</v>
      </c>
      <c r="AC64">
        <v>2.7050000000000001</v>
      </c>
      <c r="AD64">
        <v>5059</v>
      </c>
      <c r="AH64">
        <v>0</v>
      </c>
      <c r="AI64">
        <v>0</v>
      </c>
      <c r="AL64" t="s">
        <v>40</v>
      </c>
      <c r="AM64" t="str">
        <f t="shared" si="3"/>
        <v>89 1</v>
      </c>
      <c r="AN64" t="str">
        <f t="shared" si="4"/>
        <v>405582.566,279535.729</v>
      </c>
      <c r="AO64" t="str">
        <f t="shared" si="5"/>
        <v>405585.247,279535.977</v>
      </c>
      <c r="AQ64" t="s">
        <v>2027</v>
      </c>
      <c r="AR64" t="s">
        <v>668</v>
      </c>
    </row>
    <row r="65" spans="1:44" x14ac:dyDescent="0.3">
      <c r="A65">
        <v>3869</v>
      </c>
      <c r="B65">
        <v>4</v>
      </c>
      <c r="C65">
        <v>4024247</v>
      </c>
      <c r="D65">
        <v>21662</v>
      </c>
      <c r="E65">
        <v>2</v>
      </c>
      <c r="F65">
        <v>670050</v>
      </c>
      <c r="G65" t="s">
        <v>44</v>
      </c>
      <c r="H65" t="s">
        <v>43</v>
      </c>
      <c r="I65">
        <v>0</v>
      </c>
      <c r="J65" s="1">
        <v>405452.60600000003</v>
      </c>
      <c r="K65" s="1">
        <v>280271.85200000001</v>
      </c>
      <c r="L65" s="1">
        <v>405436.44199999998</v>
      </c>
      <c r="M65" s="1">
        <v>280293.07799999998</v>
      </c>
      <c r="N65" t="s">
        <v>40</v>
      </c>
      <c r="P65" t="s">
        <v>40</v>
      </c>
      <c r="Q65">
        <v>0</v>
      </c>
      <c r="R65">
        <v>0</v>
      </c>
      <c r="S65">
        <v>0</v>
      </c>
      <c r="T65">
        <v>6</v>
      </c>
      <c r="U65">
        <v>6</v>
      </c>
      <c r="V65">
        <v>1</v>
      </c>
      <c r="W65">
        <v>1</v>
      </c>
      <c r="X65" t="s">
        <v>40</v>
      </c>
      <c r="Y65">
        <v>3</v>
      </c>
      <c r="Z65">
        <v>89</v>
      </c>
      <c r="AA65">
        <v>1</v>
      </c>
      <c r="AB65">
        <v>0</v>
      </c>
      <c r="AC65">
        <v>571.58199999999988</v>
      </c>
      <c r="AD65">
        <v>5059</v>
      </c>
      <c r="AH65">
        <v>0</v>
      </c>
      <c r="AI65">
        <v>0</v>
      </c>
      <c r="AL65" t="s">
        <v>40</v>
      </c>
      <c r="AM65" t="str">
        <f t="shared" si="3"/>
        <v>89 1</v>
      </c>
      <c r="AN65" s="6" t="s">
        <v>908</v>
      </c>
      <c r="AO65" s="6" t="s">
        <v>913</v>
      </c>
      <c r="AQ65" t="s">
        <v>2030</v>
      </c>
      <c r="AR65" t="s">
        <v>2031</v>
      </c>
    </row>
    <row r="66" spans="1:44" x14ac:dyDescent="0.3">
      <c r="A66">
        <v>3869</v>
      </c>
      <c r="B66">
        <v>4</v>
      </c>
      <c r="C66">
        <v>4012577</v>
      </c>
      <c r="D66">
        <v>11804</v>
      </c>
      <c r="E66">
        <v>2</v>
      </c>
      <c r="F66">
        <v>670050</v>
      </c>
      <c r="G66" t="s">
        <v>44</v>
      </c>
      <c r="H66" t="s">
        <v>45</v>
      </c>
      <c r="I66">
        <v>0</v>
      </c>
      <c r="J66" s="1">
        <v>405561.41899999999</v>
      </c>
      <c r="K66" s="1">
        <v>279770.516</v>
      </c>
      <c r="L66" s="1">
        <v>405616.43199999997</v>
      </c>
      <c r="M66" s="1">
        <v>279799.75799999997</v>
      </c>
      <c r="N66" t="s">
        <v>40</v>
      </c>
      <c r="P66" t="s">
        <v>40</v>
      </c>
      <c r="Q66">
        <v>0</v>
      </c>
      <c r="R66">
        <v>0</v>
      </c>
      <c r="S66">
        <v>0</v>
      </c>
      <c r="T66">
        <v>6</v>
      </c>
      <c r="U66">
        <v>6</v>
      </c>
      <c r="V66">
        <v>1</v>
      </c>
      <c r="W66">
        <v>1</v>
      </c>
      <c r="X66" t="s">
        <v>40</v>
      </c>
      <c r="Y66">
        <v>3</v>
      </c>
      <c r="Z66">
        <v>49</v>
      </c>
      <c r="AA66">
        <v>1</v>
      </c>
      <c r="AB66">
        <v>0</v>
      </c>
      <c r="AC66">
        <v>68.105999999999995</v>
      </c>
      <c r="AD66">
        <v>5059</v>
      </c>
      <c r="AH66">
        <v>0</v>
      </c>
      <c r="AI66">
        <v>0</v>
      </c>
      <c r="AL66" t="s">
        <v>40</v>
      </c>
      <c r="AM66" t="str">
        <f t="shared" si="3"/>
        <v>49 1</v>
      </c>
      <c r="AN66" t="str">
        <f t="shared" si="4"/>
        <v>405561.419,279770.516</v>
      </c>
      <c r="AO66" t="str">
        <f t="shared" si="5"/>
        <v>405616.432,279799.758</v>
      </c>
      <c r="AQ66" t="s">
        <v>2032</v>
      </c>
      <c r="AR66" t="s">
        <v>2033</v>
      </c>
    </row>
    <row r="67" spans="1:44" x14ac:dyDescent="0.3">
      <c r="A67">
        <v>3869</v>
      </c>
      <c r="B67">
        <v>4</v>
      </c>
      <c r="C67">
        <v>4012575</v>
      </c>
      <c r="D67">
        <v>62054</v>
      </c>
      <c r="E67">
        <v>2</v>
      </c>
      <c r="F67">
        <v>670050</v>
      </c>
      <c r="G67" t="s">
        <v>44</v>
      </c>
      <c r="H67" t="s">
        <v>45</v>
      </c>
      <c r="I67">
        <v>0</v>
      </c>
      <c r="J67" s="1">
        <v>405539.00099999999</v>
      </c>
      <c r="K67" s="1">
        <v>279766.47899999999</v>
      </c>
      <c r="L67" s="1">
        <v>405557.73599999998</v>
      </c>
      <c r="M67" s="1">
        <v>279770.17499999999</v>
      </c>
      <c r="N67" t="s">
        <v>40</v>
      </c>
      <c r="P67" t="s">
        <v>40</v>
      </c>
      <c r="Q67">
        <v>0</v>
      </c>
      <c r="R67">
        <v>0</v>
      </c>
      <c r="S67">
        <v>0</v>
      </c>
      <c r="T67">
        <v>6</v>
      </c>
      <c r="U67">
        <v>6</v>
      </c>
      <c r="V67">
        <v>1</v>
      </c>
      <c r="W67">
        <v>1</v>
      </c>
      <c r="X67" t="s">
        <v>40</v>
      </c>
      <c r="Y67">
        <v>3</v>
      </c>
      <c r="Z67">
        <v>38</v>
      </c>
      <c r="AA67">
        <v>1</v>
      </c>
      <c r="AB67">
        <v>0</v>
      </c>
      <c r="AC67">
        <v>24.576000000000001</v>
      </c>
      <c r="AD67">
        <v>5059</v>
      </c>
      <c r="AH67">
        <v>0</v>
      </c>
      <c r="AI67">
        <v>0</v>
      </c>
      <c r="AL67" t="s">
        <v>40</v>
      </c>
      <c r="AM67" t="str">
        <f t="shared" si="3"/>
        <v>38 1</v>
      </c>
      <c r="AN67" t="str">
        <f t="shared" si="4"/>
        <v>405539.001,279766.479</v>
      </c>
      <c r="AO67" t="str">
        <f t="shared" si="5"/>
        <v>405557.736,279770.175</v>
      </c>
      <c r="AQ67" t="s">
        <v>2034</v>
      </c>
      <c r="AR67" t="s">
        <v>2035</v>
      </c>
    </row>
    <row r="68" spans="1:44" x14ac:dyDescent="0.3">
      <c r="A68">
        <v>3869</v>
      </c>
      <c r="B68">
        <v>4</v>
      </c>
      <c r="C68">
        <v>4012567</v>
      </c>
      <c r="D68">
        <v>11803</v>
      </c>
      <c r="E68">
        <v>2</v>
      </c>
      <c r="F68">
        <v>670050</v>
      </c>
      <c r="G68" t="s">
        <v>44</v>
      </c>
      <c r="H68" t="s">
        <v>45</v>
      </c>
      <c r="I68">
        <v>0</v>
      </c>
      <c r="J68" s="1">
        <v>405558.98100000003</v>
      </c>
      <c r="K68" s="1">
        <v>279770.80599999998</v>
      </c>
      <c r="L68" s="1">
        <v>405628.93199999997</v>
      </c>
      <c r="M68" s="1">
        <v>279813.89</v>
      </c>
      <c r="N68" t="s">
        <v>40</v>
      </c>
      <c r="P68" t="s">
        <v>40</v>
      </c>
      <c r="Q68">
        <v>0</v>
      </c>
      <c r="R68">
        <v>0</v>
      </c>
      <c r="S68">
        <v>0</v>
      </c>
      <c r="T68">
        <v>6</v>
      </c>
      <c r="U68">
        <v>6</v>
      </c>
      <c r="V68">
        <v>1</v>
      </c>
      <c r="W68">
        <v>1</v>
      </c>
      <c r="X68" t="s">
        <v>40</v>
      </c>
      <c r="Y68">
        <v>3</v>
      </c>
      <c r="Z68">
        <v>49</v>
      </c>
      <c r="AA68">
        <v>1</v>
      </c>
      <c r="AB68">
        <v>0</v>
      </c>
      <c r="AC68">
        <v>89.081000000000003</v>
      </c>
      <c r="AD68">
        <v>5059</v>
      </c>
      <c r="AH68">
        <v>0</v>
      </c>
      <c r="AI68">
        <v>0</v>
      </c>
      <c r="AL68" t="s">
        <v>40</v>
      </c>
      <c r="AM68" t="str">
        <f t="shared" si="3"/>
        <v>49 1</v>
      </c>
      <c r="AN68" t="str">
        <f t="shared" si="4"/>
        <v>405558.981,279770.806</v>
      </c>
      <c r="AO68" t="str">
        <f t="shared" si="5"/>
        <v>405628.932,279813.89</v>
      </c>
      <c r="AQ68" t="s">
        <v>2036</v>
      </c>
      <c r="AR68" t="s">
        <v>2037</v>
      </c>
    </row>
    <row r="69" spans="1:44" x14ac:dyDescent="0.3">
      <c r="A69">
        <v>3869</v>
      </c>
      <c r="B69">
        <v>4</v>
      </c>
      <c r="C69">
        <v>4012566</v>
      </c>
      <c r="D69">
        <v>10879</v>
      </c>
      <c r="E69">
        <v>2</v>
      </c>
      <c r="F69">
        <v>670050</v>
      </c>
      <c r="G69" t="s">
        <v>44</v>
      </c>
      <c r="H69" t="s">
        <v>45</v>
      </c>
      <c r="I69">
        <v>0</v>
      </c>
      <c r="J69" s="1">
        <v>405558.98100000003</v>
      </c>
      <c r="K69" s="1">
        <v>279770.80599999998</v>
      </c>
      <c r="L69" s="1">
        <v>405513.125</v>
      </c>
      <c r="M69" s="1">
        <v>279851.342</v>
      </c>
      <c r="N69" t="s">
        <v>40</v>
      </c>
      <c r="P69" t="s">
        <v>40</v>
      </c>
      <c r="Q69">
        <v>0</v>
      </c>
      <c r="R69">
        <v>0</v>
      </c>
      <c r="S69">
        <v>0</v>
      </c>
      <c r="T69">
        <v>6</v>
      </c>
      <c r="U69">
        <v>6</v>
      </c>
      <c r="V69">
        <v>1</v>
      </c>
      <c r="W69">
        <v>1</v>
      </c>
      <c r="X69" t="s">
        <v>40</v>
      </c>
      <c r="Y69">
        <v>3</v>
      </c>
      <c r="Z69">
        <v>38</v>
      </c>
      <c r="AA69">
        <v>1</v>
      </c>
      <c r="AB69">
        <v>0</v>
      </c>
      <c r="AC69">
        <v>105.76300000000001</v>
      </c>
      <c r="AD69">
        <v>5059</v>
      </c>
      <c r="AH69">
        <v>0</v>
      </c>
      <c r="AI69">
        <v>0</v>
      </c>
      <c r="AL69" t="s">
        <v>40</v>
      </c>
      <c r="AM69" t="str">
        <f t="shared" si="3"/>
        <v>38 1</v>
      </c>
      <c r="AN69" t="str">
        <f t="shared" si="4"/>
        <v>405558.981,279770.806</v>
      </c>
      <c r="AO69" t="str">
        <f t="shared" si="5"/>
        <v>405513.125,279851.342</v>
      </c>
      <c r="AQ69" t="s">
        <v>2036</v>
      </c>
      <c r="AR69" t="s">
        <v>2038</v>
      </c>
    </row>
    <row r="70" spans="1:44" x14ac:dyDescent="0.3">
      <c r="A70">
        <v>3869</v>
      </c>
      <c r="B70">
        <v>4</v>
      </c>
      <c r="C70">
        <v>4012333</v>
      </c>
      <c r="D70">
        <v>10840</v>
      </c>
      <c r="E70">
        <v>2</v>
      </c>
      <c r="F70">
        <v>670050</v>
      </c>
      <c r="G70" t="s">
        <v>44</v>
      </c>
      <c r="H70" t="s">
        <v>45</v>
      </c>
      <c r="I70">
        <v>0</v>
      </c>
      <c r="J70" s="1">
        <v>405519.554</v>
      </c>
      <c r="K70" s="1">
        <v>279828.97600000002</v>
      </c>
      <c r="L70" s="1">
        <v>405517.533</v>
      </c>
      <c r="M70" s="1">
        <v>279828.98700000002</v>
      </c>
      <c r="N70" t="s">
        <v>40</v>
      </c>
      <c r="P70" t="s">
        <v>40</v>
      </c>
      <c r="Q70">
        <v>0</v>
      </c>
      <c r="R70">
        <v>0</v>
      </c>
      <c r="S70">
        <v>0</v>
      </c>
      <c r="T70">
        <v>6</v>
      </c>
      <c r="U70">
        <v>6</v>
      </c>
      <c r="V70">
        <v>1</v>
      </c>
      <c r="W70">
        <v>1</v>
      </c>
      <c r="X70" t="s">
        <v>40</v>
      </c>
      <c r="Y70">
        <v>3</v>
      </c>
      <c r="Z70">
        <v>89</v>
      </c>
      <c r="AA70">
        <v>1</v>
      </c>
      <c r="AB70">
        <v>0</v>
      </c>
      <c r="AC70">
        <v>2.319</v>
      </c>
      <c r="AD70">
        <v>5059</v>
      </c>
      <c r="AH70">
        <v>0</v>
      </c>
      <c r="AI70">
        <v>0</v>
      </c>
      <c r="AL70" t="s">
        <v>40</v>
      </c>
      <c r="AM70" t="str">
        <f t="shared" si="3"/>
        <v>89 1</v>
      </c>
      <c r="AN70" t="str">
        <f t="shared" si="4"/>
        <v>405519.554,279828.976</v>
      </c>
      <c r="AO70" t="str">
        <f t="shared" si="5"/>
        <v>405517.533,279828.987</v>
      </c>
      <c r="AQ70" t="s">
        <v>2039</v>
      </c>
      <c r="AR70" t="s">
        <v>672</v>
      </c>
    </row>
    <row r="71" spans="1:44" x14ac:dyDescent="0.3">
      <c r="A71">
        <v>3869</v>
      </c>
      <c r="B71">
        <v>4</v>
      </c>
      <c r="C71">
        <v>4012332</v>
      </c>
      <c r="D71">
        <v>10817</v>
      </c>
      <c r="E71">
        <v>2</v>
      </c>
      <c r="F71">
        <v>670050</v>
      </c>
      <c r="G71" t="s">
        <v>44</v>
      </c>
      <c r="H71" t="s">
        <v>45</v>
      </c>
      <c r="I71">
        <v>0</v>
      </c>
      <c r="J71" s="1">
        <v>405520.978</v>
      </c>
      <c r="K71" s="1">
        <v>279827.39600000001</v>
      </c>
      <c r="L71" s="1">
        <v>405519.554</v>
      </c>
      <c r="M71" s="1">
        <v>279828.97600000002</v>
      </c>
      <c r="N71" t="s">
        <v>40</v>
      </c>
      <c r="P71" t="s">
        <v>40</v>
      </c>
      <c r="Q71">
        <v>0</v>
      </c>
      <c r="R71">
        <v>0</v>
      </c>
      <c r="S71">
        <v>200007</v>
      </c>
      <c r="T71">
        <v>6</v>
      </c>
      <c r="U71">
        <v>6</v>
      </c>
      <c r="V71">
        <v>1</v>
      </c>
      <c r="W71">
        <v>1</v>
      </c>
      <c r="X71" t="s">
        <v>40</v>
      </c>
      <c r="Y71">
        <v>3</v>
      </c>
      <c r="Z71">
        <v>5024</v>
      </c>
      <c r="AA71">
        <v>1</v>
      </c>
      <c r="AB71">
        <v>0</v>
      </c>
      <c r="AC71">
        <v>2.1800000000000002</v>
      </c>
      <c r="AD71">
        <v>5059</v>
      </c>
      <c r="AH71">
        <v>0</v>
      </c>
      <c r="AI71">
        <v>0</v>
      </c>
      <c r="AL71" t="s">
        <v>40</v>
      </c>
      <c r="AM71" t="str">
        <f t="shared" si="3"/>
        <v>5024 1</v>
      </c>
      <c r="AN71" t="str">
        <f t="shared" si="4"/>
        <v>405520.978,279827.396</v>
      </c>
      <c r="AO71" t="str">
        <f t="shared" si="5"/>
        <v>405519.554,279828.976</v>
      </c>
      <c r="AQ71" t="s">
        <v>2040</v>
      </c>
      <c r="AR71" t="s">
        <v>2039</v>
      </c>
    </row>
    <row r="72" spans="1:44" x14ac:dyDescent="0.3">
      <c r="A72">
        <v>3869</v>
      </c>
      <c r="B72">
        <v>4</v>
      </c>
      <c r="C72">
        <v>4012331</v>
      </c>
      <c r="D72">
        <v>10878</v>
      </c>
      <c r="E72">
        <v>2</v>
      </c>
      <c r="F72">
        <v>670050</v>
      </c>
      <c r="G72" t="s">
        <v>44</v>
      </c>
      <c r="H72" t="s">
        <v>45</v>
      </c>
      <c r="I72">
        <v>0</v>
      </c>
      <c r="J72" s="1">
        <v>405538.40700000001</v>
      </c>
      <c r="K72" s="1">
        <v>279767.03200000001</v>
      </c>
      <c r="L72" s="1">
        <v>405520.978</v>
      </c>
      <c r="M72" s="1">
        <v>279827.39600000001</v>
      </c>
      <c r="N72" t="s">
        <v>40</v>
      </c>
      <c r="P72" t="s">
        <v>40</v>
      </c>
      <c r="Q72">
        <v>0</v>
      </c>
      <c r="R72">
        <v>0</v>
      </c>
      <c r="S72">
        <v>0</v>
      </c>
      <c r="T72">
        <v>6</v>
      </c>
      <c r="U72">
        <v>6</v>
      </c>
      <c r="V72">
        <v>1</v>
      </c>
      <c r="W72">
        <v>1</v>
      </c>
      <c r="X72" t="s">
        <v>40</v>
      </c>
      <c r="Y72">
        <v>3</v>
      </c>
      <c r="Z72">
        <v>38</v>
      </c>
      <c r="AA72">
        <v>5001</v>
      </c>
      <c r="AB72">
        <v>0</v>
      </c>
      <c r="AC72">
        <v>62.884</v>
      </c>
      <c r="AD72">
        <v>5059</v>
      </c>
      <c r="AH72">
        <v>0</v>
      </c>
      <c r="AI72">
        <v>0</v>
      </c>
      <c r="AL72" t="s">
        <v>40</v>
      </c>
      <c r="AM72" t="str">
        <f t="shared" si="3"/>
        <v>38 5001</v>
      </c>
      <c r="AN72" t="str">
        <f t="shared" si="4"/>
        <v>405538.407,279767.032</v>
      </c>
      <c r="AO72" t="str">
        <f t="shared" si="5"/>
        <v>405520.978,279827.396</v>
      </c>
      <c r="AQ72" t="s">
        <v>2041</v>
      </c>
      <c r="AR72" t="s">
        <v>2040</v>
      </c>
    </row>
    <row r="73" spans="1:44" x14ac:dyDescent="0.3">
      <c r="A73">
        <v>3869</v>
      </c>
      <c r="B73">
        <v>4</v>
      </c>
      <c r="C73">
        <v>4012297</v>
      </c>
      <c r="D73">
        <v>10783</v>
      </c>
      <c r="E73">
        <v>2</v>
      </c>
      <c r="F73">
        <v>670050</v>
      </c>
      <c r="G73" t="s">
        <v>44</v>
      </c>
      <c r="H73" t="s">
        <v>45</v>
      </c>
      <c r="I73">
        <v>0</v>
      </c>
      <c r="J73" s="1">
        <v>405487.44900000002</v>
      </c>
      <c r="K73" s="1">
        <v>279452.34700000001</v>
      </c>
      <c r="L73" s="1">
        <v>405557.43400000001</v>
      </c>
      <c r="M73" s="1">
        <v>279511.95199999999</v>
      </c>
      <c r="N73" t="s">
        <v>40</v>
      </c>
      <c r="P73" t="s">
        <v>40</v>
      </c>
      <c r="Q73">
        <v>0</v>
      </c>
      <c r="R73">
        <v>0</v>
      </c>
      <c r="S73">
        <v>0</v>
      </c>
      <c r="T73">
        <v>6</v>
      </c>
      <c r="U73">
        <v>6</v>
      </c>
      <c r="V73">
        <v>1</v>
      </c>
      <c r="W73">
        <v>1</v>
      </c>
      <c r="X73" t="s">
        <v>40</v>
      </c>
      <c r="Y73">
        <v>3</v>
      </c>
      <c r="Z73">
        <v>89</v>
      </c>
      <c r="AA73">
        <v>1</v>
      </c>
      <c r="AB73">
        <v>0</v>
      </c>
      <c r="AC73">
        <v>98.846000000000004</v>
      </c>
      <c r="AD73">
        <v>5059</v>
      </c>
      <c r="AH73">
        <v>0</v>
      </c>
      <c r="AI73">
        <v>0</v>
      </c>
      <c r="AL73" t="s">
        <v>40</v>
      </c>
      <c r="AM73" t="str">
        <f t="shared" si="3"/>
        <v>89 1</v>
      </c>
      <c r="AN73" t="str">
        <f t="shared" si="4"/>
        <v>405487.449,279452.347</v>
      </c>
      <c r="AO73" t="str">
        <f t="shared" si="5"/>
        <v>405557.434,279511.952</v>
      </c>
      <c r="AQ73" t="s">
        <v>2042</v>
      </c>
      <c r="AR73" t="s">
        <v>2043</v>
      </c>
    </row>
    <row r="74" spans="1:44" x14ac:dyDescent="0.3">
      <c r="A74">
        <v>3869</v>
      </c>
      <c r="B74">
        <v>4</v>
      </c>
      <c r="C74">
        <v>4012312</v>
      </c>
      <c r="D74">
        <v>11548</v>
      </c>
      <c r="E74">
        <v>2</v>
      </c>
      <c r="F74">
        <v>670050</v>
      </c>
      <c r="G74" t="s">
        <v>44</v>
      </c>
      <c r="H74" t="s">
        <v>45</v>
      </c>
      <c r="I74">
        <v>0</v>
      </c>
      <c r="J74" s="1">
        <v>405558.06300000002</v>
      </c>
      <c r="K74" s="1">
        <v>279627.46999999997</v>
      </c>
      <c r="L74" s="1">
        <v>405564.902</v>
      </c>
      <c r="M74" s="1">
        <v>279559.94900000002</v>
      </c>
      <c r="N74" t="s">
        <v>40</v>
      </c>
      <c r="P74" t="s">
        <v>40</v>
      </c>
      <c r="Q74">
        <v>0</v>
      </c>
      <c r="R74">
        <v>0</v>
      </c>
      <c r="S74">
        <v>0</v>
      </c>
      <c r="T74">
        <v>6</v>
      </c>
      <c r="U74">
        <v>6</v>
      </c>
      <c r="V74">
        <v>1</v>
      </c>
      <c r="W74">
        <v>1</v>
      </c>
      <c r="X74" t="s">
        <v>40</v>
      </c>
      <c r="Y74">
        <v>3</v>
      </c>
      <c r="Z74">
        <v>89</v>
      </c>
      <c r="AA74">
        <v>1</v>
      </c>
      <c r="AB74">
        <v>0</v>
      </c>
      <c r="AC74">
        <v>209.08600000000001</v>
      </c>
      <c r="AD74">
        <v>5059</v>
      </c>
      <c r="AH74">
        <v>0</v>
      </c>
      <c r="AI74">
        <v>0</v>
      </c>
      <c r="AL74" t="s">
        <v>40</v>
      </c>
      <c r="AM74" t="str">
        <f t="shared" si="3"/>
        <v>89 1</v>
      </c>
      <c r="AN74" s="6" t="s">
        <v>892</v>
      </c>
      <c r="AO74" s="6" t="s">
        <v>898</v>
      </c>
      <c r="AQ74" t="s">
        <v>2028</v>
      </c>
      <c r="AR74" t="s">
        <v>2041</v>
      </c>
    </row>
    <row r="75" spans="1:44" x14ac:dyDescent="0.3">
      <c r="A75">
        <v>3869</v>
      </c>
      <c r="B75">
        <v>4</v>
      </c>
      <c r="C75">
        <v>4024310</v>
      </c>
      <c r="D75">
        <v>21531</v>
      </c>
      <c r="E75">
        <v>2</v>
      </c>
      <c r="F75">
        <v>670050</v>
      </c>
      <c r="G75" t="s">
        <v>44</v>
      </c>
      <c r="H75" t="s">
        <v>43</v>
      </c>
      <c r="I75">
        <v>0</v>
      </c>
      <c r="J75" s="1">
        <v>405486.93400000001</v>
      </c>
      <c r="K75" s="1">
        <v>280147.37900000002</v>
      </c>
      <c r="L75" s="1">
        <v>405488.18699999998</v>
      </c>
      <c r="M75" s="1">
        <v>280147.26299999998</v>
      </c>
      <c r="N75" t="s">
        <v>40</v>
      </c>
      <c r="P75" t="s">
        <v>40</v>
      </c>
      <c r="Q75">
        <v>0</v>
      </c>
      <c r="R75">
        <v>0</v>
      </c>
      <c r="S75">
        <v>0</v>
      </c>
      <c r="T75">
        <v>6</v>
      </c>
      <c r="U75">
        <v>6</v>
      </c>
      <c r="V75">
        <v>1</v>
      </c>
      <c r="W75">
        <v>1</v>
      </c>
      <c r="X75" t="s">
        <v>40</v>
      </c>
      <c r="Y75">
        <v>3</v>
      </c>
      <c r="Z75">
        <v>36</v>
      </c>
      <c r="AA75">
        <v>5001</v>
      </c>
      <c r="AB75">
        <v>0</v>
      </c>
      <c r="AC75">
        <v>2.907</v>
      </c>
      <c r="AD75">
        <v>5059</v>
      </c>
      <c r="AH75">
        <v>0</v>
      </c>
      <c r="AI75">
        <v>0</v>
      </c>
      <c r="AL75" t="s">
        <v>40</v>
      </c>
      <c r="AM75" t="str">
        <f t="shared" si="3"/>
        <v>36 5001</v>
      </c>
      <c r="AN75" s="6" t="s">
        <v>1620</v>
      </c>
      <c r="AO75" s="6" t="s">
        <v>175</v>
      </c>
      <c r="AQ75" t="s">
        <v>1871</v>
      </c>
      <c r="AR75" t="s">
        <v>674</v>
      </c>
    </row>
    <row r="76" spans="1:44" x14ac:dyDescent="0.3">
      <c r="A76">
        <v>3869</v>
      </c>
      <c r="B76">
        <v>4</v>
      </c>
      <c r="C76">
        <v>4012296</v>
      </c>
      <c r="D76">
        <v>10781</v>
      </c>
      <c r="E76">
        <v>2</v>
      </c>
      <c r="F76">
        <v>670050</v>
      </c>
      <c r="G76" t="s">
        <v>44</v>
      </c>
      <c r="H76" t="s">
        <v>45</v>
      </c>
      <c r="I76">
        <v>0</v>
      </c>
      <c r="J76" s="1">
        <v>405557.45500000002</v>
      </c>
      <c r="K76" s="1">
        <v>279514.39500000002</v>
      </c>
      <c r="L76" s="1">
        <v>405523.84299999999</v>
      </c>
      <c r="M76" s="1">
        <v>279471.84499999997</v>
      </c>
      <c r="N76" t="s">
        <v>40</v>
      </c>
      <c r="P76" t="s">
        <v>40</v>
      </c>
      <c r="Q76">
        <v>0</v>
      </c>
      <c r="R76">
        <v>0</v>
      </c>
      <c r="S76">
        <v>0</v>
      </c>
      <c r="T76">
        <v>6</v>
      </c>
      <c r="U76">
        <v>6</v>
      </c>
      <c r="V76">
        <v>1</v>
      </c>
      <c r="W76">
        <v>1</v>
      </c>
      <c r="X76" t="s">
        <v>40</v>
      </c>
      <c r="Y76">
        <v>3</v>
      </c>
      <c r="Z76">
        <v>89</v>
      </c>
      <c r="AA76">
        <v>1</v>
      </c>
      <c r="AB76">
        <v>0</v>
      </c>
      <c r="AC76">
        <v>56.103999999999999</v>
      </c>
      <c r="AD76">
        <v>5059</v>
      </c>
      <c r="AH76">
        <v>0</v>
      </c>
      <c r="AI76">
        <v>0</v>
      </c>
      <c r="AL76" t="s">
        <v>40</v>
      </c>
      <c r="AM76" t="str">
        <f t="shared" si="3"/>
        <v>89 1</v>
      </c>
      <c r="AN76" t="str">
        <f t="shared" si="4"/>
        <v>405557.455,279514.395</v>
      </c>
      <c r="AO76" t="str">
        <f t="shared" si="5"/>
        <v>405523.843,279471.845</v>
      </c>
      <c r="AQ76" t="s">
        <v>2029</v>
      </c>
      <c r="AR76" t="s">
        <v>2044</v>
      </c>
    </row>
    <row r="77" spans="1:44" x14ac:dyDescent="0.3">
      <c r="A77">
        <v>3869</v>
      </c>
      <c r="B77">
        <v>4</v>
      </c>
      <c r="C77">
        <v>4012284</v>
      </c>
      <c r="D77">
        <v>10778</v>
      </c>
      <c r="E77">
        <v>2</v>
      </c>
      <c r="F77">
        <v>670050</v>
      </c>
      <c r="G77" t="s">
        <v>44</v>
      </c>
      <c r="H77" t="s">
        <v>45</v>
      </c>
      <c r="I77">
        <v>0</v>
      </c>
      <c r="J77" s="1">
        <v>405486.81400000001</v>
      </c>
      <c r="K77" s="1">
        <v>279449.57699999999</v>
      </c>
      <c r="L77" s="1">
        <v>405523.84299999999</v>
      </c>
      <c r="M77" s="1">
        <v>279471.84499999997</v>
      </c>
      <c r="N77" t="s">
        <v>40</v>
      </c>
      <c r="P77" t="s">
        <v>40</v>
      </c>
      <c r="Q77">
        <v>0</v>
      </c>
      <c r="R77">
        <v>0</v>
      </c>
      <c r="S77">
        <v>200412</v>
      </c>
      <c r="T77">
        <v>6</v>
      </c>
      <c r="U77">
        <v>6</v>
      </c>
      <c r="V77">
        <v>1</v>
      </c>
      <c r="W77">
        <v>1</v>
      </c>
      <c r="X77" t="s">
        <v>40</v>
      </c>
      <c r="Y77">
        <v>3</v>
      </c>
      <c r="Z77">
        <v>5024</v>
      </c>
      <c r="AA77">
        <v>1</v>
      </c>
      <c r="AB77">
        <v>0</v>
      </c>
      <c r="AC77">
        <v>46.15</v>
      </c>
      <c r="AD77">
        <v>5059</v>
      </c>
      <c r="AH77">
        <v>0</v>
      </c>
      <c r="AI77">
        <v>0</v>
      </c>
      <c r="AL77" t="s">
        <v>40</v>
      </c>
      <c r="AM77" t="str">
        <f t="shared" si="3"/>
        <v>5024 1</v>
      </c>
      <c r="AN77" t="str">
        <f t="shared" si="4"/>
        <v>405486.814,279449.577</v>
      </c>
      <c r="AO77" t="str">
        <f t="shared" si="5"/>
        <v>405523.843,279471.845</v>
      </c>
      <c r="AQ77" t="s">
        <v>2045</v>
      </c>
      <c r="AR77" t="s">
        <v>2044</v>
      </c>
    </row>
    <row r="78" spans="1:44" x14ac:dyDescent="0.3">
      <c r="A78">
        <v>3869</v>
      </c>
      <c r="B78">
        <v>4</v>
      </c>
      <c r="C78">
        <v>4012283</v>
      </c>
      <c r="D78">
        <v>42746</v>
      </c>
      <c r="E78">
        <v>2</v>
      </c>
      <c r="F78">
        <v>670050</v>
      </c>
      <c r="G78" t="s">
        <v>44</v>
      </c>
      <c r="H78" t="s">
        <v>45</v>
      </c>
      <c r="I78">
        <v>0</v>
      </c>
      <c r="J78" s="1">
        <v>405486.81400000001</v>
      </c>
      <c r="K78" s="1">
        <v>279449.57699999999</v>
      </c>
      <c r="L78" s="1">
        <v>405486.90700000001</v>
      </c>
      <c r="M78" s="1">
        <v>279448.04200000002</v>
      </c>
      <c r="N78" t="s">
        <v>40</v>
      </c>
      <c r="P78" t="s">
        <v>40</v>
      </c>
      <c r="Q78">
        <v>0</v>
      </c>
      <c r="R78">
        <v>0</v>
      </c>
      <c r="S78">
        <v>0</v>
      </c>
      <c r="T78">
        <v>6</v>
      </c>
      <c r="U78">
        <v>6</v>
      </c>
      <c r="V78">
        <v>1</v>
      </c>
      <c r="W78">
        <v>1</v>
      </c>
      <c r="X78" t="s">
        <v>40</v>
      </c>
      <c r="Y78">
        <v>3</v>
      </c>
      <c r="Z78">
        <v>89</v>
      </c>
      <c r="AA78">
        <v>1</v>
      </c>
      <c r="AB78">
        <v>0</v>
      </c>
      <c r="AC78">
        <v>1.5389999999999999</v>
      </c>
      <c r="AD78">
        <v>5059</v>
      </c>
      <c r="AH78">
        <v>0</v>
      </c>
      <c r="AI78">
        <v>0</v>
      </c>
      <c r="AL78" t="s">
        <v>40</v>
      </c>
      <c r="AM78" t="str">
        <f t="shared" si="3"/>
        <v>89 1</v>
      </c>
      <c r="AN78" t="str">
        <f t="shared" si="4"/>
        <v>405486.814,279449.577</v>
      </c>
      <c r="AO78" t="str">
        <f t="shared" si="5"/>
        <v>405486.907,279448.042</v>
      </c>
      <c r="AQ78" t="s">
        <v>2045</v>
      </c>
      <c r="AR78" t="s">
        <v>670</v>
      </c>
    </row>
    <row r="79" spans="1:44" x14ac:dyDescent="0.3">
      <c r="A79">
        <v>3869</v>
      </c>
      <c r="B79">
        <v>4</v>
      </c>
      <c r="C79">
        <v>4012266</v>
      </c>
      <c r="D79">
        <v>42745</v>
      </c>
      <c r="E79">
        <v>2</v>
      </c>
      <c r="F79">
        <v>670050</v>
      </c>
      <c r="G79" t="s">
        <v>44</v>
      </c>
      <c r="H79" t="s">
        <v>45</v>
      </c>
      <c r="I79">
        <v>0</v>
      </c>
      <c r="J79" s="1">
        <v>405487.44900000002</v>
      </c>
      <c r="K79" s="1">
        <v>279452.34700000001</v>
      </c>
      <c r="L79" s="1">
        <v>405487.43099999998</v>
      </c>
      <c r="M79" s="1">
        <v>279448.32900000003</v>
      </c>
      <c r="N79" t="s">
        <v>40</v>
      </c>
      <c r="P79" t="s">
        <v>40</v>
      </c>
      <c r="Q79">
        <v>0</v>
      </c>
      <c r="R79">
        <v>0</v>
      </c>
      <c r="S79">
        <v>0</v>
      </c>
      <c r="T79">
        <v>6</v>
      </c>
      <c r="U79">
        <v>6</v>
      </c>
      <c r="V79">
        <v>1</v>
      </c>
      <c r="W79">
        <v>1</v>
      </c>
      <c r="X79" t="s">
        <v>40</v>
      </c>
      <c r="Y79">
        <v>3</v>
      </c>
      <c r="Z79">
        <v>38</v>
      </c>
      <c r="AA79">
        <v>5001</v>
      </c>
      <c r="AB79">
        <v>0</v>
      </c>
      <c r="AC79">
        <v>4.0330000000000004</v>
      </c>
      <c r="AD79">
        <v>5059</v>
      </c>
      <c r="AH79">
        <v>0</v>
      </c>
      <c r="AI79">
        <v>0</v>
      </c>
      <c r="AL79" t="s">
        <v>40</v>
      </c>
      <c r="AM79" t="str">
        <f t="shared" si="3"/>
        <v>38 5001</v>
      </c>
      <c r="AN79" t="str">
        <f t="shared" si="4"/>
        <v>405487.449,279452.347</v>
      </c>
      <c r="AO79" t="str">
        <f t="shared" si="5"/>
        <v>405487.431,279448.329</v>
      </c>
      <c r="AQ79" t="s">
        <v>2042</v>
      </c>
      <c r="AR79" t="s">
        <v>669</v>
      </c>
    </row>
    <row r="80" spans="1:44" x14ac:dyDescent="0.3">
      <c r="A80">
        <v>3869</v>
      </c>
      <c r="B80">
        <v>4</v>
      </c>
      <c r="C80">
        <v>4012250</v>
      </c>
      <c r="D80">
        <v>11506</v>
      </c>
      <c r="E80">
        <v>2</v>
      </c>
      <c r="F80">
        <v>670050</v>
      </c>
      <c r="G80" t="s">
        <v>44</v>
      </c>
      <c r="H80" t="s">
        <v>45</v>
      </c>
      <c r="I80">
        <v>0</v>
      </c>
      <c r="J80" s="1">
        <v>405558.14899999998</v>
      </c>
      <c r="K80" s="1">
        <v>279516.91399999999</v>
      </c>
      <c r="L80" s="1">
        <v>405557.43400000001</v>
      </c>
      <c r="M80" s="1">
        <v>279511.95199999999</v>
      </c>
      <c r="N80" t="s">
        <v>40</v>
      </c>
      <c r="P80" t="s">
        <v>40</v>
      </c>
      <c r="Q80">
        <v>0</v>
      </c>
      <c r="R80">
        <v>0</v>
      </c>
      <c r="S80">
        <v>200601</v>
      </c>
      <c r="T80">
        <v>6</v>
      </c>
      <c r="U80">
        <v>6</v>
      </c>
      <c r="V80">
        <v>1</v>
      </c>
      <c r="W80">
        <v>1</v>
      </c>
      <c r="X80" t="s">
        <v>40</v>
      </c>
      <c r="Y80">
        <v>3</v>
      </c>
      <c r="Z80">
        <v>5023</v>
      </c>
      <c r="AA80">
        <v>1</v>
      </c>
      <c r="AB80">
        <v>0</v>
      </c>
      <c r="AC80">
        <v>5.0170000000000003</v>
      </c>
      <c r="AD80">
        <v>5059</v>
      </c>
      <c r="AH80">
        <v>0</v>
      </c>
      <c r="AI80">
        <v>0</v>
      </c>
      <c r="AL80" t="s">
        <v>40</v>
      </c>
      <c r="AM80" t="str">
        <f t="shared" si="3"/>
        <v>5023 1</v>
      </c>
      <c r="AN80" t="str">
        <f t="shared" si="4"/>
        <v>405558.149,279516.914</v>
      </c>
      <c r="AO80" t="str">
        <f t="shared" si="5"/>
        <v>405557.434,279511.952</v>
      </c>
      <c r="AQ80" t="s">
        <v>2026</v>
      </c>
      <c r="AR80" t="s">
        <v>2043</v>
      </c>
    </row>
    <row r="81" spans="1:44" x14ac:dyDescent="0.3">
      <c r="A81">
        <v>3869</v>
      </c>
      <c r="B81">
        <v>4</v>
      </c>
      <c r="C81">
        <v>4012103</v>
      </c>
      <c r="D81">
        <v>10870</v>
      </c>
      <c r="E81">
        <v>2</v>
      </c>
      <c r="F81">
        <v>670050</v>
      </c>
      <c r="G81" t="s">
        <v>44</v>
      </c>
      <c r="H81" t="s">
        <v>45</v>
      </c>
      <c r="I81">
        <v>0</v>
      </c>
      <c r="J81" s="1">
        <v>405494.66100000002</v>
      </c>
      <c r="K81" s="1">
        <v>279935.80699999997</v>
      </c>
      <c r="L81" s="1">
        <v>405513.125</v>
      </c>
      <c r="M81" s="1">
        <v>279851.342</v>
      </c>
      <c r="N81" t="s">
        <v>40</v>
      </c>
      <c r="P81" t="s">
        <v>40</v>
      </c>
      <c r="Q81">
        <v>0</v>
      </c>
      <c r="R81">
        <v>0</v>
      </c>
      <c r="S81">
        <v>0</v>
      </c>
      <c r="T81">
        <v>6</v>
      </c>
      <c r="U81">
        <v>6</v>
      </c>
      <c r="V81">
        <v>1</v>
      </c>
      <c r="W81">
        <v>1</v>
      </c>
      <c r="X81" t="s">
        <v>40</v>
      </c>
      <c r="Y81">
        <v>3</v>
      </c>
      <c r="Z81">
        <v>38</v>
      </c>
      <c r="AA81">
        <v>5001</v>
      </c>
      <c r="AB81">
        <v>0</v>
      </c>
      <c r="AC81">
        <v>105.337</v>
      </c>
      <c r="AD81">
        <v>5059</v>
      </c>
      <c r="AH81">
        <v>0</v>
      </c>
      <c r="AI81">
        <v>0</v>
      </c>
      <c r="AL81" t="s">
        <v>40</v>
      </c>
      <c r="AM81" t="str">
        <f t="shared" si="3"/>
        <v>38 5001</v>
      </c>
      <c r="AN81" t="str">
        <f t="shared" si="4"/>
        <v>405494.661,279935.807</v>
      </c>
      <c r="AO81" t="str">
        <f t="shared" si="5"/>
        <v>405513.125,279851.342</v>
      </c>
      <c r="AQ81" t="s">
        <v>2046</v>
      </c>
      <c r="AR81" t="s">
        <v>2038</v>
      </c>
    </row>
    <row r="82" spans="1:44" x14ac:dyDescent="0.3">
      <c r="A82">
        <v>3869</v>
      </c>
      <c r="B82">
        <v>4</v>
      </c>
      <c r="C82">
        <v>4012160</v>
      </c>
      <c r="D82">
        <v>42698</v>
      </c>
      <c r="E82">
        <v>2</v>
      </c>
      <c r="F82">
        <v>670050</v>
      </c>
      <c r="G82" t="s">
        <v>44</v>
      </c>
      <c r="H82" t="s">
        <v>45</v>
      </c>
      <c r="I82">
        <v>0</v>
      </c>
      <c r="J82" s="1">
        <v>405619.26899999997</v>
      </c>
      <c r="K82" s="1">
        <v>279803.04700000002</v>
      </c>
      <c r="L82" s="1">
        <v>405622.788</v>
      </c>
      <c r="M82" s="1">
        <v>279797.03200000001</v>
      </c>
      <c r="N82" t="s">
        <v>40</v>
      </c>
      <c r="P82" t="s">
        <v>40</v>
      </c>
      <c r="Q82">
        <v>0</v>
      </c>
      <c r="R82">
        <v>0</v>
      </c>
      <c r="S82">
        <v>0</v>
      </c>
      <c r="T82">
        <v>6</v>
      </c>
      <c r="U82">
        <v>6</v>
      </c>
      <c r="V82">
        <v>1</v>
      </c>
      <c r="W82">
        <v>1</v>
      </c>
      <c r="X82" t="s">
        <v>40</v>
      </c>
      <c r="Y82">
        <v>3</v>
      </c>
      <c r="Z82">
        <v>52</v>
      </c>
      <c r="AA82">
        <v>1</v>
      </c>
      <c r="AB82">
        <v>0</v>
      </c>
      <c r="AC82">
        <v>23.323</v>
      </c>
      <c r="AD82">
        <v>5059</v>
      </c>
      <c r="AH82">
        <v>0</v>
      </c>
      <c r="AI82">
        <v>0</v>
      </c>
      <c r="AL82" t="s">
        <v>40</v>
      </c>
      <c r="AM82" t="str">
        <f t="shared" si="3"/>
        <v>52 1</v>
      </c>
      <c r="AN82" s="6" t="s">
        <v>171</v>
      </c>
      <c r="AO82" s="6" t="s">
        <v>907</v>
      </c>
      <c r="AQ82" t="s">
        <v>672</v>
      </c>
      <c r="AR82" t="s">
        <v>2047</v>
      </c>
    </row>
    <row r="83" spans="1:44" x14ac:dyDescent="0.3">
      <c r="A83">
        <v>3869</v>
      </c>
      <c r="B83">
        <v>4</v>
      </c>
      <c r="C83">
        <v>4012177</v>
      </c>
      <c r="D83">
        <v>42699</v>
      </c>
      <c r="E83">
        <v>2</v>
      </c>
      <c r="F83">
        <v>670050</v>
      </c>
      <c r="G83" t="s">
        <v>44</v>
      </c>
      <c r="H83" t="s">
        <v>45</v>
      </c>
      <c r="I83">
        <v>0</v>
      </c>
      <c r="J83" s="1">
        <v>405616.43199999997</v>
      </c>
      <c r="K83" s="1">
        <v>279799.75799999997</v>
      </c>
      <c r="L83" s="1">
        <v>405622.473</v>
      </c>
      <c r="M83" s="1">
        <v>279796.64399999997</v>
      </c>
      <c r="N83" t="s">
        <v>40</v>
      </c>
      <c r="P83" t="s">
        <v>40</v>
      </c>
      <c r="Q83">
        <v>0</v>
      </c>
      <c r="R83">
        <v>0</v>
      </c>
      <c r="S83">
        <v>0</v>
      </c>
      <c r="T83">
        <v>6</v>
      </c>
      <c r="U83">
        <v>6</v>
      </c>
      <c r="V83">
        <v>1</v>
      </c>
      <c r="W83">
        <v>1</v>
      </c>
      <c r="X83" t="s">
        <v>40</v>
      </c>
      <c r="Y83">
        <v>3</v>
      </c>
      <c r="Z83">
        <v>52</v>
      </c>
      <c r="AA83">
        <v>1</v>
      </c>
      <c r="AB83">
        <v>0</v>
      </c>
      <c r="AC83">
        <v>8.3420000000000005</v>
      </c>
      <c r="AD83">
        <v>5059</v>
      </c>
      <c r="AH83">
        <v>0</v>
      </c>
      <c r="AI83">
        <v>0</v>
      </c>
      <c r="AL83" t="s">
        <v>40</v>
      </c>
      <c r="AM83" t="str">
        <f t="shared" si="3"/>
        <v>52 1</v>
      </c>
      <c r="AN83" t="str">
        <f t="shared" si="4"/>
        <v>405616.432,279799.758</v>
      </c>
      <c r="AO83" t="str">
        <f t="shared" si="5"/>
        <v>405622.473,279796.644</v>
      </c>
      <c r="AQ83" t="s">
        <v>2033</v>
      </c>
      <c r="AR83" t="s">
        <v>673</v>
      </c>
    </row>
    <row r="84" spans="1:44" x14ac:dyDescent="0.3">
      <c r="A84">
        <v>3869</v>
      </c>
      <c r="B84">
        <v>4</v>
      </c>
      <c r="C84">
        <v>4012195</v>
      </c>
      <c r="D84">
        <v>11022</v>
      </c>
      <c r="E84">
        <v>2</v>
      </c>
      <c r="F84">
        <v>670050</v>
      </c>
      <c r="G84" t="s">
        <v>44</v>
      </c>
      <c r="H84" t="s">
        <v>45</v>
      </c>
      <c r="I84">
        <v>0</v>
      </c>
      <c r="J84" s="1">
        <v>405558.45799999998</v>
      </c>
      <c r="K84" s="1">
        <v>279627.53899999999</v>
      </c>
      <c r="L84" s="1">
        <v>405539.00099999999</v>
      </c>
      <c r="M84" s="1">
        <v>279766.47899999999</v>
      </c>
      <c r="N84" t="s">
        <v>40</v>
      </c>
      <c r="P84" t="s">
        <v>40</v>
      </c>
      <c r="Q84">
        <v>0</v>
      </c>
      <c r="R84">
        <v>0</v>
      </c>
      <c r="S84">
        <v>0</v>
      </c>
      <c r="T84">
        <v>6</v>
      </c>
      <c r="U84">
        <v>6</v>
      </c>
      <c r="V84">
        <v>1</v>
      </c>
      <c r="W84">
        <v>1</v>
      </c>
      <c r="X84" t="s">
        <v>40</v>
      </c>
      <c r="Y84">
        <v>3</v>
      </c>
      <c r="Z84">
        <v>89</v>
      </c>
      <c r="AA84">
        <v>1</v>
      </c>
      <c r="AB84">
        <v>0</v>
      </c>
      <c r="AC84">
        <v>203.624</v>
      </c>
      <c r="AD84">
        <v>5059</v>
      </c>
      <c r="AH84">
        <v>0</v>
      </c>
      <c r="AI84">
        <v>0</v>
      </c>
      <c r="AL84" t="s">
        <v>40</v>
      </c>
      <c r="AM84" t="str">
        <f t="shared" si="3"/>
        <v>89 1</v>
      </c>
      <c r="AN84" s="6" t="s">
        <v>894</v>
      </c>
      <c r="AO84" s="6" t="s">
        <v>1622</v>
      </c>
      <c r="AQ84" t="s">
        <v>2034</v>
      </c>
      <c r="AR84" t="s">
        <v>2048</v>
      </c>
    </row>
    <row r="85" spans="1:44" x14ac:dyDescent="0.3">
      <c r="A85">
        <v>3869</v>
      </c>
      <c r="B85">
        <v>4</v>
      </c>
      <c r="C85">
        <v>4012208</v>
      </c>
      <c r="D85">
        <v>11532</v>
      </c>
      <c r="E85">
        <v>2</v>
      </c>
      <c r="F85">
        <v>670050</v>
      </c>
      <c r="G85" t="s">
        <v>44</v>
      </c>
      <c r="H85" t="s">
        <v>45</v>
      </c>
      <c r="I85">
        <v>0</v>
      </c>
      <c r="J85" s="1">
        <v>405577.72600000002</v>
      </c>
      <c r="K85" s="1">
        <v>279531.43599999999</v>
      </c>
      <c r="L85" s="1">
        <v>405564.02399999998</v>
      </c>
      <c r="M85" s="1">
        <v>279564.973</v>
      </c>
      <c r="N85" t="s">
        <v>40</v>
      </c>
      <c r="P85" t="s">
        <v>40</v>
      </c>
      <c r="Q85">
        <v>0</v>
      </c>
      <c r="R85">
        <v>0</v>
      </c>
      <c r="S85">
        <v>0</v>
      </c>
      <c r="T85">
        <v>6</v>
      </c>
      <c r="U85">
        <v>6</v>
      </c>
      <c r="V85">
        <v>1</v>
      </c>
      <c r="W85">
        <v>1</v>
      </c>
      <c r="X85" t="s">
        <v>40</v>
      </c>
      <c r="Y85">
        <v>3</v>
      </c>
      <c r="Z85">
        <v>38</v>
      </c>
      <c r="AA85">
        <v>5001</v>
      </c>
      <c r="AB85">
        <v>0</v>
      </c>
      <c r="AC85">
        <v>53.662000000000006</v>
      </c>
      <c r="AD85">
        <v>5059</v>
      </c>
      <c r="AH85">
        <v>0</v>
      </c>
      <c r="AI85">
        <v>0</v>
      </c>
      <c r="AL85" t="s">
        <v>40</v>
      </c>
      <c r="AM85" t="str">
        <f t="shared" si="3"/>
        <v>38 5001</v>
      </c>
      <c r="AN85" s="6" t="s">
        <v>1622</v>
      </c>
      <c r="AO85" s="6" t="s">
        <v>906</v>
      </c>
      <c r="AQ85" t="s">
        <v>2048</v>
      </c>
      <c r="AR85" t="s">
        <v>2049</v>
      </c>
    </row>
    <row r="86" spans="1:44" x14ac:dyDescent="0.3">
      <c r="A86">
        <v>3869</v>
      </c>
      <c r="B86">
        <v>6</v>
      </c>
      <c r="C86">
        <v>4012586</v>
      </c>
      <c r="D86">
        <v>62065</v>
      </c>
      <c r="E86">
        <v>2</v>
      </c>
      <c r="F86">
        <v>670050</v>
      </c>
      <c r="G86" t="s">
        <v>44</v>
      </c>
      <c r="H86" t="s">
        <v>45</v>
      </c>
      <c r="I86">
        <v>0</v>
      </c>
      <c r="J86" s="1">
        <v>405557.73599999998</v>
      </c>
      <c r="K86" s="1">
        <v>279770.17499999999</v>
      </c>
      <c r="L86" s="1">
        <v>405561.41899999999</v>
      </c>
      <c r="M86" s="1">
        <v>279770.516</v>
      </c>
      <c r="N86" t="s">
        <v>40</v>
      </c>
      <c r="P86" t="s">
        <v>40</v>
      </c>
      <c r="Q86">
        <v>0</v>
      </c>
      <c r="R86">
        <v>0</v>
      </c>
      <c r="S86">
        <v>201210</v>
      </c>
      <c r="T86">
        <v>6</v>
      </c>
      <c r="U86">
        <v>6</v>
      </c>
      <c r="V86">
        <v>1</v>
      </c>
      <c r="W86">
        <v>1</v>
      </c>
      <c r="X86" t="s">
        <v>40</v>
      </c>
      <c r="Y86">
        <v>3</v>
      </c>
      <c r="Z86">
        <v>5023</v>
      </c>
      <c r="AA86">
        <v>1</v>
      </c>
      <c r="AB86">
        <v>0</v>
      </c>
      <c r="AC86">
        <v>3.7160000000000002</v>
      </c>
      <c r="AD86">
        <v>8075</v>
      </c>
      <c r="AE86" t="s">
        <v>46</v>
      </c>
      <c r="AH86">
        <v>0</v>
      </c>
      <c r="AI86">
        <v>2</v>
      </c>
      <c r="AL86" t="s">
        <v>40</v>
      </c>
      <c r="AM86" t="str">
        <f t="shared" si="3"/>
        <v>5023 1</v>
      </c>
      <c r="AN86" t="str">
        <f t="shared" si="4"/>
        <v>405557.736,279770.175</v>
      </c>
      <c r="AO86" t="str">
        <f t="shared" si="5"/>
        <v>405561.419,279770.516</v>
      </c>
      <c r="AQ86" t="s">
        <v>2035</v>
      </c>
      <c r="AR86" t="s">
        <v>2032</v>
      </c>
    </row>
    <row r="87" spans="1:44" x14ac:dyDescent="0.3">
      <c r="A87">
        <v>3869</v>
      </c>
      <c r="B87">
        <v>4</v>
      </c>
      <c r="C87">
        <v>4012219</v>
      </c>
      <c r="D87">
        <v>42720</v>
      </c>
      <c r="E87">
        <v>2</v>
      </c>
      <c r="F87">
        <v>670050</v>
      </c>
      <c r="G87" t="s">
        <v>44</v>
      </c>
      <c r="H87" t="s">
        <v>45</v>
      </c>
      <c r="I87">
        <v>0</v>
      </c>
      <c r="J87" s="1">
        <v>405583.67099999997</v>
      </c>
      <c r="K87" s="1">
        <v>279536.348</v>
      </c>
      <c r="L87" s="1">
        <v>405585.13500000001</v>
      </c>
      <c r="M87" s="1">
        <v>279536.49400000001</v>
      </c>
      <c r="N87" t="s">
        <v>40</v>
      </c>
      <c r="P87" t="s">
        <v>40</v>
      </c>
      <c r="Q87">
        <v>0</v>
      </c>
      <c r="R87">
        <v>0</v>
      </c>
      <c r="S87">
        <v>0</v>
      </c>
      <c r="T87">
        <v>6</v>
      </c>
      <c r="U87">
        <v>6</v>
      </c>
      <c r="V87">
        <v>1</v>
      </c>
      <c r="W87">
        <v>1</v>
      </c>
      <c r="X87" t="s">
        <v>40</v>
      </c>
      <c r="Y87">
        <v>3</v>
      </c>
      <c r="Z87">
        <v>89</v>
      </c>
      <c r="AA87">
        <v>1</v>
      </c>
      <c r="AB87">
        <v>0</v>
      </c>
      <c r="AC87">
        <v>1.4710000000000001</v>
      </c>
      <c r="AD87">
        <v>5059</v>
      </c>
      <c r="AH87">
        <v>0</v>
      </c>
      <c r="AI87">
        <v>0</v>
      </c>
      <c r="AL87" t="s">
        <v>40</v>
      </c>
      <c r="AM87" t="str">
        <f t="shared" si="3"/>
        <v>89 1</v>
      </c>
      <c r="AN87" t="str">
        <f t="shared" si="4"/>
        <v>405583.671,279536.348</v>
      </c>
      <c r="AO87" t="str">
        <f t="shared" si="5"/>
        <v>405585.135,279536.494</v>
      </c>
      <c r="AQ87" t="s">
        <v>2049</v>
      </c>
      <c r="AR87" t="s">
        <v>667</v>
      </c>
    </row>
    <row r="88" spans="1:44" x14ac:dyDescent="0.3">
      <c r="A88">
        <v>3869</v>
      </c>
      <c r="B88">
        <v>4</v>
      </c>
      <c r="C88">
        <v>4012127</v>
      </c>
      <c r="D88">
        <v>42673</v>
      </c>
      <c r="E88">
        <v>2</v>
      </c>
      <c r="F88">
        <v>670050</v>
      </c>
      <c r="G88" t="s">
        <v>44</v>
      </c>
      <c r="H88" t="s">
        <v>45</v>
      </c>
      <c r="I88">
        <v>0</v>
      </c>
      <c r="J88" s="1">
        <v>405628.93199999997</v>
      </c>
      <c r="K88" s="1">
        <v>279813.89</v>
      </c>
      <c r="L88" s="1">
        <v>405633.64899999998</v>
      </c>
      <c r="M88" s="1">
        <v>279844</v>
      </c>
      <c r="N88" t="s">
        <v>40</v>
      </c>
      <c r="P88" t="s">
        <v>40</v>
      </c>
      <c r="Q88">
        <v>0</v>
      </c>
      <c r="R88">
        <v>0</v>
      </c>
      <c r="S88">
        <v>0</v>
      </c>
      <c r="T88">
        <v>6</v>
      </c>
      <c r="U88">
        <v>6</v>
      </c>
      <c r="V88">
        <v>1</v>
      </c>
      <c r="W88">
        <v>1</v>
      </c>
      <c r="X88" t="s">
        <v>40</v>
      </c>
      <c r="Y88">
        <v>3</v>
      </c>
      <c r="Z88">
        <v>38</v>
      </c>
      <c r="AA88">
        <v>5001</v>
      </c>
      <c r="AB88">
        <v>0</v>
      </c>
      <c r="AC88">
        <v>37.976999999999997</v>
      </c>
      <c r="AD88">
        <v>5059</v>
      </c>
      <c r="AH88">
        <v>0</v>
      </c>
      <c r="AI88">
        <v>0</v>
      </c>
      <c r="AL88" t="s">
        <v>40</v>
      </c>
      <c r="AM88" t="str">
        <f t="shared" si="3"/>
        <v>38 5001</v>
      </c>
      <c r="AN88" t="str">
        <f t="shared" si="4"/>
        <v>405628.932,279813.89</v>
      </c>
      <c r="AO88" t="str">
        <f t="shared" si="5"/>
        <v>405633.649,279844</v>
      </c>
      <c r="AQ88" t="s">
        <v>2037</v>
      </c>
      <c r="AR88" t="s">
        <v>671</v>
      </c>
    </row>
    <row r="89" spans="1:44" x14ac:dyDescent="0.3">
      <c r="A89">
        <v>3869</v>
      </c>
      <c r="B89">
        <v>4</v>
      </c>
      <c r="C89">
        <v>4024186</v>
      </c>
      <c r="D89">
        <v>23019</v>
      </c>
      <c r="E89">
        <v>2</v>
      </c>
      <c r="F89">
        <v>670050</v>
      </c>
      <c r="G89" t="s">
        <v>44</v>
      </c>
      <c r="H89" t="s">
        <v>43</v>
      </c>
      <c r="I89">
        <v>0</v>
      </c>
      <c r="J89" s="1">
        <v>405193.397</v>
      </c>
      <c r="K89" s="1">
        <v>280980.658</v>
      </c>
      <c r="L89" s="1">
        <v>405149.37400000001</v>
      </c>
      <c r="M89" s="1">
        <v>280982.43</v>
      </c>
      <c r="N89" t="s">
        <v>40</v>
      </c>
      <c r="P89" t="s">
        <v>40</v>
      </c>
      <c r="Q89">
        <v>0</v>
      </c>
      <c r="R89">
        <v>0</v>
      </c>
      <c r="S89">
        <v>0</v>
      </c>
      <c r="T89">
        <v>6</v>
      </c>
      <c r="U89">
        <v>6</v>
      </c>
      <c r="V89">
        <v>1</v>
      </c>
      <c r="W89">
        <v>1</v>
      </c>
      <c r="X89" t="s">
        <v>40</v>
      </c>
      <c r="Y89">
        <v>3</v>
      </c>
      <c r="Z89">
        <v>89</v>
      </c>
      <c r="AA89">
        <v>99</v>
      </c>
      <c r="AB89">
        <v>0</v>
      </c>
      <c r="AC89">
        <v>45.320999999999998</v>
      </c>
      <c r="AD89">
        <v>5059</v>
      </c>
      <c r="AH89">
        <v>0</v>
      </c>
      <c r="AI89">
        <v>0</v>
      </c>
      <c r="AL89" t="s">
        <v>40</v>
      </c>
      <c r="AM89" t="str">
        <f t="shared" si="3"/>
        <v>89 99</v>
      </c>
      <c r="AN89" t="str">
        <f t="shared" si="4"/>
        <v>405193.397,280980.658</v>
      </c>
      <c r="AO89" t="str">
        <f t="shared" si="5"/>
        <v>405149.374,280982.43</v>
      </c>
      <c r="AQ89" t="s">
        <v>2050</v>
      </c>
      <c r="AR89" t="s">
        <v>2051</v>
      </c>
    </row>
    <row r="90" spans="1:44" x14ac:dyDescent="0.3">
      <c r="A90">
        <v>3869</v>
      </c>
      <c r="B90">
        <v>4</v>
      </c>
      <c r="C90">
        <v>4012102</v>
      </c>
      <c r="D90">
        <v>10868</v>
      </c>
      <c r="E90">
        <v>2</v>
      </c>
      <c r="F90">
        <v>670050</v>
      </c>
      <c r="G90" t="s">
        <v>44</v>
      </c>
      <c r="H90" t="s">
        <v>45</v>
      </c>
      <c r="I90">
        <v>0</v>
      </c>
      <c r="J90" s="1">
        <v>405494.66100000002</v>
      </c>
      <c r="K90" s="1">
        <v>279935.80699999997</v>
      </c>
      <c r="L90" s="1">
        <v>405454.90100000001</v>
      </c>
      <c r="M90" s="1">
        <v>279922.576</v>
      </c>
      <c r="N90" t="s">
        <v>40</v>
      </c>
      <c r="P90" t="s">
        <v>40</v>
      </c>
      <c r="Q90">
        <v>0</v>
      </c>
      <c r="R90">
        <v>0</v>
      </c>
      <c r="S90">
        <v>0</v>
      </c>
      <c r="T90">
        <v>6</v>
      </c>
      <c r="U90">
        <v>6</v>
      </c>
      <c r="V90">
        <v>1</v>
      </c>
      <c r="W90">
        <v>1</v>
      </c>
      <c r="X90" t="s">
        <v>40</v>
      </c>
      <c r="Y90">
        <v>3</v>
      </c>
      <c r="Z90">
        <v>89</v>
      </c>
      <c r="AA90">
        <v>1</v>
      </c>
      <c r="AB90">
        <v>0</v>
      </c>
      <c r="AC90">
        <v>43.308999999999997</v>
      </c>
      <c r="AD90">
        <v>5059</v>
      </c>
      <c r="AH90">
        <v>0</v>
      </c>
      <c r="AI90">
        <v>0</v>
      </c>
      <c r="AL90" t="s">
        <v>40</v>
      </c>
      <c r="AM90" t="str">
        <f t="shared" si="3"/>
        <v>89 1</v>
      </c>
      <c r="AN90" t="str">
        <f t="shared" si="4"/>
        <v>405494.661,279935.807</v>
      </c>
      <c r="AO90" t="str">
        <f t="shared" si="5"/>
        <v>405454.901,279922.576</v>
      </c>
      <c r="AQ90" t="s">
        <v>2046</v>
      </c>
      <c r="AR90" t="s">
        <v>2052</v>
      </c>
    </row>
    <row r="91" spans="1:44" x14ac:dyDescent="0.3">
      <c r="A91">
        <v>3869</v>
      </c>
      <c r="B91">
        <v>4</v>
      </c>
      <c r="C91">
        <v>4012090</v>
      </c>
      <c r="D91">
        <v>10865</v>
      </c>
      <c r="E91">
        <v>2</v>
      </c>
      <c r="F91">
        <v>670050</v>
      </c>
      <c r="G91" t="s">
        <v>44</v>
      </c>
      <c r="H91" t="s">
        <v>45</v>
      </c>
      <c r="I91">
        <v>0</v>
      </c>
      <c r="J91" s="1">
        <v>405454.90100000001</v>
      </c>
      <c r="K91" s="1">
        <v>279922.576</v>
      </c>
      <c r="L91" s="1">
        <v>405449.12300000002</v>
      </c>
      <c r="M91" s="1">
        <v>279926.37800000003</v>
      </c>
      <c r="N91" t="s">
        <v>40</v>
      </c>
      <c r="P91" t="s">
        <v>40</v>
      </c>
      <c r="Q91">
        <v>0</v>
      </c>
      <c r="R91">
        <v>0</v>
      </c>
      <c r="S91">
        <v>0</v>
      </c>
      <c r="T91">
        <v>6</v>
      </c>
      <c r="U91">
        <v>6</v>
      </c>
      <c r="V91">
        <v>1</v>
      </c>
      <c r="W91">
        <v>1</v>
      </c>
      <c r="X91" t="s">
        <v>40</v>
      </c>
      <c r="Y91">
        <v>3</v>
      </c>
      <c r="Z91">
        <v>90</v>
      </c>
      <c r="AA91">
        <v>1</v>
      </c>
      <c r="AB91">
        <v>0</v>
      </c>
      <c r="AC91">
        <v>8.5180000000000007</v>
      </c>
      <c r="AD91">
        <v>5059</v>
      </c>
      <c r="AH91">
        <v>0</v>
      </c>
      <c r="AI91">
        <v>0</v>
      </c>
      <c r="AL91" t="s">
        <v>40</v>
      </c>
      <c r="AM91" t="str">
        <f t="shared" si="3"/>
        <v>90 1</v>
      </c>
      <c r="AN91" t="str">
        <f t="shared" si="4"/>
        <v>405454.901,279922.576</v>
      </c>
      <c r="AO91" t="str">
        <f t="shared" si="5"/>
        <v>405449.123,279926.378</v>
      </c>
      <c r="AQ91" t="s">
        <v>2052</v>
      </c>
      <c r="AR91" t="s">
        <v>668</v>
      </c>
    </row>
    <row r="92" spans="1:44" x14ac:dyDescent="0.3">
      <c r="A92">
        <v>3869</v>
      </c>
      <c r="B92">
        <v>4</v>
      </c>
      <c r="C92">
        <v>4012069</v>
      </c>
      <c r="D92">
        <v>10867</v>
      </c>
      <c r="E92">
        <v>2</v>
      </c>
      <c r="F92">
        <v>670050</v>
      </c>
      <c r="G92" t="s">
        <v>44</v>
      </c>
      <c r="H92" t="s">
        <v>45</v>
      </c>
      <c r="I92">
        <v>0</v>
      </c>
      <c r="J92" s="1">
        <v>405449.77500000002</v>
      </c>
      <c r="K92" s="1">
        <v>279926.842</v>
      </c>
      <c r="L92" s="1">
        <v>405459.88400000002</v>
      </c>
      <c r="M92" s="1">
        <v>279932.39799999999</v>
      </c>
      <c r="N92" t="s">
        <v>40</v>
      </c>
      <c r="P92" t="s">
        <v>40</v>
      </c>
      <c r="Q92">
        <v>0</v>
      </c>
      <c r="R92">
        <v>0</v>
      </c>
      <c r="S92">
        <v>0</v>
      </c>
      <c r="T92">
        <v>6</v>
      </c>
      <c r="U92">
        <v>6</v>
      </c>
      <c r="V92">
        <v>1</v>
      </c>
      <c r="W92">
        <v>1</v>
      </c>
      <c r="X92" t="s">
        <v>40</v>
      </c>
      <c r="Y92">
        <v>3</v>
      </c>
      <c r="Z92">
        <v>89</v>
      </c>
      <c r="AA92">
        <v>1</v>
      </c>
      <c r="AB92">
        <v>0</v>
      </c>
      <c r="AC92">
        <v>53.305000000000007</v>
      </c>
      <c r="AD92">
        <v>5059</v>
      </c>
      <c r="AH92">
        <v>0</v>
      </c>
      <c r="AI92">
        <v>0</v>
      </c>
      <c r="AL92" t="s">
        <v>40</v>
      </c>
      <c r="AM92" t="str">
        <f t="shared" si="3"/>
        <v>89 1</v>
      </c>
      <c r="AN92" s="6" t="s">
        <v>912</v>
      </c>
      <c r="AO92" s="6" t="s">
        <v>161</v>
      </c>
      <c r="AQ92" t="s">
        <v>2053</v>
      </c>
      <c r="AR92" t="s">
        <v>669</v>
      </c>
    </row>
    <row r="93" spans="1:44" x14ac:dyDescent="0.3">
      <c r="A93">
        <v>3869</v>
      </c>
      <c r="B93">
        <v>4</v>
      </c>
      <c r="C93">
        <v>4012057</v>
      </c>
      <c r="D93">
        <v>10887</v>
      </c>
      <c r="E93">
        <v>2</v>
      </c>
      <c r="F93">
        <v>670050</v>
      </c>
      <c r="G93" t="s">
        <v>44</v>
      </c>
      <c r="H93" t="s">
        <v>45</v>
      </c>
      <c r="I93">
        <v>0</v>
      </c>
      <c r="J93" s="1">
        <v>405495.02600000001</v>
      </c>
      <c r="K93" s="1">
        <v>279949.06699999998</v>
      </c>
      <c r="L93" s="1">
        <v>405498.32900000003</v>
      </c>
      <c r="M93" s="1">
        <v>279988.17</v>
      </c>
      <c r="N93" t="s">
        <v>40</v>
      </c>
      <c r="P93" t="s">
        <v>40</v>
      </c>
      <c r="Q93">
        <v>0</v>
      </c>
      <c r="R93">
        <v>0</v>
      </c>
      <c r="S93">
        <v>0</v>
      </c>
      <c r="T93">
        <v>6</v>
      </c>
      <c r="U93">
        <v>6</v>
      </c>
      <c r="V93">
        <v>1</v>
      </c>
      <c r="W93">
        <v>1</v>
      </c>
      <c r="X93" t="s">
        <v>40</v>
      </c>
      <c r="Y93">
        <v>3</v>
      </c>
      <c r="Z93">
        <v>38</v>
      </c>
      <c r="AA93">
        <v>1</v>
      </c>
      <c r="AB93">
        <v>0</v>
      </c>
      <c r="AC93">
        <v>40.235999999999997</v>
      </c>
      <c r="AD93">
        <v>5059</v>
      </c>
      <c r="AH93">
        <v>0</v>
      </c>
      <c r="AI93">
        <v>0</v>
      </c>
      <c r="AL93" t="s">
        <v>40</v>
      </c>
      <c r="AM93" t="str">
        <f t="shared" si="3"/>
        <v>38 1</v>
      </c>
      <c r="AN93" t="str">
        <f t="shared" si="4"/>
        <v>405495.026,279949.067</v>
      </c>
      <c r="AO93" t="str">
        <f t="shared" si="5"/>
        <v>405498.329,279988.17</v>
      </c>
      <c r="AQ93" t="s">
        <v>2053</v>
      </c>
      <c r="AR93" t="s">
        <v>2025</v>
      </c>
    </row>
    <row r="94" spans="1:44" x14ac:dyDescent="0.3">
      <c r="A94">
        <v>3869</v>
      </c>
      <c r="B94">
        <v>4</v>
      </c>
      <c r="C94">
        <v>4024229</v>
      </c>
      <c r="D94">
        <v>21986</v>
      </c>
      <c r="E94">
        <v>2</v>
      </c>
      <c r="F94">
        <v>670050</v>
      </c>
      <c r="G94" t="s">
        <v>44</v>
      </c>
      <c r="H94" t="s">
        <v>43</v>
      </c>
      <c r="I94">
        <v>0</v>
      </c>
      <c r="J94" s="1">
        <v>405330.946</v>
      </c>
      <c r="K94" s="1">
        <v>280615.5</v>
      </c>
      <c r="L94" s="1">
        <v>405343.19699999999</v>
      </c>
      <c r="M94" s="1">
        <v>280601.42599999998</v>
      </c>
      <c r="N94" t="s">
        <v>40</v>
      </c>
      <c r="P94" t="s">
        <v>40</v>
      </c>
      <c r="Q94">
        <v>0</v>
      </c>
      <c r="R94">
        <v>0</v>
      </c>
      <c r="S94">
        <v>0</v>
      </c>
      <c r="T94">
        <v>6</v>
      </c>
      <c r="U94">
        <v>6</v>
      </c>
      <c r="V94">
        <v>1</v>
      </c>
      <c r="W94">
        <v>1</v>
      </c>
      <c r="X94" t="s">
        <v>40</v>
      </c>
      <c r="Y94">
        <v>3</v>
      </c>
      <c r="Z94">
        <v>38</v>
      </c>
      <c r="AA94">
        <v>1</v>
      </c>
      <c r="AB94">
        <v>0</v>
      </c>
      <c r="AC94">
        <v>24.933</v>
      </c>
      <c r="AD94">
        <v>5059</v>
      </c>
      <c r="AH94">
        <v>0</v>
      </c>
      <c r="AI94">
        <v>0</v>
      </c>
      <c r="AL94" t="s">
        <v>40</v>
      </c>
      <c r="AM94" t="str">
        <f t="shared" si="3"/>
        <v>38 1</v>
      </c>
      <c r="AN94" t="str">
        <f t="shared" si="4"/>
        <v>405330.946,280615.5</v>
      </c>
      <c r="AO94" t="str">
        <f t="shared" si="5"/>
        <v>405343.197,280601.426</v>
      </c>
      <c r="AQ94" t="s">
        <v>2054</v>
      </c>
      <c r="AR94" t="s">
        <v>2030</v>
      </c>
    </row>
    <row r="95" spans="1:44" x14ac:dyDescent="0.3">
      <c r="A95">
        <v>3869</v>
      </c>
      <c r="B95">
        <v>4</v>
      </c>
      <c r="C95">
        <v>4024216</v>
      </c>
      <c r="D95">
        <v>21997</v>
      </c>
      <c r="E95">
        <v>2</v>
      </c>
      <c r="F95">
        <v>670050</v>
      </c>
      <c r="G95" t="s">
        <v>44</v>
      </c>
      <c r="H95" t="s">
        <v>43</v>
      </c>
      <c r="I95">
        <v>0</v>
      </c>
      <c r="J95" s="1">
        <v>405327.06900000002</v>
      </c>
      <c r="K95" s="1">
        <v>280637.63</v>
      </c>
      <c r="L95" s="1">
        <v>405330.946</v>
      </c>
      <c r="M95" s="1">
        <v>280615.5</v>
      </c>
      <c r="N95" t="s">
        <v>40</v>
      </c>
      <c r="P95" t="s">
        <v>40</v>
      </c>
      <c r="Q95">
        <v>0</v>
      </c>
      <c r="R95">
        <v>0</v>
      </c>
      <c r="S95">
        <v>0</v>
      </c>
      <c r="T95">
        <v>6</v>
      </c>
      <c r="U95">
        <v>6</v>
      </c>
      <c r="V95">
        <v>1</v>
      </c>
      <c r="W95">
        <v>1</v>
      </c>
      <c r="X95" t="s">
        <v>40</v>
      </c>
      <c r="Y95">
        <v>3</v>
      </c>
      <c r="Z95">
        <v>89</v>
      </c>
      <c r="AA95">
        <v>1</v>
      </c>
      <c r="AB95">
        <v>0</v>
      </c>
      <c r="AC95">
        <v>474.76400000000001</v>
      </c>
      <c r="AD95">
        <v>5059</v>
      </c>
      <c r="AH95">
        <v>0</v>
      </c>
      <c r="AI95">
        <v>0</v>
      </c>
      <c r="AL95" t="s">
        <v>40</v>
      </c>
      <c r="AM95" t="str">
        <f t="shared" si="3"/>
        <v>89 1</v>
      </c>
      <c r="AN95" s="6" t="s">
        <v>914</v>
      </c>
      <c r="AO95" s="6" t="s">
        <v>910</v>
      </c>
      <c r="AQ95" t="s">
        <v>2054</v>
      </c>
      <c r="AR95" t="s">
        <v>2050</v>
      </c>
    </row>
    <row r="96" spans="1:44" x14ac:dyDescent="0.3">
      <c r="A96">
        <v>3869</v>
      </c>
      <c r="B96">
        <v>4</v>
      </c>
      <c r="C96">
        <v>4024279</v>
      </c>
      <c r="D96">
        <v>112704</v>
      </c>
      <c r="E96">
        <v>2</v>
      </c>
      <c r="F96">
        <v>670050</v>
      </c>
      <c r="G96" t="s">
        <v>44</v>
      </c>
      <c r="H96" t="s">
        <v>43</v>
      </c>
      <c r="I96">
        <v>0</v>
      </c>
      <c r="J96" s="1">
        <v>405491.82500000001</v>
      </c>
      <c r="K96" s="1">
        <v>280152.32500000001</v>
      </c>
      <c r="L96" s="1">
        <v>405485.29</v>
      </c>
      <c r="M96" s="1">
        <v>280147.45899999997</v>
      </c>
      <c r="N96" t="s">
        <v>40</v>
      </c>
      <c r="P96" t="s">
        <v>40</v>
      </c>
      <c r="Q96">
        <v>0</v>
      </c>
      <c r="R96">
        <v>0</v>
      </c>
      <c r="S96">
        <v>0</v>
      </c>
      <c r="T96">
        <v>6</v>
      </c>
      <c r="U96">
        <v>6</v>
      </c>
      <c r="V96">
        <v>1</v>
      </c>
      <c r="W96">
        <v>1</v>
      </c>
      <c r="X96" t="s">
        <v>40</v>
      </c>
      <c r="Y96">
        <v>3</v>
      </c>
      <c r="Z96">
        <v>36</v>
      </c>
      <c r="AA96">
        <v>5001</v>
      </c>
      <c r="AB96">
        <v>0</v>
      </c>
      <c r="AC96">
        <v>10.742000000000001</v>
      </c>
      <c r="AD96">
        <v>5059</v>
      </c>
      <c r="AH96">
        <v>0</v>
      </c>
      <c r="AI96">
        <v>0</v>
      </c>
      <c r="AL96" t="s">
        <v>40</v>
      </c>
      <c r="AM96" t="str">
        <f t="shared" si="3"/>
        <v>36 5001</v>
      </c>
      <c r="AN96" t="str">
        <f t="shared" si="4"/>
        <v>405491.825,280152.325</v>
      </c>
      <c r="AO96" t="str">
        <f t="shared" si="5"/>
        <v>405485.29,280147.459</v>
      </c>
      <c r="AQ96" t="s">
        <v>2031</v>
      </c>
      <c r="AR96" t="s">
        <v>674</v>
      </c>
    </row>
    <row r="97" spans="1:44" x14ac:dyDescent="0.3">
      <c r="A97">
        <v>3869</v>
      </c>
      <c r="B97">
        <v>4</v>
      </c>
      <c r="C97">
        <v>4012144</v>
      </c>
      <c r="D97">
        <v>42674</v>
      </c>
      <c r="E97">
        <v>2</v>
      </c>
      <c r="F97">
        <v>670050</v>
      </c>
      <c r="G97" t="s">
        <v>44</v>
      </c>
      <c r="H97" t="s">
        <v>45</v>
      </c>
      <c r="I97">
        <v>0</v>
      </c>
      <c r="J97" s="1">
        <v>405629.50300000003</v>
      </c>
      <c r="K97" s="1">
        <v>279814.07799999998</v>
      </c>
      <c r="L97" s="1">
        <v>405634.02899999998</v>
      </c>
      <c r="M97" s="1">
        <v>279844.37599999999</v>
      </c>
      <c r="N97" t="s">
        <v>40</v>
      </c>
      <c r="P97" t="s">
        <v>40</v>
      </c>
      <c r="Q97">
        <v>0</v>
      </c>
      <c r="R97">
        <v>0</v>
      </c>
      <c r="S97">
        <v>0</v>
      </c>
      <c r="T97">
        <v>6</v>
      </c>
      <c r="U97">
        <v>6</v>
      </c>
      <c r="V97">
        <v>1</v>
      </c>
      <c r="W97">
        <v>1</v>
      </c>
      <c r="X97" t="s">
        <v>40</v>
      </c>
      <c r="Y97">
        <v>3</v>
      </c>
      <c r="Z97">
        <v>38</v>
      </c>
      <c r="AA97">
        <v>5001</v>
      </c>
      <c r="AB97">
        <v>0</v>
      </c>
      <c r="AC97">
        <v>38.08</v>
      </c>
      <c r="AD97">
        <v>5059</v>
      </c>
      <c r="AH97">
        <v>0</v>
      </c>
      <c r="AI97">
        <v>0</v>
      </c>
      <c r="AL97" t="s">
        <v>40</v>
      </c>
      <c r="AM97" t="str">
        <f t="shared" ref="AM97:AM133" si="6">_xlfn.CONCAT(Z97, " ",AA97)</f>
        <v>38 5001</v>
      </c>
      <c r="AN97" t="str">
        <f t="shared" si="4"/>
        <v>405629.503,279814.078</v>
      </c>
      <c r="AO97" t="str">
        <f t="shared" si="5"/>
        <v>405634.029,279844.376</v>
      </c>
      <c r="AQ97" t="s">
        <v>2047</v>
      </c>
      <c r="AR97" t="s">
        <v>671</v>
      </c>
    </row>
    <row r="98" spans="1:44" x14ac:dyDescent="0.3">
      <c r="A98">
        <v>3869</v>
      </c>
      <c r="B98">
        <v>7</v>
      </c>
      <c r="C98">
        <v>4013671</v>
      </c>
      <c r="D98">
        <v>77078</v>
      </c>
      <c r="E98">
        <v>2</v>
      </c>
      <c r="F98">
        <v>670050</v>
      </c>
      <c r="G98" t="s">
        <v>47</v>
      </c>
      <c r="H98" t="s">
        <v>48</v>
      </c>
      <c r="I98">
        <v>0</v>
      </c>
      <c r="J98" s="1">
        <v>406007.75699999998</v>
      </c>
      <c r="K98" s="1">
        <v>282133.59399999998</v>
      </c>
      <c r="L98" s="1">
        <v>406061.74599999998</v>
      </c>
      <c r="M98" s="1">
        <v>282155.424</v>
      </c>
      <c r="N98" t="s">
        <v>40</v>
      </c>
      <c r="P98" t="s">
        <v>40</v>
      </c>
      <c r="Q98">
        <v>0</v>
      </c>
      <c r="R98">
        <v>0</v>
      </c>
      <c r="S98">
        <v>201304</v>
      </c>
      <c r="T98">
        <v>6</v>
      </c>
      <c r="U98">
        <v>6</v>
      </c>
      <c r="V98">
        <v>1</v>
      </c>
      <c r="W98">
        <v>1</v>
      </c>
      <c r="X98" t="s">
        <v>40</v>
      </c>
      <c r="Y98">
        <v>3</v>
      </c>
      <c r="Z98">
        <v>5067</v>
      </c>
      <c r="AA98">
        <v>1</v>
      </c>
      <c r="AB98">
        <v>0</v>
      </c>
      <c r="AC98">
        <v>58.662999999999997</v>
      </c>
      <c r="AD98">
        <v>8022</v>
      </c>
      <c r="AE98" t="s">
        <v>49</v>
      </c>
      <c r="AH98">
        <v>0</v>
      </c>
      <c r="AI98">
        <v>2</v>
      </c>
      <c r="AL98" t="s">
        <v>40</v>
      </c>
      <c r="AM98" t="str">
        <f t="shared" si="6"/>
        <v>5067 1</v>
      </c>
      <c r="AN98" t="str">
        <f t="shared" ref="AN98:AN133" si="7">ROUND(J98,3)&amp;","&amp;ROUND(K98,3)</f>
        <v>406007.757,282133.594</v>
      </c>
      <c r="AO98" t="str">
        <f t="shared" ref="AO98:AO133" si="8">ROUND(L98,3)&amp;","&amp;ROUND(M98,3)</f>
        <v>406061.746,282155.424</v>
      </c>
      <c r="AQ98" t="s">
        <v>2055</v>
      </c>
      <c r="AR98" t="s">
        <v>2056</v>
      </c>
    </row>
    <row r="99" spans="1:44" x14ac:dyDescent="0.3">
      <c r="A99">
        <v>3869</v>
      </c>
      <c r="B99">
        <v>4</v>
      </c>
      <c r="C99">
        <v>4019032</v>
      </c>
      <c r="D99">
        <v>16708</v>
      </c>
      <c r="E99">
        <v>2</v>
      </c>
      <c r="F99">
        <v>670050</v>
      </c>
      <c r="G99" t="s">
        <v>47</v>
      </c>
      <c r="H99" t="s">
        <v>50</v>
      </c>
      <c r="I99">
        <v>0</v>
      </c>
      <c r="J99" s="1">
        <v>407425.10100000002</v>
      </c>
      <c r="K99" s="1">
        <v>282598.47100000002</v>
      </c>
      <c r="L99" s="1">
        <v>407466.32199999999</v>
      </c>
      <c r="M99" s="1">
        <v>282594.95199999999</v>
      </c>
      <c r="N99" t="s">
        <v>40</v>
      </c>
      <c r="P99" t="s">
        <v>40</v>
      </c>
      <c r="Q99">
        <v>0</v>
      </c>
      <c r="R99">
        <v>0</v>
      </c>
      <c r="S99">
        <v>0</v>
      </c>
      <c r="T99">
        <v>6</v>
      </c>
      <c r="U99">
        <v>6</v>
      </c>
      <c r="V99">
        <v>1</v>
      </c>
      <c r="W99">
        <v>1</v>
      </c>
      <c r="X99" t="s">
        <v>40</v>
      </c>
      <c r="Y99">
        <v>3</v>
      </c>
      <c r="Z99">
        <v>90</v>
      </c>
      <c r="AA99">
        <v>1</v>
      </c>
      <c r="AB99">
        <v>0</v>
      </c>
      <c r="AC99">
        <v>43.381999999999998</v>
      </c>
      <c r="AD99">
        <v>5059</v>
      </c>
      <c r="AH99">
        <v>0</v>
      </c>
      <c r="AI99">
        <v>0</v>
      </c>
      <c r="AL99" t="s">
        <v>40</v>
      </c>
      <c r="AM99" t="str">
        <f t="shared" si="6"/>
        <v>90 1</v>
      </c>
      <c r="AN99" s="6" t="s">
        <v>199</v>
      </c>
      <c r="AO99" s="6" t="s">
        <v>916</v>
      </c>
      <c r="AQ99" t="s">
        <v>682</v>
      </c>
      <c r="AR99" t="s">
        <v>2057</v>
      </c>
    </row>
    <row r="100" spans="1:44" x14ac:dyDescent="0.3">
      <c r="A100">
        <v>3869</v>
      </c>
      <c r="B100">
        <v>4</v>
      </c>
      <c r="C100">
        <v>4027415</v>
      </c>
      <c r="D100">
        <v>22230</v>
      </c>
      <c r="E100">
        <v>2</v>
      </c>
      <c r="F100">
        <v>670050</v>
      </c>
      <c r="G100" t="s">
        <v>47</v>
      </c>
      <c r="H100" t="s">
        <v>51</v>
      </c>
      <c r="I100">
        <v>0</v>
      </c>
      <c r="J100" s="1">
        <v>407126.94400000002</v>
      </c>
      <c r="K100" s="1">
        <v>281499.201</v>
      </c>
      <c r="L100" s="1">
        <v>407091.92200000002</v>
      </c>
      <c r="M100" s="1">
        <v>281476.80699999997</v>
      </c>
      <c r="N100" t="s">
        <v>40</v>
      </c>
      <c r="P100" t="s">
        <v>40</v>
      </c>
      <c r="Q100">
        <v>0</v>
      </c>
      <c r="R100">
        <v>0</v>
      </c>
      <c r="S100">
        <v>0</v>
      </c>
      <c r="T100">
        <v>6</v>
      </c>
      <c r="U100">
        <v>6</v>
      </c>
      <c r="V100">
        <v>1</v>
      </c>
      <c r="W100">
        <v>1</v>
      </c>
      <c r="X100" t="s">
        <v>40</v>
      </c>
      <c r="Y100">
        <v>3</v>
      </c>
      <c r="Z100">
        <v>93</v>
      </c>
      <c r="AA100">
        <v>1</v>
      </c>
      <c r="AB100">
        <v>0</v>
      </c>
      <c r="AC100">
        <v>1605.1850000000002</v>
      </c>
      <c r="AD100">
        <v>5059</v>
      </c>
      <c r="AH100">
        <v>0</v>
      </c>
      <c r="AI100">
        <v>0</v>
      </c>
      <c r="AL100" t="s">
        <v>40</v>
      </c>
      <c r="AM100" t="str">
        <f t="shared" si="6"/>
        <v>93 1</v>
      </c>
      <c r="AN100" s="6" t="s">
        <v>943</v>
      </c>
      <c r="AO100" s="6" t="s">
        <v>924</v>
      </c>
      <c r="AQ100" t="s">
        <v>2058</v>
      </c>
      <c r="AR100" t="s">
        <v>2059</v>
      </c>
    </row>
    <row r="101" spans="1:44" x14ac:dyDescent="0.3">
      <c r="A101">
        <v>3869</v>
      </c>
      <c r="B101">
        <v>4</v>
      </c>
      <c r="C101">
        <v>4019159</v>
      </c>
      <c r="D101">
        <v>17794</v>
      </c>
      <c r="E101">
        <v>2</v>
      </c>
      <c r="F101">
        <v>670050</v>
      </c>
      <c r="G101" t="s">
        <v>47</v>
      </c>
      <c r="H101" t="s">
        <v>52</v>
      </c>
      <c r="I101">
        <v>0</v>
      </c>
      <c r="J101" s="1">
        <v>407247.67499999999</v>
      </c>
      <c r="K101" s="1">
        <v>283372.16700000002</v>
      </c>
      <c r="L101" s="1">
        <v>407366.86599999998</v>
      </c>
      <c r="M101" s="1">
        <v>283257.25599999999</v>
      </c>
      <c r="N101" t="s">
        <v>40</v>
      </c>
      <c r="P101" t="s">
        <v>40</v>
      </c>
      <c r="Q101">
        <v>0</v>
      </c>
      <c r="R101">
        <v>0</v>
      </c>
      <c r="S101">
        <v>0</v>
      </c>
      <c r="T101">
        <v>6</v>
      </c>
      <c r="U101">
        <v>6</v>
      </c>
      <c r="V101">
        <v>1</v>
      </c>
      <c r="W101">
        <v>1</v>
      </c>
      <c r="X101" t="s">
        <v>40</v>
      </c>
      <c r="Y101">
        <v>3</v>
      </c>
      <c r="Z101">
        <v>89</v>
      </c>
      <c r="AA101">
        <v>1</v>
      </c>
      <c r="AB101">
        <v>0</v>
      </c>
      <c r="AC101">
        <v>309.65600000000001</v>
      </c>
      <c r="AD101">
        <v>5059</v>
      </c>
      <c r="AH101">
        <v>0</v>
      </c>
      <c r="AI101">
        <v>0</v>
      </c>
      <c r="AL101" t="s">
        <v>40</v>
      </c>
      <c r="AM101" t="str">
        <f t="shared" si="6"/>
        <v>89 1</v>
      </c>
      <c r="AN101" s="6" t="s">
        <v>928</v>
      </c>
      <c r="AO101" s="6" t="s">
        <v>1624</v>
      </c>
      <c r="AQ101" t="s">
        <v>2060</v>
      </c>
      <c r="AR101" t="s">
        <v>2061</v>
      </c>
    </row>
    <row r="102" spans="1:44" x14ac:dyDescent="0.3">
      <c r="A102">
        <v>3869</v>
      </c>
      <c r="B102">
        <v>4</v>
      </c>
      <c r="C102">
        <v>4027423</v>
      </c>
      <c r="D102">
        <v>22229</v>
      </c>
      <c r="E102">
        <v>2</v>
      </c>
      <c r="F102">
        <v>670050</v>
      </c>
      <c r="G102" t="s">
        <v>47</v>
      </c>
      <c r="H102" t="s">
        <v>51</v>
      </c>
      <c r="I102">
        <v>0</v>
      </c>
      <c r="J102" s="1">
        <v>407073.70699999999</v>
      </c>
      <c r="K102" s="1">
        <v>281448.67300000001</v>
      </c>
      <c r="L102" s="1">
        <v>407121.46500000003</v>
      </c>
      <c r="M102" s="1">
        <v>281434.09000000003</v>
      </c>
      <c r="N102" t="s">
        <v>40</v>
      </c>
      <c r="P102" t="s">
        <v>40</v>
      </c>
      <c r="Q102">
        <v>0</v>
      </c>
      <c r="R102">
        <v>0</v>
      </c>
      <c r="S102">
        <v>0</v>
      </c>
      <c r="T102">
        <v>6</v>
      </c>
      <c r="U102">
        <v>6</v>
      </c>
      <c r="V102">
        <v>1</v>
      </c>
      <c r="W102">
        <v>2</v>
      </c>
      <c r="X102" t="s">
        <v>40</v>
      </c>
      <c r="Y102">
        <v>3</v>
      </c>
      <c r="Z102">
        <v>52</v>
      </c>
      <c r="AA102">
        <v>1</v>
      </c>
      <c r="AB102">
        <v>0</v>
      </c>
      <c r="AC102">
        <v>61.302</v>
      </c>
      <c r="AD102">
        <v>5059</v>
      </c>
      <c r="AH102">
        <v>0</v>
      </c>
      <c r="AI102">
        <v>0</v>
      </c>
      <c r="AL102" t="s">
        <v>40</v>
      </c>
      <c r="AM102" t="str">
        <f t="shared" si="6"/>
        <v>52 1</v>
      </c>
      <c r="AN102" t="str">
        <f t="shared" si="7"/>
        <v>407073.707,281448.673</v>
      </c>
      <c r="AO102" t="str">
        <f t="shared" si="8"/>
        <v>407121.465,281434.09</v>
      </c>
      <c r="AQ102" t="s">
        <v>2062</v>
      </c>
      <c r="AR102" t="s">
        <v>2063</v>
      </c>
    </row>
    <row r="103" spans="1:44" x14ac:dyDescent="0.3">
      <c r="A103">
        <v>3869</v>
      </c>
      <c r="B103">
        <v>4</v>
      </c>
      <c r="C103">
        <v>4027429</v>
      </c>
      <c r="D103">
        <v>22173</v>
      </c>
      <c r="E103">
        <v>2</v>
      </c>
      <c r="F103">
        <v>670050</v>
      </c>
      <c r="G103" t="s">
        <v>47</v>
      </c>
      <c r="H103" t="s">
        <v>51</v>
      </c>
      <c r="I103">
        <v>0</v>
      </c>
      <c r="J103" s="1">
        <v>407121.46500000003</v>
      </c>
      <c r="K103" s="1">
        <v>281434.09000000003</v>
      </c>
      <c r="L103" s="1">
        <v>407123.23700000002</v>
      </c>
      <c r="M103" s="1">
        <v>281435.65999999997</v>
      </c>
      <c r="N103" t="s">
        <v>40</v>
      </c>
      <c r="P103" t="s">
        <v>40</v>
      </c>
      <c r="Q103">
        <v>0</v>
      </c>
      <c r="R103">
        <v>0</v>
      </c>
      <c r="S103">
        <v>199801</v>
      </c>
      <c r="T103">
        <v>6</v>
      </c>
      <c r="U103">
        <v>6</v>
      </c>
      <c r="V103">
        <v>1</v>
      </c>
      <c r="W103">
        <v>2</v>
      </c>
      <c r="X103" t="s">
        <v>40</v>
      </c>
      <c r="Y103">
        <v>3</v>
      </c>
      <c r="Z103">
        <v>5024</v>
      </c>
      <c r="AA103">
        <v>1</v>
      </c>
      <c r="AB103">
        <v>0</v>
      </c>
      <c r="AC103">
        <v>2.375</v>
      </c>
      <c r="AD103">
        <v>5059</v>
      </c>
      <c r="AH103">
        <v>0</v>
      </c>
      <c r="AI103">
        <v>0</v>
      </c>
      <c r="AL103" t="s">
        <v>40</v>
      </c>
      <c r="AM103" t="str">
        <f t="shared" si="6"/>
        <v>5024 1</v>
      </c>
      <c r="AN103" t="str">
        <f t="shared" si="7"/>
        <v>407121.465,281434.09</v>
      </c>
      <c r="AO103" t="str">
        <f t="shared" si="8"/>
        <v>407123.237,281435.66</v>
      </c>
      <c r="AQ103" t="s">
        <v>2063</v>
      </c>
      <c r="AR103" t="s">
        <v>677</v>
      </c>
    </row>
    <row r="104" spans="1:44" x14ac:dyDescent="0.3">
      <c r="A104">
        <v>3869</v>
      </c>
      <c r="B104">
        <v>4</v>
      </c>
      <c r="C104">
        <v>4019145</v>
      </c>
      <c r="D104">
        <v>16421</v>
      </c>
      <c r="E104">
        <v>2</v>
      </c>
      <c r="F104">
        <v>670050</v>
      </c>
      <c r="G104" t="s">
        <v>47</v>
      </c>
      <c r="H104" t="s">
        <v>52</v>
      </c>
      <c r="I104">
        <v>0</v>
      </c>
      <c r="J104" s="1">
        <v>407336.66800000001</v>
      </c>
      <c r="K104" s="1">
        <v>283207.62800000003</v>
      </c>
      <c r="L104" s="1">
        <v>407302.77899999998</v>
      </c>
      <c r="M104" s="1">
        <v>283194.663</v>
      </c>
      <c r="N104" t="s">
        <v>40</v>
      </c>
      <c r="P104" t="s">
        <v>40</v>
      </c>
      <c r="Q104">
        <v>0</v>
      </c>
      <c r="R104">
        <v>0</v>
      </c>
      <c r="S104">
        <v>0</v>
      </c>
      <c r="T104">
        <v>6</v>
      </c>
      <c r="U104">
        <v>6</v>
      </c>
      <c r="V104">
        <v>1</v>
      </c>
      <c r="W104">
        <v>1</v>
      </c>
      <c r="X104" t="s">
        <v>40</v>
      </c>
      <c r="Y104">
        <v>3</v>
      </c>
      <c r="Z104">
        <v>38</v>
      </c>
      <c r="AA104">
        <v>5001</v>
      </c>
      <c r="AB104">
        <v>0</v>
      </c>
      <c r="AC104">
        <v>58.01</v>
      </c>
      <c r="AD104">
        <v>5059</v>
      </c>
      <c r="AH104">
        <v>0</v>
      </c>
      <c r="AI104">
        <v>0</v>
      </c>
      <c r="AL104" t="s">
        <v>40</v>
      </c>
      <c r="AM104" t="str">
        <f t="shared" si="6"/>
        <v>38 5001</v>
      </c>
      <c r="AN104" t="str">
        <f t="shared" si="7"/>
        <v>407336.668,283207.628</v>
      </c>
      <c r="AO104" t="str">
        <f t="shared" si="8"/>
        <v>407302.779,283194.663</v>
      </c>
      <c r="AQ104" t="s">
        <v>2064</v>
      </c>
      <c r="AR104" t="s">
        <v>2065</v>
      </c>
    </row>
    <row r="105" spans="1:44" x14ac:dyDescent="0.3">
      <c r="A105">
        <v>3869</v>
      </c>
      <c r="B105">
        <v>4</v>
      </c>
      <c r="C105">
        <v>4019138</v>
      </c>
      <c r="D105">
        <v>16424</v>
      </c>
      <c r="E105">
        <v>2</v>
      </c>
      <c r="F105">
        <v>670050</v>
      </c>
      <c r="G105" t="s">
        <v>47</v>
      </c>
      <c r="H105" t="s">
        <v>52</v>
      </c>
      <c r="I105">
        <v>0</v>
      </c>
      <c r="J105" s="1">
        <v>407302.77899999998</v>
      </c>
      <c r="K105" s="1">
        <v>283194.663</v>
      </c>
      <c r="L105" s="1">
        <v>407293.37400000001</v>
      </c>
      <c r="M105" s="1">
        <v>283163.31</v>
      </c>
      <c r="N105" t="s">
        <v>40</v>
      </c>
      <c r="P105" t="s">
        <v>40</v>
      </c>
      <c r="Q105">
        <v>0</v>
      </c>
      <c r="R105">
        <v>0</v>
      </c>
      <c r="S105">
        <v>0</v>
      </c>
      <c r="T105">
        <v>6</v>
      </c>
      <c r="U105">
        <v>6</v>
      </c>
      <c r="V105">
        <v>1</v>
      </c>
      <c r="W105">
        <v>1</v>
      </c>
      <c r="X105" t="s">
        <v>40</v>
      </c>
      <c r="Y105">
        <v>3</v>
      </c>
      <c r="Z105">
        <v>38</v>
      </c>
      <c r="AA105">
        <v>1</v>
      </c>
      <c r="AB105">
        <v>0</v>
      </c>
      <c r="AC105">
        <v>42.210999999999999</v>
      </c>
      <c r="AD105">
        <v>5059</v>
      </c>
      <c r="AH105">
        <v>0</v>
      </c>
      <c r="AI105">
        <v>0</v>
      </c>
      <c r="AL105" t="s">
        <v>40</v>
      </c>
      <c r="AM105" t="str">
        <f t="shared" si="6"/>
        <v>38 1</v>
      </c>
      <c r="AN105" s="6" t="s">
        <v>189</v>
      </c>
      <c r="AO105" s="6" t="s">
        <v>920</v>
      </c>
      <c r="AQ105" t="s">
        <v>679</v>
      </c>
      <c r="AR105" t="s">
        <v>2065</v>
      </c>
    </row>
    <row r="106" spans="1:44" x14ac:dyDescent="0.3">
      <c r="A106">
        <v>3869</v>
      </c>
      <c r="B106">
        <v>4</v>
      </c>
      <c r="C106">
        <v>4019541</v>
      </c>
      <c r="D106">
        <v>18935</v>
      </c>
      <c r="E106">
        <v>2</v>
      </c>
      <c r="F106">
        <v>670050</v>
      </c>
      <c r="G106" t="s">
        <v>47</v>
      </c>
      <c r="H106" t="s">
        <v>54</v>
      </c>
      <c r="I106">
        <v>0</v>
      </c>
      <c r="J106" s="1">
        <v>405757.9</v>
      </c>
      <c r="K106" s="1">
        <v>282000</v>
      </c>
      <c r="L106" s="1">
        <v>405868.723</v>
      </c>
      <c r="M106" s="1">
        <v>282088.78700000001</v>
      </c>
      <c r="N106" t="s">
        <v>40</v>
      </c>
      <c r="P106" t="s">
        <v>40</v>
      </c>
      <c r="Q106">
        <v>0</v>
      </c>
      <c r="R106">
        <v>0</v>
      </c>
      <c r="S106">
        <v>0</v>
      </c>
      <c r="T106">
        <v>6</v>
      </c>
      <c r="U106">
        <v>6</v>
      </c>
      <c r="V106">
        <v>1</v>
      </c>
      <c r="W106">
        <v>1</v>
      </c>
      <c r="X106" t="s">
        <v>40</v>
      </c>
      <c r="Y106">
        <v>3</v>
      </c>
      <c r="Z106">
        <v>93</v>
      </c>
      <c r="AA106">
        <v>1</v>
      </c>
      <c r="AB106">
        <v>0</v>
      </c>
      <c r="AC106">
        <v>1236.1510000000001</v>
      </c>
      <c r="AD106">
        <v>5059</v>
      </c>
      <c r="AH106">
        <v>0</v>
      </c>
      <c r="AI106">
        <v>0</v>
      </c>
      <c r="AL106" t="s">
        <v>40</v>
      </c>
      <c r="AM106" t="str">
        <f t="shared" si="6"/>
        <v>93 1</v>
      </c>
      <c r="AN106" s="6" t="s">
        <v>915</v>
      </c>
      <c r="AO106" s="6" t="s">
        <v>941</v>
      </c>
      <c r="AQ106" t="s">
        <v>2055</v>
      </c>
      <c r="AR106" t="s">
        <v>2066</v>
      </c>
    </row>
    <row r="107" spans="1:44" x14ac:dyDescent="0.3">
      <c r="A107">
        <v>3869</v>
      </c>
      <c r="B107">
        <v>4</v>
      </c>
      <c r="C107">
        <v>4019158</v>
      </c>
      <c r="D107">
        <v>16462</v>
      </c>
      <c r="E107">
        <v>2</v>
      </c>
      <c r="F107">
        <v>670050</v>
      </c>
      <c r="G107" t="s">
        <v>47</v>
      </c>
      <c r="H107" t="s">
        <v>52</v>
      </c>
      <c r="I107">
        <v>0</v>
      </c>
      <c r="J107" s="1">
        <v>407336.66800000001</v>
      </c>
      <c r="K107" s="1">
        <v>283207.62800000003</v>
      </c>
      <c r="L107" s="1">
        <v>407366.86599999998</v>
      </c>
      <c r="M107" s="1">
        <v>283257.25599999999</v>
      </c>
      <c r="N107" t="s">
        <v>40</v>
      </c>
      <c r="P107" t="s">
        <v>40</v>
      </c>
      <c r="Q107">
        <v>0</v>
      </c>
      <c r="R107">
        <v>0</v>
      </c>
      <c r="S107">
        <v>0</v>
      </c>
      <c r="T107">
        <v>6</v>
      </c>
      <c r="U107">
        <v>6</v>
      </c>
      <c r="V107">
        <v>1</v>
      </c>
      <c r="W107">
        <v>1</v>
      </c>
      <c r="X107" t="s">
        <v>40</v>
      </c>
      <c r="Y107">
        <v>3</v>
      </c>
      <c r="Z107">
        <v>52</v>
      </c>
      <c r="AA107">
        <v>1</v>
      </c>
      <c r="AB107">
        <v>0</v>
      </c>
      <c r="AC107">
        <v>61.322000000000003</v>
      </c>
      <c r="AD107">
        <v>5059</v>
      </c>
      <c r="AH107">
        <v>0</v>
      </c>
      <c r="AI107">
        <v>0</v>
      </c>
      <c r="AL107" t="s">
        <v>40</v>
      </c>
      <c r="AM107" t="str">
        <f t="shared" si="6"/>
        <v>52 1</v>
      </c>
      <c r="AN107" t="str">
        <f t="shared" si="7"/>
        <v>407336.668,283207.628</v>
      </c>
      <c r="AO107" t="str">
        <f t="shared" si="8"/>
        <v>407366.866,283257.256</v>
      </c>
      <c r="AQ107" t="s">
        <v>2064</v>
      </c>
      <c r="AR107" t="s">
        <v>2061</v>
      </c>
    </row>
    <row r="108" spans="1:44" x14ac:dyDescent="0.3">
      <c r="A108">
        <v>3869</v>
      </c>
      <c r="B108">
        <v>4</v>
      </c>
      <c r="C108">
        <v>4013613</v>
      </c>
      <c r="D108">
        <v>81815</v>
      </c>
      <c r="E108">
        <v>2</v>
      </c>
      <c r="F108">
        <v>670050</v>
      </c>
      <c r="G108" t="s">
        <v>47</v>
      </c>
      <c r="H108" t="s">
        <v>48</v>
      </c>
      <c r="I108">
        <v>0</v>
      </c>
      <c r="J108" s="1">
        <v>406061.74599999998</v>
      </c>
      <c r="K108" s="1">
        <v>282155.424</v>
      </c>
      <c r="L108" s="1">
        <v>406210.89899999998</v>
      </c>
      <c r="M108" s="1">
        <v>282152.95</v>
      </c>
      <c r="N108" t="s">
        <v>40</v>
      </c>
      <c r="P108" t="s">
        <v>40</v>
      </c>
      <c r="Q108">
        <v>0</v>
      </c>
      <c r="R108">
        <v>0</v>
      </c>
      <c r="S108">
        <v>0</v>
      </c>
      <c r="T108">
        <v>6</v>
      </c>
      <c r="U108">
        <v>6</v>
      </c>
      <c r="V108">
        <v>1</v>
      </c>
      <c r="W108">
        <v>1</v>
      </c>
      <c r="X108" t="s">
        <v>40</v>
      </c>
      <c r="Y108">
        <v>3</v>
      </c>
      <c r="Z108">
        <v>93</v>
      </c>
      <c r="AA108">
        <v>1</v>
      </c>
      <c r="AB108">
        <v>0</v>
      </c>
      <c r="AC108">
        <v>189.53399999999999</v>
      </c>
      <c r="AD108">
        <v>5059</v>
      </c>
      <c r="AH108">
        <v>0</v>
      </c>
      <c r="AI108">
        <v>0</v>
      </c>
      <c r="AL108" t="s">
        <v>40</v>
      </c>
      <c r="AM108" t="str">
        <f t="shared" si="6"/>
        <v>93 1</v>
      </c>
      <c r="AN108" s="6" t="s">
        <v>923</v>
      </c>
      <c r="AO108" s="6" t="s">
        <v>921</v>
      </c>
      <c r="AQ108" t="s">
        <v>2067</v>
      </c>
      <c r="AR108" t="s">
        <v>2056</v>
      </c>
    </row>
    <row r="109" spans="1:44" x14ac:dyDescent="0.3">
      <c r="A109">
        <v>3869</v>
      </c>
      <c r="B109">
        <v>4</v>
      </c>
      <c r="C109">
        <v>4019016</v>
      </c>
      <c r="D109">
        <v>37677</v>
      </c>
      <c r="E109">
        <v>2</v>
      </c>
      <c r="F109">
        <v>670050</v>
      </c>
      <c r="G109" t="s">
        <v>47</v>
      </c>
      <c r="H109" t="s">
        <v>50</v>
      </c>
      <c r="I109">
        <v>0</v>
      </c>
      <c r="J109" s="1">
        <v>407425.05300000001</v>
      </c>
      <c r="K109" s="1">
        <v>282598.07400000002</v>
      </c>
      <c r="L109" s="1">
        <v>407467.39399999997</v>
      </c>
      <c r="M109" s="1">
        <v>282593.81800000003</v>
      </c>
      <c r="N109" t="s">
        <v>40</v>
      </c>
      <c r="P109" t="s">
        <v>40</v>
      </c>
      <c r="Q109">
        <v>0</v>
      </c>
      <c r="R109">
        <v>0</v>
      </c>
      <c r="S109">
        <v>0</v>
      </c>
      <c r="T109">
        <v>6</v>
      </c>
      <c r="U109">
        <v>6</v>
      </c>
      <c r="V109">
        <v>1</v>
      </c>
      <c r="W109">
        <v>1</v>
      </c>
      <c r="X109" t="s">
        <v>40</v>
      </c>
      <c r="Y109">
        <v>3</v>
      </c>
      <c r="Z109">
        <v>90</v>
      </c>
      <c r="AA109">
        <v>1</v>
      </c>
      <c r="AB109">
        <v>0</v>
      </c>
      <c r="AC109">
        <v>42.823999999999998</v>
      </c>
      <c r="AD109">
        <v>5059</v>
      </c>
      <c r="AH109">
        <v>0</v>
      </c>
      <c r="AI109">
        <v>0</v>
      </c>
      <c r="AL109" t="s">
        <v>40</v>
      </c>
      <c r="AM109" t="str">
        <f t="shared" si="6"/>
        <v>90 1</v>
      </c>
      <c r="AN109" t="str">
        <f t="shared" si="7"/>
        <v>407425.053,282598.074</v>
      </c>
      <c r="AO109" t="str">
        <f t="shared" si="8"/>
        <v>407467.394,282593.818</v>
      </c>
      <c r="AQ109" t="s">
        <v>2068</v>
      </c>
      <c r="AR109" t="s">
        <v>683</v>
      </c>
    </row>
    <row r="110" spans="1:44" x14ac:dyDescent="0.3">
      <c r="A110">
        <v>3869</v>
      </c>
      <c r="B110">
        <v>4</v>
      </c>
      <c r="C110">
        <v>4011733</v>
      </c>
      <c r="D110">
        <v>10866</v>
      </c>
      <c r="E110">
        <v>2</v>
      </c>
      <c r="F110">
        <v>670050</v>
      </c>
      <c r="G110" t="s">
        <v>47</v>
      </c>
      <c r="H110" t="s">
        <v>48</v>
      </c>
      <c r="I110">
        <v>0</v>
      </c>
      <c r="J110" s="1">
        <v>406298.63099999999</v>
      </c>
      <c r="K110" s="1">
        <v>282116.65100000001</v>
      </c>
      <c r="L110" s="1">
        <v>406237.69199999998</v>
      </c>
      <c r="M110" s="1">
        <v>282141.82400000002</v>
      </c>
      <c r="N110" t="s">
        <v>40</v>
      </c>
      <c r="P110" t="s">
        <v>40</v>
      </c>
      <c r="Q110">
        <v>0</v>
      </c>
      <c r="R110">
        <v>0</v>
      </c>
      <c r="S110">
        <v>201005</v>
      </c>
      <c r="T110">
        <v>6</v>
      </c>
      <c r="U110">
        <v>6</v>
      </c>
      <c r="V110">
        <v>1</v>
      </c>
      <c r="W110">
        <v>1</v>
      </c>
      <c r="X110" t="s">
        <v>40</v>
      </c>
      <c r="Y110">
        <v>3</v>
      </c>
      <c r="Z110">
        <v>5067</v>
      </c>
      <c r="AA110">
        <v>1</v>
      </c>
      <c r="AB110">
        <v>0</v>
      </c>
      <c r="AC110">
        <v>66.191999999999993</v>
      </c>
      <c r="AD110">
        <v>5059</v>
      </c>
      <c r="AE110" t="s">
        <v>55</v>
      </c>
      <c r="AH110">
        <v>0</v>
      </c>
      <c r="AI110">
        <v>0</v>
      </c>
      <c r="AL110" t="s">
        <v>40</v>
      </c>
      <c r="AM110" t="str">
        <f t="shared" si="6"/>
        <v>5067 1</v>
      </c>
      <c r="AN110" t="str">
        <f t="shared" si="7"/>
        <v>406298.631,282116.651</v>
      </c>
      <c r="AO110" t="str">
        <f t="shared" si="8"/>
        <v>406237.692,282141.824</v>
      </c>
      <c r="AQ110" t="s">
        <v>2059</v>
      </c>
      <c r="AR110" t="s">
        <v>2067</v>
      </c>
    </row>
    <row r="111" spans="1:44" x14ac:dyDescent="0.3">
      <c r="A111">
        <v>3869</v>
      </c>
      <c r="B111">
        <v>4</v>
      </c>
      <c r="C111">
        <v>4027416</v>
      </c>
      <c r="D111">
        <v>22225</v>
      </c>
      <c r="E111">
        <v>2</v>
      </c>
      <c r="F111">
        <v>670050</v>
      </c>
      <c r="G111" t="s">
        <v>47</v>
      </c>
      <c r="H111" t="s">
        <v>51</v>
      </c>
      <c r="I111">
        <v>0</v>
      </c>
      <c r="J111" s="1">
        <v>407091.92200000002</v>
      </c>
      <c r="K111" s="1">
        <v>281476.80699999997</v>
      </c>
      <c r="L111" s="1">
        <v>407073.70699999999</v>
      </c>
      <c r="M111" s="1">
        <v>281448.67300000001</v>
      </c>
      <c r="N111" t="s">
        <v>40</v>
      </c>
      <c r="P111" t="s">
        <v>40</v>
      </c>
      <c r="Q111">
        <v>0</v>
      </c>
      <c r="R111">
        <v>0</v>
      </c>
      <c r="S111">
        <v>0</v>
      </c>
      <c r="T111">
        <v>6</v>
      </c>
      <c r="U111">
        <v>6</v>
      </c>
      <c r="V111">
        <v>1</v>
      </c>
      <c r="W111">
        <v>2</v>
      </c>
      <c r="X111" t="s">
        <v>40</v>
      </c>
      <c r="Y111">
        <v>3</v>
      </c>
      <c r="Z111">
        <v>88</v>
      </c>
      <c r="AA111">
        <v>1</v>
      </c>
      <c r="AB111">
        <v>0</v>
      </c>
      <c r="AC111">
        <v>38.381</v>
      </c>
      <c r="AD111">
        <v>5059</v>
      </c>
      <c r="AH111">
        <v>0</v>
      </c>
      <c r="AI111">
        <v>0</v>
      </c>
      <c r="AL111" t="s">
        <v>40</v>
      </c>
      <c r="AM111" t="str">
        <f t="shared" si="6"/>
        <v>88 1</v>
      </c>
      <c r="AN111" t="str">
        <f t="shared" si="7"/>
        <v>407091.922,281476.807</v>
      </c>
      <c r="AO111" t="str">
        <f t="shared" si="8"/>
        <v>407073.707,281448.673</v>
      </c>
      <c r="AQ111" t="s">
        <v>2069</v>
      </c>
      <c r="AR111" t="s">
        <v>2062</v>
      </c>
    </row>
    <row r="112" spans="1:44" x14ac:dyDescent="0.3">
      <c r="A112">
        <v>3869</v>
      </c>
      <c r="B112">
        <v>4</v>
      </c>
      <c r="C112">
        <v>4027456</v>
      </c>
      <c r="D112">
        <v>22172</v>
      </c>
      <c r="E112">
        <v>2</v>
      </c>
      <c r="F112">
        <v>670050</v>
      </c>
      <c r="G112" t="s">
        <v>47</v>
      </c>
      <c r="H112" t="s">
        <v>51</v>
      </c>
      <c r="I112">
        <v>0</v>
      </c>
      <c r="J112" s="1">
        <v>407121.78899999999</v>
      </c>
      <c r="K112" s="1">
        <v>281433.84600000002</v>
      </c>
      <c r="L112" s="1">
        <v>407123.56</v>
      </c>
      <c r="M112" s="1">
        <v>281435.40100000001</v>
      </c>
      <c r="N112" t="s">
        <v>40</v>
      </c>
      <c r="P112" t="s">
        <v>40</v>
      </c>
      <c r="Q112">
        <v>0</v>
      </c>
      <c r="R112">
        <v>0</v>
      </c>
      <c r="S112">
        <v>199801</v>
      </c>
      <c r="T112">
        <v>6</v>
      </c>
      <c r="U112">
        <v>6</v>
      </c>
      <c r="V112">
        <v>1</v>
      </c>
      <c r="W112">
        <v>2</v>
      </c>
      <c r="X112" t="s">
        <v>40</v>
      </c>
      <c r="Y112">
        <v>3</v>
      </c>
      <c r="Z112">
        <v>5024</v>
      </c>
      <c r="AA112">
        <v>1</v>
      </c>
      <c r="AB112">
        <v>0</v>
      </c>
      <c r="AC112">
        <v>2.3650000000000002</v>
      </c>
      <c r="AD112">
        <v>5059</v>
      </c>
      <c r="AH112">
        <v>0</v>
      </c>
      <c r="AI112">
        <v>0</v>
      </c>
      <c r="AL112" t="s">
        <v>40</v>
      </c>
      <c r="AM112" t="str">
        <f t="shared" si="6"/>
        <v>5024 1</v>
      </c>
      <c r="AN112" t="str">
        <f t="shared" si="7"/>
        <v>407121.789,281433.846</v>
      </c>
      <c r="AO112" t="str">
        <f t="shared" si="8"/>
        <v>407123.56,281435.401</v>
      </c>
      <c r="AQ112" t="s">
        <v>2070</v>
      </c>
      <c r="AR112" t="s">
        <v>678</v>
      </c>
    </row>
    <row r="113" spans="1:44" x14ac:dyDescent="0.3">
      <c r="A113">
        <v>3869</v>
      </c>
      <c r="B113">
        <v>4</v>
      </c>
      <c r="C113">
        <v>4019104</v>
      </c>
      <c r="D113">
        <v>16422</v>
      </c>
      <c r="E113">
        <v>2</v>
      </c>
      <c r="F113">
        <v>670050</v>
      </c>
      <c r="G113" t="s">
        <v>47</v>
      </c>
      <c r="H113" t="s">
        <v>52</v>
      </c>
      <c r="I113">
        <v>0</v>
      </c>
      <c r="J113" s="1">
        <v>407303.17800000001</v>
      </c>
      <c r="K113" s="1">
        <v>283194.62900000002</v>
      </c>
      <c r="L113" s="1">
        <v>407293.772</v>
      </c>
      <c r="M113" s="1">
        <v>283163.27500000002</v>
      </c>
      <c r="N113" t="s">
        <v>40</v>
      </c>
      <c r="P113" t="s">
        <v>40</v>
      </c>
      <c r="Q113">
        <v>0</v>
      </c>
      <c r="R113">
        <v>0</v>
      </c>
      <c r="S113">
        <v>0</v>
      </c>
      <c r="T113">
        <v>6</v>
      </c>
      <c r="U113">
        <v>6</v>
      </c>
      <c r="V113">
        <v>1</v>
      </c>
      <c r="W113">
        <v>1</v>
      </c>
      <c r="X113" t="s">
        <v>40</v>
      </c>
      <c r="Y113">
        <v>3</v>
      </c>
      <c r="Z113">
        <v>38</v>
      </c>
      <c r="AA113">
        <v>1</v>
      </c>
      <c r="AB113">
        <v>0</v>
      </c>
      <c r="AC113">
        <v>42.804000000000002</v>
      </c>
      <c r="AD113">
        <v>5059</v>
      </c>
      <c r="AH113">
        <v>0</v>
      </c>
      <c r="AI113">
        <v>0</v>
      </c>
      <c r="AL113" t="s">
        <v>40</v>
      </c>
      <c r="AM113" t="str">
        <f t="shared" si="6"/>
        <v>38 1</v>
      </c>
      <c r="AN113" s="6" t="s">
        <v>188</v>
      </c>
      <c r="AO113" s="6" t="s">
        <v>927</v>
      </c>
      <c r="AQ113" t="s">
        <v>678</v>
      </c>
      <c r="AR113" t="s">
        <v>2071</v>
      </c>
    </row>
    <row r="114" spans="1:44" x14ac:dyDescent="0.3">
      <c r="A114">
        <v>3869</v>
      </c>
      <c r="B114">
        <v>4</v>
      </c>
      <c r="C114">
        <v>4027440</v>
      </c>
      <c r="D114">
        <v>58528</v>
      </c>
      <c r="E114">
        <v>2</v>
      </c>
      <c r="F114">
        <v>670050</v>
      </c>
      <c r="G114" t="s">
        <v>47</v>
      </c>
      <c r="H114" t="s">
        <v>51</v>
      </c>
      <c r="I114">
        <v>0</v>
      </c>
      <c r="J114" s="1">
        <v>407124.114</v>
      </c>
      <c r="K114" s="1">
        <v>281435.58799999999</v>
      </c>
      <c r="L114" s="1">
        <v>407123.04300000001</v>
      </c>
      <c r="M114" s="1">
        <v>281434.315</v>
      </c>
      <c r="N114" t="s">
        <v>40</v>
      </c>
      <c r="P114" t="s">
        <v>40</v>
      </c>
      <c r="Q114">
        <v>0</v>
      </c>
      <c r="R114">
        <v>0</v>
      </c>
      <c r="S114">
        <v>199801</v>
      </c>
      <c r="T114">
        <v>6</v>
      </c>
      <c r="U114">
        <v>6</v>
      </c>
      <c r="V114">
        <v>1</v>
      </c>
      <c r="W114">
        <v>3</v>
      </c>
      <c r="X114" t="s">
        <v>40</v>
      </c>
      <c r="Y114">
        <v>3</v>
      </c>
      <c r="Z114">
        <v>5017</v>
      </c>
      <c r="AA114">
        <v>1</v>
      </c>
      <c r="AB114">
        <v>0</v>
      </c>
      <c r="AC114">
        <v>1.9670000000000001</v>
      </c>
      <c r="AD114">
        <v>5059</v>
      </c>
      <c r="AH114">
        <v>0</v>
      </c>
      <c r="AI114">
        <v>0</v>
      </c>
      <c r="AL114" t="s">
        <v>40</v>
      </c>
      <c r="AM114" t="str">
        <f t="shared" si="6"/>
        <v>5017 1</v>
      </c>
      <c r="AN114" t="str">
        <f t="shared" si="7"/>
        <v>407124.114,281435.588</v>
      </c>
      <c r="AO114" t="str">
        <f t="shared" si="8"/>
        <v>407123.043,281434.315</v>
      </c>
      <c r="AQ114" t="s">
        <v>678</v>
      </c>
      <c r="AR114" t="s">
        <v>1944</v>
      </c>
    </row>
    <row r="115" spans="1:44" x14ac:dyDescent="0.3">
      <c r="A115">
        <v>3869</v>
      </c>
      <c r="B115">
        <v>4</v>
      </c>
      <c r="C115">
        <v>4019189</v>
      </c>
      <c r="D115">
        <v>45116</v>
      </c>
      <c r="E115">
        <v>2</v>
      </c>
      <c r="F115">
        <v>670050</v>
      </c>
      <c r="G115" t="s">
        <v>47</v>
      </c>
      <c r="H115" t="s">
        <v>52</v>
      </c>
      <c r="I115">
        <v>0</v>
      </c>
      <c r="J115" s="1">
        <v>407187.533</v>
      </c>
      <c r="K115" s="1">
        <v>283496.23</v>
      </c>
      <c r="L115" s="1">
        <v>407187.90600000002</v>
      </c>
      <c r="M115" s="1">
        <v>283493.402</v>
      </c>
      <c r="N115" t="s">
        <v>40</v>
      </c>
      <c r="P115" t="s">
        <v>40</v>
      </c>
      <c r="Q115">
        <v>0</v>
      </c>
      <c r="R115">
        <v>0</v>
      </c>
      <c r="S115">
        <v>0</v>
      </c>
      <c r="T115">
        <v>6</v>
      </c>
      <c r="U115">
        <v>6</v>
      </c>
      <c r="V115">
        <v>1</v>
      </c>
      <c r="W115">
        <v>3</v>
      </c>
      <c r="X115" t="s">
        <v>40</v>
      </c>
      <c r="Y115">
        <v>3</v>
      </c>
      <c r="Z115">
        <v>5017</v>
      </c>
      <c r="AA115">
        <v>1</v>
      </c>
      <c r="AB115">
        <v>0</v>
      </c>
      <c r="AC115">
        <v>6.7859999999999996</v>
      </c>
      <c r="AD115">
        <v>5059</v>
      </c>
      <c r="AH115">
        <v>0</v>
      </c>
      <c r="AI115">
        <v>0</v>
      </c>
      <c r="AL115" t="s">
        <v>40</v>
      </c>
      <c r="AM115" t="str">
        <f t="shared" si="6"/>
        <v>5017 1</v>
      </c>
      <c r="AN115" t="str">
        <f t="shared" si="7"/>
        <v>407187.533,283496.23</v>
      </c>
      <c r="AO115" t="str">
        <f t="shared" si="8"/>
        <v>407187.906,283493.402</v>
      </c>
      <c r="AQ115" t="s">
        <v>680</v>
      </c>
      <c r="AR115" t="s">
        <v>1945</v>
      </c>
    </row>
    <row r="116" spans="1:44" x14ac:dyDescent="0.3">
      <c r="A116">
        <v>3869</v>
      </c>
      <c r="B116">
        <v>4</v>
      </c>
      <c r="C116">
        <v>4019188</v>
      </c>
      <c r="D116">
        <v>45112</v>
      </c>
      <c r="E116">
        <v>2</v>
      </c>
      <c r="F116">
        <v>670050</v>
      </c>
      <c r="G116" t="s">
        <v>47</v>
      </c>
      <c r="H116" t="s">
        <v>52</v>
      </c>
      <c r="I116">
        <v>0</v>
      </c>
      <c r="J116" s="1">
        <v>407185.37900000002</v>
      </c>
      <c r="K116" s="1">
        <v>283495.32500000001</v>
      </c>
      <c r="L116" s="1">
        <v>407187.10600000003</v>
      </c>
      <c r="M116" s="1">
        <v>283495.799</v>
      </c>
      <c r="N116" t="s">
        <v>40</v>
      </c>
      <c r="P116" t="s">
        <v>40</v>
      </c>
      <c r="Q116">
        <v>0</v>
      </c>
      <c r="R116">
        <v>0</v>
      </c>
      <c r="S116">
        <v>199609</v>
      </c>
      <c r="T116">
        <v>6</v>
      </c>
      <c r="U116">
        <v>6</v>
      </c>
      <c r="V116">
        <v>1</v>
      </c>
      <c r="W116">
        <v>1</v>
      </c>
      <c r="X116" t="s">
        <v>40</v>
      </c>
      <c r="Y116">
        <v>3</v>
      </c>
      <c r="Z116">
        <v>5024</v>
      </c>
      <c r="AA116">
        <v>1</v>
      </c>
      <c r="AB116">
        <v>0</v>
      </c>
      <c r="AC116">
        <v>1.792</v>
      </c>
      <c r="AD116">
        <v>5059</v>
      </c>
      <c r="AH116">
        <v>0</v>
      </c>
      <c r="AI116">
        <v>0</v>
      </c>
      <c r="AL116" t="s">
        <v>40</v>
      </c>
      <c r="AM116" t="str">
        <f t="shared" si="6"/>
        <v>5024 1</v>
      </c>
      <c r="AN116" t="str">
        <f t="shared" si="7"/>
        <v>407185.379,283495.325</v>
      </c>
      <c r="AO116" t="str">
        <f t="shared" si="8"/>
        <v>407187.106,283495.799</v>
      </c>
      <c r="AQ116" t="s">
        <v>2060</v>
      </c>
      <c r="AR116" t="s">
        <v>680</v>
      </c>
    </row>
    <row r="117" spans="1:44" x14ac:dyDescent="0.3">
      <c r="A117">
        <v>3869</v>
      </c>
      <c r="B117">
        <v>4</v>
      </c>
      <c r="C117">
        <v>4027457</v>
      </c>
      <c r="D117">
        <v>22231</v>
      </c>
      <c r="E117">
        <v>2</v>
      </c>
      <c r="F117">
        <v>670050</v>
      </c>
      <c r="G117" t="s">
        <v>47</v>
      </c>
      <c r="H117" t="s">
        <v>51</v>
      </c>
      <c r="I117">
        <v>0</v>
      </c>
      <c r="J117" s="1">
        <v>407071.16200000001</v>
      </c>
      <c r="K117" s="1">
        <v>281446.62699999998</v>
      </c>
      <c r="L117" s="1">
        <v>407121.78899999999</v>
      </c>
      <c r="M117" s="1">
        <v>281433.84600000002</v>
      </c>
      <c r="N117" t="s">
        <v>40</v>
      </c>
      <c r="P117" t="s">
        <v>40</v>
      </c>
      <c r="Q117">
        <v>0</v>
      </c>
      <c r="R117">
        <v>0</v>
      </c>
      <c r="S117">
        <v>0</v>
      </c>
      <c r="T117">
        <v>6</v>
      </c>
      <c r="U117">
        <v>6</v>
      </c>
      <c r="V117">
        <v>1</v>
      </c>
      <c r="W117">
        <v>2</v>
      </c>
      <c r="X117" t="s">
        <v>40</v>
      </c>
      <c r="Y117">
        <v>3</v>
      </c>
      <c r="Z117">
        <v>52</v>
      </c>
      <c r="AA117">
        <v>1</v>
      </c>
      <c r="AB117">
        <v>0</v>
      </c>
      <c r="AC117">
        <v>62.476999999999997</v>
      </c>
      <c r="AD117">
        <v>5059</v>
      </c>
      <c r="AH117">
        <v>0</v>
      </c>
      <c r="AI117">
        <v>0</v>
      </c>
      <c r="AL117" t="s">
        <v>40</v>
      </c>
      <c r="AM117" t="str">
        <f t="shared" si="6"/>
        <v>52 1</v>
      </c>
      <c r="AN117" t="str">
        <f t="shared" si="7"/>
        <v>407071.162,281446.627</v>
      </c>
      <c r="AO117" t="str">
        <f t="shared" si="8"/>
        <v>407121.789,281433.846</v>
      </c>
      <c r="AQ117" t="s">
        <v>2072</v>
      </c>
      <c r="AR117" t="s">
        <v>2070</v>
      </c>
    </row>
    <row r="118" spans="1:44" x14ac:dyDescent="0.3">
      <c r="A118">
        <v>3869</v>
      </c>
      <c r="B118">
        <v>4</v>
      </c>
      <c r="C118">
        <v>4018939</v>
      </c>
      <c r="D118">
        <v>16037</v>
      </c>
      <c r="E118">
        <v>2</v>
      </c>
      <c r="F118">
        <v>670050</v>
      </c>
      <c r="G118" t="s">
        <v>47</v>
      </c>
      <c r="H118" t="s">
        <v>50</v>
      </c>
      <c r="I118">
        <v>0</v>
      </c>
      <c r="J118" s="1">
        <v>407386.59</v>
      </c>
      <c r="K118" s="1">
        <v>282181.28399999999</v>
      </c>
      <c r="L118" s="1">
        <v>407389.33299999998</v>
      </c>
      <c r="M118" s="1">
        <v>282091.08299999998</v>
      </c>
      <c r="N118" t="s">
        <v>40</v>
      </c>
      <c r="P118" t="s">
        <v>40</v>
      </c>
      <c r="Q118">
        <v>0</v>
      </c>
      <c r="R118">
        <v>0</v>
      </c>
      <c r="S118">
        <v>0</v>
      </c>
      <c r="T118">
        <v>6</v>
      </c>
      <c r="U118">
        <v>6</v>
      </c>
      <c r="V118">
        <v>1</v>
      </c>
      <c r="W118">
        <v>1</v>
      </c>
      <c r="X118" t="s">
        <v>40</v>
      </c>
      <c r="Y118">
        <v>3</v>
      </c>
      <c r="Z118">
        <v>89</v>
      </c>
      <c r="AA118">
        <v>1</v>
      </c>
      <c r="AB118">
        <v>0</v>
      </c>
      <c r="AC118">
        <v>90.260999999999996</v>
      </c>
      <c r="AD118">
        <v>5059</v>
      </c>
      <c r="AH118">
        <v>0</v>
      </c>
      <c r="AI118">
        <v>0</v>
      </c>
      <c r="AL118" t="s">
        <v>40</v>
      </c>
      <c r="AM118" t="str">
        <f t="shared" si="6"/>
        <v>89 1</v>
      </c>
      <c r="AN118" t="str">
        <f t="shared" si="7"/>
        <v>407386.59,282181.284</v>
      </c>
      <c r="AO118" t="str">
        <f t="shared" si="8"/>
        <v>407389.333,282091.083</v>
      </c>
      <c r="AQ118" t="s">
        <v>1946</v>
      </c>
      <c r="AR118" t="s">
        <v>2073</v>
      </c>
    </row>
    <row r="119" spans="1:44" x14ac:dyDescent="0.3">
      <c r="A119">
        <v>3869</v>
      </c>
      <c r="B119">
        <v>4</v>
      </c>
      <c r="C119">
        <v>4019009</v>
      </c>
      <c r="D119">
        <v>16700</v>
      </c>
      <c r="E119">
        <v>2</v>
      </c>
      <c r="F119">
        <v>670050</v>
      </c>
      <c r="G119" t="s">
        <v>47</v>
      </c>
      <c r="H119" t="s">
        <v>50</v>
      </c>
      <c r="I119">
        <v>0</v>
      </c>
      <c r="J119" s="1">
        <v>407422.51199999999</v>
      </c>
      <c r="K119" s="1">
        <v>282596.74900000001</v>
      </c>
      <c r="L119" s="1">
        <v>407425.05300000001</v>
      </c>
      <c r="M119" s="1">
        <v>282598.07400000002</v>
      </c>
      <c r="N119" t="s">
        <v>40</v>
      </c>
      <c r="P119" t="s">
        <v>40</v>
      </c>
      <c r="Q119">
        <v>0</v>
      </c>
      <c r="R119">
        <v>0</v>
      </c>
      <c r="S119">
        <v>0</v>
      </c>
      <c r="T119">
        <v>6</v>
      </c>
      <c r="U119">
        <v>6</v>
      </c>
      <c r="V119">
        <v>1</v>
      </c>
      <c r="W119">
        <v>1</v>
      </c>
      <c r="X119" t="s">
        <v>40</v>
      </c>
      <c r="Y119">
        <v>3</v>
      </c>
      <c r="Z119">
        <v>89</v>
      </c>
      <c r="AA119">
        <v>1</v>
      </c>
      <c r="AB119">
        <v>0</v>
      </c>
      <c r="AC119">
        <v>353.34499999999997</v>
      </c>
      <c r="AD119">
        <v>5059</v>
      </c>
      <c r="AH119">
        <v>0</v>
      </c>
      <c r="AI119">
        <v>0</v>
      </c>
      <c r="AL119" t="s">
        <v>40</v>
      </c>
      <c r="AM119" t="str">
        <f t="shared" si="6"/>
        <v>89 1</v>
      </c>
      <c r="AN119" s="6" t="s">
        <v>944</v>
      </c>
      <c r="AO119" s="6" t="s">
        <v>922</v>
      </c>
      <c r="AQ119" t="s">
        <v>2074</v>
      </c>
      <c r="AR119" t="s">
        <v>2068</v>
      </c>
    </row>
    <row r="120" spans="1:44" x14ac:dyDescent="0.3">
      <c r="A120">
        <v>3869</v>
      </c>
      <c r="B120">
        <v>4</v>
      </c>
      <c r="C120">
        <v>4019069</v>
      </c>
      <c r="D120">
        <v>37729</v>
      </c>
      <c r="E120">
        <v>2</v>
      </c>
      <c r="F120">
        <v>670050</v>
      </c>
      <c r="G120" t="s">
        <v>47</v>
      </c>
      <c r="H120" t="s">
        <v>50</v>
      </c>
      <c r="I120">
        <v>0</v>
      </c>
      <c r="J120" s="1">
        <v>407520.12099999998</v>
      </c>
      <c r="K120" s="1">
        <v>282966.66600000003</v>
      </c>
      <c r="L120" s="1">
        <v>407521.01400000002</v>
      </c>
      <c r="M120" s="1">
        <v>282963.53499999997</v>
      </c>
      <c r="N120" t="s">
        <v>40</v>
      </c>
      <c r="P120" t="s">
        <v>40</v>
      </c>
      <c r="Q120">
        <v>0</v>
      </c>
      <c r="R120">
        <v>0</v>
      </c>
      <c r="S120">
        <v>201108</v>
      </c>
      <c r="T120">
        <v>6</v>
      </c>
      <c r="U120">
        <v>6</v>
      </c>
      <c r="V120">
        <v>1</v>
      </c>
      <c r="W120">
        <v>1</v>
      </c>
      <c r="X120" t="s">
        <v>40</v>
      </c>
      <c r="Y120">
        <v>3</v>
      </c>
      <c r="Z120">
        <v>5023</v>
      </c>
      <c r="AA120">
        <v>1</v>
      </c>
      <c r="AB120">
        <v>0</v>
      </c>
      <c r="AC120">
        <v>4.2370000000000001</v>
      </c>
      <c r="AD120">
        <v>5059</v>
      </c>
      <c r="AE120" t="s">
        <v>56</v>
      </c>
      <c r="AH120">
        <v>0</v>
      </c>
      <c r="AI120">
        <v>0</v>
      </c>
      <c r="AL120" t="s">
        <v>40</v>
      </c>
      <c r="AM120" t="str">
        <f t="shared" si="6"/>
        <v>5023 1</v>
      </c>
      <c r="AN120" t="str">
        <f t="shared" si="7"/>
        <v>407520.121,282966.666</v>
      </c>
      <c r="AO120" t="str">
        <f t="shared" si="8"/>
        <v>407521.014,282963.535</v>
      </c>
      <c r="AQ120" t="s">
        <v>681</v>
      </c>
      <c r="AR120" t="s">
        <v>2075</v>
      </c>
    </row>
    <row r="121" spans="1:44" x14ac:dyDescent="0.3">
      <c r="A121">
        <v>3869</v>
      </c>
      <c r="B121">
        <v>4</v>
      </c>
      <c r="C121">
        <v>4019076</v>
      </c>
      <c r="D121">
        <v>37715</v>
      </c>
      <c r="E121">
        <v>2</v>
      </c>
      <c r="F121">
        <v>670050</v>
      </c>
      <c r="G121" t="s">
        <v>47</v>
      </c>
      <c r="H121" t="s">
        <v>50</v>
      </c>
      <c r="I121">
        <v>0</v>
      </c>
      <c r="J121" s="1">
        <v>407522.96500000003</v>
      </c>
      <c r="K121" s="1">
        <v>282965.15600000002</v>
      </c>
      <c r="L121" s="1">
        <v>407520.44</v>
      </c>
      <c r="M121" s="1">
        <v>282966.946</v>
      </c>
      <c r="N121" t="s">
        <v>40</v>
      </c>
      <c r="P121" t="s">
        <v>40</v>
      </c>
      <c r="Q121">
        <v>0</v>
      </c>
      <c r="R121">
        <v>0</v>
      </c>
      <c r="S121">
        <v>201108</v>
      </c>
      <c r="T121">
        <v>6</v>
      </c>
      <c r="U121">
        <v>6</v>
      </c>
      <c r="V121">
        <v>1</v>
      </c>
      <c r="W121">
        <v>1</v>
      </c>
      <c r="X121" t="s">
        <v>40</v>
      </c>
      <c r="Y121">
        <v>3</v>
      </c>
      <c r="Z121">
        <v>5023</v>
      </c>
      <c r="AA121">
        <v>1</v>
      </c>
      <c r="AB121">
        <v>0</v>
      </c>
      <c r="AC121">
        <v>8.3360000000000003</v>
      </c>
      <c r="AD121">
        <v>5059</v>
      </c>
      <c r="AE121" t="s">
        <v>56</v>
      </c>
      <c r="AH121">
        <v>0</v>
      </c>
      <c r="AI121">
        <v>0</v>
      </c>
      <c r="AL121" t="s">
        <v>40</v>
      </c>
      <c r="AM121" t="str">
        <f t="shared" si="6"/>
        <v>5023 1</v>
      </c>
      <c r="AN121" t="str">
        <f t="shared" si="7"/>
        <v>407522.965,282965.156</v>
      </c>
      <c r="AO121" t="str">
        <f t="shared" si="8"/>
        <v>407520.44,282966.946</v>
      </c>
      <c r="AQ121" t="s">
        <v>2076</v>
      </c>
      <c r="AR121" t="s">
        <v>682</v>
      </c>
    </row>
    <row r="122" spans="1:44" x14ac:dyDescent="0.3">
      <c r="A122">
        <v>3869</v>
      </c>
      <c r="B122">
        <v>4</v>
      </c>
      <c r="C122">
        <v>4019098</v>
      </c>
      <c r="D122">
        <v>40661</v>
      </c>
      <c r="E122">
        <v>2</v>
      </c>
      <c r="F122">
        <v>670050</v>
      </c>
      <c r="G122" t="s">
        <v>47</v>
      </c>
      <c r="H122" t="s">
        <v>50</v>
      </c>
      <c r="I122">
        <v>0</v>
      </c>
      <c r="J122" s="1">
        <v>407467.49200000003</v>
      </c>
      <c r="K122" s="1">
        <v>282594.38900000002</v>
      </c>
      <c r="L122" s="1">
        <v>407464.90299999999</v>
      </c>
      <c r="M122" s="1">
        <v>282595.10200000001</v>
      </c>
      <c r="N122" t="s">
        <v>40</v>
      </c>
      <c r="P122" t="s">
        <v>40</v>
      </c>
      <c r="Q122">
        <v>0</v>
      </c>
      <c r="R122">
        <v>0</v>
      </c>
      <c r="S122">
        <v>0</v>
      </c>
      <c r="T122">
        <v>6</v>
      </c>
      <c r="U122">
        <v>6</v>
      </c>
      <c r="V122">
        <v>1</v>
      </c>
      <c r="W122">
        <v>3</v>
      </c>
      <c r="X122" t="s">
        <v>40</v>
      </c>
      <c r="Y122">
        <v>3</v>
      </c>
      <c r="Z122">
        <v>90</v>
      </c>
      <c r="AA122">
        <v>1</v>
      </c>
      <c r="AB122">
        <v>0</v>
      </c>
      <c r="AC122">
        <v>4.4630000000000001</v>
      </c>
      <c r="AD122">
        <v>5059</v>
      </c>
      <c r="AH122">
        <v>0</v>
      </c>
      <c r="AI122">
        <v>0</v>
      </c>
      <c r="AL122" t="s">
        <v>40</v>
      </c>
      <c r="AM122" t="str">
        <f t="shared" si="6"/>
        <v>90 1</v>
      </c>
      <c r="AN122" t="str">
        <f t="shared" si="7"/>
        <v>407467.492,282594.389</v>
      </c>
      <c r="AO122" t="str">
        <f t="shared" si="8"/>
        <v>407464.903,282595.102</v>
      </c>
      <c r="AQ122" t="s">
        <v>684</v>
      </c>
      <c r="AR122" t="s">
        <v>2077</v>
      </c>
    </row>
    <row r="123" spans="1:44" x14ac:dyDescent="0.3">
      <c r="A123">
        <v>3869</v>
      </c>
      <c r="B123">
        <v>4</v>
      </c>
      <c r="C123">
        <v>4018953</v>
      </c>
      <c r="D123">
        <v>37653</v>
      </c>
      <c r="E123">
        <v>2</v>
      </c>
      <c r="F123">
        <v>670050</v>
      </c>
      <c r="G123" t="s">
        <v>47</v>
      </c>
      <c r="H123" t="s">
        <v>50</v>
      </c>
      <c r="I123">
        <v>0</v>
      </c>
      <c r="J123" s="1">
        <v>407358.36800000002</v>
      </c>
      <c r="K123" s="1">
        <v>282168.152</v>
      </c>
      <c r="L123" s="1">
        <v>407118.45299999998</v>
      </c>
      <c r="M123" s="1">
        <v>282080.20299999998</v>
      </c>
      <c r="N123" t="s">
        <v>40</v>
      </c>
      <c r="P123" t="s">
        <v>40</v>
      </c>
      <c r="Q123">
        <v>0</v>
      </c>
      <c r="R123">
        <v>0</v>
      </c>
      <c r="S123">
        <v>0</v>
      </c>
      <c r="T123">
        <v>6</v>
      </c>
      <c r="U123">
        <v>6</v>
      </c>
      <c r="V123">
        <v>1</v>
      </c>
      <c r="W123">
        <v>3</v>
      </c>
      <c r="X123" t="s">
        <v>40</v>
      </c>
      <c r="Y123">
        <v>3</v>
      </c>
      <c r="Z123">
        <v>86</v>
      </c>
      <c r="AA123">
        <v>1</v>
      </c>
      <c r="AB123">
        <v>0</v>
      </c>
      <c r="AC123">
        <v>330.94799999999998</v>
      </c>
      <c r="AD123">
        <v>5059</v>
      </c>
      <c r="AH123">
        <v>0</v>
      </c>
      <c r="AI123">
        <v>0</v>
      </c>
      <c r="AL123" t="s">
        <v>40</v>
      </c>
      <c r="AM123" t="str">
        <f t="shared" si="6"/>
        <v>86 1</v>
      </c>
      <c r="AN123" s="6" t="s">
        <v>177</v>
      </c>
      <c r="AO123" s="6" t="s">
        <v>930</v>
      </c>
      <c r="AQ123" t="s">
        <v>674</v>
      </c>
      <c r="AR123" t="s">
        <v>1946</v>
      </c>
    </row>
    <row r="124" spans="1:44" x14ac:dyDescent="0.3">
      <c r="A124">
        <v>3869</v>
      </c>
      <c r="B124">
        <v>4</v>
      </c>
      <c r="C124">
        <v>4018928</v>
      </c>
      <c r="D124">
        <v>16106</v>
      </c>
      <c r="E124">
        <v>2</v>
      </c>
      <c r="F124">
        <v>670050</v>
      </c>
      <c r="G124" t="s">
        <v>47</v>
      </c>
      <c r="H124" t="s">
        <v>50</v>
      </c>
      <c r="I124">
        <v>0</v>
      </c>
      <c r="J124" s="1">
        <v>407389.33299999998</v>
      </c>
      <c r="K124" s="1">
        <v>282091.08299999998</v>
      </c>
      <c r="L124" s="1">
        <v>407353.31099999999</v>
      </c>
      <c r="M124" s="1">
        <v>282104.902</v>
      </c>
      <c r="N124" t="s">
        <v>40</v>
      </c>
      <c r="P124" t="s">
        <v>40</v>
      </c>
      <c r="Q124">
        <v>0</v>
      </c>
      <c r="R124">
        <v>0</v>
      </c>
      <c r="S124">
        <v>0</v>
      </c>
      <c r="T124">
        <v>6</v>
      </c>
      <c r="U124">
        <v>6</v>
      </c>
      <c r="V124">
        <v>1</v>
      </c>
      <c r="W124">
        <v>1</v>
      </c>
      <c r="X124" t="s">
        <v>40</v>
      </c>
      <c r="Y124">
        <v>3</v>
      </c>
      <c r="Z124">
        <v>54</v>
      </c>
      <c r="AA124">
        <v>1</v>
      </c>
      <c r="AB124">
        <v>0</v>
      </c>
      <c r="AC124">
        <v>59.473999999999997</v>
      </c>
      <c r="AD124">
        <v>5059</v>
      </c>
      <c r="AH124">
        <v>0</v>
      </c>
      <c r="AI124">
        <v>0</v>
      </c>
      <c r="AL124" t="s">
        <v>40</v>
      </c>
      <c r="AM124" t="str">
        <f t="shared" si="6"/>
        <v>54 1</v>
      </c>
      <c r="AN124" t="str">
        <f t="shared" si="7"/>
        <v>407389.333,282091.083</v>
      </c>
      <c r="AO124" t="str">
        <f t="shared" si="8"/>
        <v>407353.311,282104.902</v>
      </c>
      <c r="AQ124" t="s">
        <v>2073</v>
      </c>
      <c r="AR124" t="s">
        <v>2078</v>
      </c>
    </row>
    <row r="125" spans="1:44" x14ac:dyDescent="0.3">
      <c r="A125">
        <v>3869</v>
      </c>
      <c r="B125">
        <v>4</v>
      </c>
      <c r="C125">
        <v>4018927</v>
      </c>
      <c r="D125">
        <v>37632</v>
      </c>
      <c r="E125">
        <v>2</v>
      </c>
      <c r="F125">
        <v>670050</v>
      </c>
      <c r="G125" t="s">
        <v>47</v>
      </c>
      <c r="H125" t="s">
        <v>50</v>
      </c>
      <c r="I125">
        <v>0</v>
      </c>
      <c r="J125" s="1">
        <v>407353.31099999999</v>
      </c>
      <c r="K125" s="1">
        <v>282104.902</v>
      </c>
      <c r="L125" s="1">
        <v>407350.01400000002</v>
      </c>
      <c r="M125" s="1">
        <v>282107.902</v>
      </c>
      <c r="N125" t="s">
        <v>40</v>
      </c>
      <c r="P125" t="s">
        <v>40</v>
      </c>
      <c r="Q125">
        <v>0</v>
      </c>
      <c r="R125">
        <v>0</v>
      </c>
      <c r="S125">
        <v>200103</v>
      </c>
      <c r="T125">
        <v>6</v>
      </c>
      <c r="U125">
        <v>6</v>
      </c>
      <c r="V125">
        <v>1</v>
      </c>
      <c r="W125">
        <v>1</v>
      </c>
      <c r="X125" t="s">
        <v>40</v>
      </c>
      <c r="Y125">
        <v>3</v>
      </c>
      <c r="Z125">
        <v>5030</v>
      </c>
      <c r="AA125">
        <v>1</v>
      </c>
      <c r="AB125">
        <v>0</v>
      </c>
      <c r="AC125">
        <v>5.8289999999999997</v>
      </c>
      <c r="AD125">
        <v>5059</v>
      </c>
      <c r="AH125">
        <v>0</v>
      </c>
      <c r="AI125">
        <v>0</v>
      </c>
      <c r="AL125" t="s">
        <v>40</v>
      </c>
      <c r="AM125" t="str">
        <f t="shared" si="6"/>
        <v>5030 1</v>
      </c>
      <c r="AN125" t="str">
        <f t="shared" si="7"/>
        <v>407353.311,282104.902</v>
      </c>
      <c r="AO125" t="str">
        <f t="shared" si="8"/>
        <v>407350.014,282107.902</v>
      </c>
      <c r="AQ125" t="s">
        <v>2078</v>
      </c>
      <c r="AR125" t="s">
        <v>676</v>
      </c>
    </row>
    <row r="126" spans="1:44" x14ac:dyDescent="0.3">
      <c r="A126">
        <v>3869</v>
      </c>
      <c r="B126">
        <v>4</v>
      </c>
      <c r="C126">
        <v>4019424</v>
      </c>
      <c r="D126">
        <v>16621</v>
      </c>
      <c r="E126">
        <v>2</v>
      </c>
      <c r="F126">
        <v>670050</v>
      </c>
      <c r="G126" t="s">
        <v>47</v>
      </c>
      <c r="H126" t="s">
        <v>52</v>
      </c>
      <c r="I126">
        <v>0</v>
      </c>
      <c r="J126" s="1">
        <v>407554.35399999999</v>
      </c>
      <c r="K126" s="1">
        <v>283207.02600000001</v>
      </c>
      <c r="L126" s="1">
        <v>407382.625</v>
      </c>
      <c r="M126" s="1">
        <v>283249.41800000001</v>
      </c>
      <c r="N126" t="s">
        <v>40</v>
      </c>
      <c r="P126" t="s">
        <v>40</v>
      </c>
      <c r="Q126">
        <v>0</v>
      </c>
      <c r="R126">
        <v>0</v>
      </c>
      <c r="S126">
        <v>0</v>
      </c>
      <c r="T126">
        <v>6</v>
      </c>
      <c r="U126">
        <v>6</v>
      </c>
      <c r="V126">
        <v>1</v>
      </c>
      <c r="W126">
        <v>1</v>
      </c>
      <c r="X126" t="s">
        <v>40</v>
      </c>
      <c r="Y126">
        <v>3</v>
      </c>
      <c r="Z126">
        <v>89</v>
      </c>
      <c r="AA126">
        <v>1</v>
      </c>
      <c r="AB126">
        <v>0</v>
      </c>
      <c r="AC126">
        <v>601.78800000000001</v>
      </c>
      <c r="AD126">
        <v>5059</v>
      </c>
      <c r="AH126">
        <v>0</v>
      </c>
      <c r="AI126">
        <v>0</v>
      </c>
      <c r="AL126" t="s">
        <v>40</v>
      </c>
      <c r="AM126" t="str">
        <f t="shared" si="6"/>
        <v>89 1</v>
      </c>
      <c r="AN126" s="6" t="s">
        <v>938</v>
      </c>
      <c r="AO126" s="6" t="s">
        <v>931</v>
      </c>
      <c r="AQ126" t="s">
        <v>2079</v>
      </c>
      <c r="AR126" t="s">
        <v>2076</v>
      </c>
    </row>
    <row r="127" spans="1:44" x14ac:dyDescent="0.3">
      <c r="A127">
        <v>3869</v>
      </c>
      <c r="B127">
        <v>4</v>
      </c>
      <c r="C127">
        <v>4018910</v>
      </c>
      <c r="D127">
        <v>37631</v>
      </c>
      <c r="E127">
        <v>2</v>
      </c>
      <c r="F127">
        <v>670050</v>
      </c>
      <c r="G127" t="s">
        <v>47</v>
      </c>
      <c r="H127" t="s">
        <v>50</v>
      </c>
      <c r="I127">
        <v>0</v>
      </c>
      <c r="J127" s="1">
        <v>407352.91399999999</v>
      </c>
      <c r="K127" s="1">
        <v>282104.85399999999</v>
      </c>
      <c r="L127" s="1">
        <v>407350.07699999999</v>
      </c>
      <c r="M127" s="1">
        <v>282107.462</v>
      </c>
      <c r="N127" t="s">
        <v>40</v>
      </c>
      <c r="P127" t="s">
        <v>40</v>
      </c>
      <c r="Q127">
        <v>0</v>
      </c>
      <c r="R127">
        <v>0</v>
      </c>
      <c r="S127">
        <v>200103</v>
      </c>
      <c r="T127">
        <v>6</v>
      </c>
      <c r="U127">
        <v>6</v>
      </c>
      <c r="V127">
        <v>1</v>
      </c>
      <c r="W127">
        <v>1</v>
      </c>
      <c r="X127" t="s">
        <v>40</v>
      </c>
      <c r="Y127">
        <v>3</v>
      </c>
      <c r="Z127">
        <v>5030</v>
      </c>
      <c r="AA127">
        <v>1</v>
      </c>
      <c r="AB127">
        <v>0</v>
      </c>
      <c r="AC127">
        <v>5.048</v>
      </c>
      <c r="AD127">
        <v>5059</v>
      </c>
      <c r="AH127">
        <v>0</v>
      </c>
      <c r="AI127">
        <v>0</v>
      </c>
      <c r="AL127" t="s">
        <v>40</v>
      </c>
      <c r="AM127" t="str">
        <f t="shared" si="6"/>
        <v>5030 1</v>
      </c>
      <c r="AN127" t="str">
        <f t="shared" si="7"/>
        <v>407352.914,282104.854</v>
      </c>
      <c r="AO127" t="str">
        <f t="shared" si="8"/>
        <v>407350.077,282107.462</v>
      </c>
      <c r="AQ127" t="s">
        <v>2080</v>
      </c>
      <c r="AR127" t="s">
        <v>676</v>
      </c>
    </row>
    <row r="128" spans="1:44" x14ac:dyDescent="0.3">
      <c r="A128">
        <v>3869</v>
      </c>
      <c r="B128">
        <v>4</v>
      </c>
      <c r="C128">
        <v>4018887</v>
      </c>
      <c r="D128">
        <v>17142</v>
      </c>
      <c r="E128">
        <v>2</v>
      </c>
      <c r="F128">
        <v>670050</v>
      </c>
      <c r="G128" t="s">
        <v>47</v>
      </c>
      <c r="H128" t="s">
        <v>50</v>
      </c>
      <c r="I128">
        <v>0</v>
      </c>
      <c r="J128" s="1">
        <v>407387.239</v>
      </c>
      <c r="K128" s="1">
        <v>282000</v>
      </c>
      <c r="L128" s="1">
        <v>407384.93300000002</v>
      </c>
      <c r="M128" s="1">
        <v>282086.44699999999</v>
      </c>
      <c r="N128" t="s">
        <v>40</v>
      </c>
      <c r="P128" t="s">
        <v>40</v>
      </c>
      <c r="Q128">
        <v>0</v>
      </c>
      <c r="R128">
        <v>0</v>
      </c>
      <c r="S128">
        <v>0</v>
      </c>
      <c r="T128">
        <v>6</v>
      </c>
      <c r="U128">
        <v>6</v>
      </c>
      <c r="V128">
        <v>1</v>
      </c>
      <c r="W128">
        <v>1</v>
      </c>
      <c r="X128" t="s">
        <v>40</v>
      </c>
      <c r="Y128">
        <v>3</v>
      </c>
      <c r="Z128">
        <v>89</v>
      </c>
      <c r="AA128">
        <v>1</v>
      </c>
      <c r="AB128">
        <v>0</v>
      </c>
      <c r="AC128">
        <v>383.67900000000003</v>
      </c>
      <c r="AD128">
        <v>5059</v>
      </c>
      <c r="AH128">
        <v>0</v>
      </c>
      <c r="AI128">
        <v>0</v>
      </c>
      <c r="AL128" t="s">
        <v>40</v>
      </c>
      <c r="AM128" t="str">
        <f t="shared" si="6"/>
        <v>89 1</v>
      </c>
      <c r="AN128" s="6" t="s">
        <v>935</v>
      </c>
      <c r="AO128" s="6" t="s">
        <v>943</v>
      </c>
      <c r="AQ128" t="s">
        <v>2081</v>
      </c>
      <c r="AR128" t="s">
        <v>2058</v>
      </c>
    </row>
    <row r="129" spans="1:44" x14ac:dyDescent="0.3">
      <c r="A129">
        <v>3869</v>
      </c>
      <c r="B129">
        <v>4</v>
      </c>
      <c r="C129">
        <v>4018899</v>
      </c>
      <c r="D129">
        <v>16107</v>
      </c>
      <c r="E129">
        <v>2</v>
      </c>
      <c r="F129">
        <v>670050</v>
      </c>
      <c r="G129" t="s">
        <v>47</v>
      </c>
      <c r="H129" t="s">
        <v>50</v>
      </c>
      <c r="I129">
        <v>0</v>
      </c>
      <c r="J129" s="1">
        <v>407384.93300000002</v>
      </c>
      <c r="K129" s="1">
        <v>282086.44699999999</v>
      </c>
      <c r="L129" s="1">
        <v>407352.91399999999</v>
      </c>
      <c r="M129" s="1">
        <v>282104.85399999999</v>
      </c>
      <c r="N129" t="s">
        <v>40</v>
      </c>
      <c r="P129" t="s">
        <v>40</v>
      </c>
      <c r="Q129">
        <v>0</v>
      </c>
      <c r="R129">
        <v>0</v>
      </c>
      <c r="S129">
        <v>0</v>
      </c>
      <c r="T129">
        <v>6</v>
      </c>
      <c r="U129">
        <v>6</v>
      </c>
      <c r="V129">
        <v>1</v>
      </c>
      <c r="W129">
        <v>1</v>
      </c>
      <c r="X129" t="s">
        <v>40</v>
      </c>
      <c r="Y129">
        <v>3</v>
      </c>
      <c r="Z129">
        <v>54</v>
      </c>
      <c r="AA129">
        <v>1</v>
      </c>
      <c r="AB129">
        <v>0</v>
      </c>
      <c r="AC129">
        <v>52.515999999999998</v>
      </c>
      <c r="AD129">
        <v>5059</v>
      </c>
      <c r="AH129">
        <v>0</v>
      </c>
      <c r="AI129">
        <v>0</v>
      </c>
      <c r="AL129" t="s">
        <v>40</v>
      </c>
      <c r="AM129" t="str">
        <f t="shared" si="6"/>
        <v>54 1</v>
      </c>
      <c r="AN129" t="str">
        <f t="shared" si="7"/>
        <v>407384.933,282086.447</v>
      </c>
      <c r="AO129" t="str">
        <f t="shared" si="8"/>
        <v>407352.914,282104.854</v>
      </c>
      <c r="AQ129" t="s">
        <v>2081</v>
      </c>
      <c r="AR129" t="s">
        <v>2080</v>
      </c>
    </row>
    <row r="130" spans="1:44" x14ac:dyDescent="0.3">
      <c r="A130">
        <v>3869</v>
      </c>
      <c r="B130">
        <v>4</v>
      </c>
      <c r="C130">
        <v>4026475</v>
      </c>
      <c r="D130">
        <v>22512</v>
      </c>
      <c r="E130">
        <v>2</v>
      </c>
      <c r="F130">
        <v>670050</v>
      </c>
      <c r="G130" t="s">
        <v>47</v>
      </c>
      <c r="H130" t="s">
        <v>41</v>
      </c>
      <c r="I130">
        <v>0</v>
      </c>
      <c r="J130" s="1">
        <v>405145.054</v>
      </c>
      <c r="K130" s="1">
        <v>281004.15299999999</v>
      </c>
      <c r="L130" s="1">
        <v>405145.587</v>
      </c>
      <c r="M130" s="1">
        <v>281000</v>
      </c>
      <c r="N130" t="s">
        <v>40</v>
      </c>
      <c r="P130" t="s">
        <v>40</v>
      </c>
      <c r="Q130">
        <v>0</v>
      </c>
      <c r="R130">
        <v>0</v>
      </c>
      <c r="S130">
        <v>0</v>
      </c>
      <c r="T130">
        <v>6</v>
      </c>
      <c r="U130">
        <v>6</v>
      </c>
      <c r="V130">
        <v>1</v>
      </c>
      <c r="W130">
        <v>1</v>
      </c>
      <c r="X130" t="s">
        <v>40</v>
      </c>
      <c r="Y130">
        <v>3</v>
      </c>
      <c r="Z130">
        <v>90</v>
      </c>
      <c r="AA130">
        <v>1</v>
      </c>
      <c r="AB130">
        <v>0</v>
      </c>
      <c r="AC130">
        <v>4.1870000000000003</v>
      </c>
      <c r="AD130">
        <v>5059</v>
      </c>
      <c r="AH130">
        <v>0</v>
      </c>
      <c r="AI130">
        <v>0</v>
      </c>
      <c r="AL130" t="s">
        <v>40</v>
      </c>
      <c r="AM130" t="str">
        <f t="shared" si="6"/>
        <v>90 1</v>
      </c>
      <c r="AN130" t="str">
        <f t="shared" si="7"/>
        <v>405145.054,281004.153</v>
      </c>
      <c r="AO130" t="str">
        <f t="shared" si="8"/>
        <v>405145.587,281000</v>
      </c>
      <c r="AQ130" t="s">
        <v>2082</v>
      </c>
      <c r="AR130" t="s">
        <v>2083</v>
      </c>
    </row>
    <row r="131" spans="1:44" x14ac:dyDescent="0.3">
      <c r="A131">
        <v>3869</v>
      </c>
      <c r="B131">
        <v>4</v>
      </c>
      <c r="C131">
        <v>4019096</v>
      </c>
      <c r="D131">
        <v>16415</v>
      </c>
      <c r="E131">
        <v>2</v>
      </c>
      <c r="F131">
        <v>670050</v>
      </c>
      <c r="G131" t="s">
        <v>47</v>
      </c>
      <c r="H131" t="s">
        <v>52</v>
      </c>
      <c r="I131">
        <v>0</v>
      </c>
      <c r="J131" s="1">
        <v>407362.685</v>
      </c>
      <c r="K131" s="1">
        <v>283245.04399999999</v>
      </c>
      <c r="L131" s="1">
        <v>407336.48700000002</v>
      </c>
      <c r="M131" s="1">
        <v>283207.27100000001</v>
      </c>
      <c r="N131" t="s">
        <v>40</v>
      </c>
      <c r="P131" t="s">
        <v>40</v>
      </c>
      <c r="Q131">
        <v>0</v>
      </c>
      <c r="R131">
        <v>0</v>
      </c>
      <c r="S131">
        <v>0</v>
      </c>
      <c r="T131">
        <v>6</v>
      </c>
      <c r="U131">
        <v>6</v>
      </c>
      <c r="V131">
        <v>1</v>
      </c>
      <c r="W131">
        <v>1</v>
      </c>
      <c r="X131" t="s">
        <v>40</v>
      </c>
      <c r="Y131">
        <v>3</v>
      </c>
      <c r="Z131">
        <v>52</v>
      </c>
      <c r="AA131">
        <v>1</v>
      </c>
      <c r="AB131">
        <v>0</v>
      </c>
      <c r="AC131">
        <v>61.406000000000006</v>
      </c>
      <c r="AD131">
        <v>5059</v>
      </c>
      <c r="AH131">
        <v>0</v>
      </c>
      <c r="AI131">
        <v>0</v>
      </c>
      <c r="AL131" t="s">
        <v>40</v>
      </c>
      <c r="AM131" t="str">
        <f t="shared" si="6"/>
        <v>52 1</v>
      </c>
      <c r="AN131" s="6" t="s">
        <v>937</v>
      </c>
      <c r="AO131" s="6" t="s">
        <v>938</v>
      </c>
      <c r="AQ131" t="s">
        <v>2084</v>
      </c>
      <c r="AR131" t="s">
        <v>2079</v>
      </c>
    </row>
    <row r="132" spans="1:44" x14ac:dyDescent="0.3">
      <c r="A132">
        <v>3869</v>
      </c>
      <c r="B132">
        <v>4</v>
      </c>
      <c r="C132">
        <v>4019097</v>
      </c>
      <c r="D132">
        <v>16423</v>
      </c>
      <c r="E132">
        <v>2</v>
      </c>
      <c r="F132">
        <v>670050</v>
      </c>
      <c r="G132" t="s">
        <v>47</v>
      </c>
      <c r="H132" t="s">
        <v>52</v>
      </c>
      <c r="I132">
        <v>0</v>
      </c>
      <c r="J132" s="1">
        <v>407336.48700000002</v>
      </c>
      <c r="K132" s="1">
        <v>283207.27100000001</v>
      </c>
      <c r="L132" s="1">
        <v>407303.17800000001</v>
      </c>
      <c r="M132" s="1">
        <v>283194.62900000002</v>
      </c>
      <c r="N132" t="s">
        <v>40</v>
      </c>
      <c r="P132" t="s">
        <v>40</v>
      </c>
      <c r="Q132">
        <v>0</v>
      </c>
      <c r="R132">
        <v>0</v>
      </c>
      <c r="S132">
        <v>0</v>
      </c>
      <c r="T132">
        <v>6</v>
      </c>
      <c r="U132">
        <v>6</v>
      </c>
      <c r="V132">
        <v>1</v>
      </c>
      <c r="W132">
        <v>1</v>
      </c>
      <c r="X132" t="s">
        <v>40</v>
      </c>
      <c r="Y132">
        <v>3</v>
      </c>
      <c r="Z132">
        <v>38</v>
      </c>
      <c r="AA132">
        <v>5001</v>
      </c>
      <c r="AB132">
        <v>0</v>
      </c>
      <c r="AC132">
        <v>57.228000000000002</v>
      </c>
      <c r="AD132">
        <v>5059</v>
      </c>
      <c r="AH132">
        <v>0</v>
      </c>
      <c r="AI132">
        <v>0</v>
      </c>
      <c r="AL132" t="s">
        <v>40</v>
      </c>
      <c r="AM132" t="str">
        <f t="shared" si="6"/>
        <v>38 5001</v>
      </c>
      <c r="AN132" t="str">
        <f t="shared" si="7"/>
        <v>407336.487,283207.271</v>
      </c>
      <c r="AO132" t="str">
        <f t="shared" si="8"/>
        <v>407303.178,283194.629</v>
      </c>
      <c r="AQ132" t="s">
        <v>2084</v>
      </c>
      <c r="AR132" t="s">
        <v>2071</v>
      </c>
    </row>
    <row r="133" spans="1:44" x14ac:dyDescent="0.3">
      <c r="A133">
        <v>3869</v>
      </c>
      <c r="B133">
        <v>4</v>
      </c>
      <c r="C133">
        <v>4023390</v>
      </c>
      <c r="D133">
        <v>22953</v>
      </c>
      <c r="E133">
        <v>2</v>
      </c>
      <c r="F133">
        <v>670050</v>
      </c>
      <c r="G133" t="s">
        <v>47</v>
      </c>
      <c r="H133" t="s">
        <v>43</v>
      </c>
      <c r="I133">
        <v>0</v>
      </c>
      <c r="J133" s="1">
        <v>405145.587</v>
      </c>
      <c r="K133" s="1">
        <v>281000</v>
      </c>
      <c r="L133" s="1">
        <v>405145.196</v>
      </c>
      <c r="M133" s="1">
        <v>280999.255</v>
      </c>
      <c r="N133" t="s">
        <v>40</v>
      </c>
      <c r="P133" t="s">
        <v>40</v>
      </c>
      <c r="Q133">
        <v>0</v>
      </c>
      <c r="R133">
        <v>0</v>
      </c>
      <c r="S133">
        <v>0</v>
      </c>
      <c r="T133">
        <v>6</v>
      </c>
      <c r="U133">
        <v>6</v>
      </c>
      <c r="V133">
        <v>1</v>
      </c>
      <c r="W133">
        <v>1</v>
      </c>
      <c r="X133" t="s">
        <v>40</v>
      </c>
      <c r="Y133">
        <v>3</v>
      </c>
      <c r="Z133">
        <v>90</v>
      </c>
      <c r="AA133">
        <v>99</v>
      </c>
      <c r="AB133">
        <v>0</v>
      </c>
      <c r="AC133">
        <v>1.0640000000000001</v>
      </c>
      <c r="AD133">
        <v>5059</v>
      </c>
      <c r="AH133">
        <v>0</v>
      </c>
      <c r="AI133">
        <v>0</v>
      </c>
      <c r="AL133" t="s">
        <v>40</v>
      </c>
      <c r="AM133" t="str">
        <f t="shared" si="6"/>
        <v>90 99</v>
      </c>
      <c r="AN133" t="str">
        <f t="shared" si="7"/>
        <v>405145.587,281000</v>
      </c>
      <c r="AO133" t="str">
        <f t="shared" si="8"/>
        <v>405145.196,280999.255</v>
      </c>
      <c r="AQ133" t="s">
        <v>2083</v>
      </c>
      <c r="AR133" t="s">
        <v>2085</v>
      </c>
    </row>
    <row r="134" spans="1:44" x14ac:dyDescent="0.3">
      <c r="A134">
        <v>3869</v>
      </c>
      <c r="B134">
        <v>4</v>
      </c>
      <c r="C134">
        <v>4026495</v>
      </c>
      <c r="D134">
        <v>22884</v>
      </c>
      <c r="E134">
        <v>2</v>
      </c>
      <c r="F134">
        <v>670050</v>
      </c>
      <c r="G134" t="s">
        <v>47</v>
      </c>
      <c r="H134" t="s">
        <v>41</v>
      </c>
      <c r="I134">
        <v>0</v>
      </c>
      <c r="J134" s="1">
        <v>405212.43099999998</v>
      </c>
      <c r="K134" s="1">
        <v>281182.17099999997</v>
      </c>
      <c r="L134" s="1">
        <v>405208.84700000001</v>
      </c>
      <c r="M134" s="1">
        <v>281333.52500000002</v>
      </c>
      <c r="N134" t="s">
        <v>40</v>
      </c>
      <c r="P134" t="s">
        <v>40</v>
      </c>
      <c r="Q134">
        <v>0</v>
      </c>
      <c r="R134">
        <v>0</v>
      </c>
      <c r="S134">
        <v>0</v>
      </c>
      <c r="T134">
        <v>6</v>
      </c>
      <c r="U134">
        <v>6</v>
      </c>
      <c r="V134">
        <v>1</v>
      </c>
      <c r="W134">
        <v>1</v>
      </c>
      <c r="X134" t="s">
        <v>40</v>
      </c>
      <c r="Y134">
        <v>3</v>
      </c>
      <c r="Z134">
        <v>93</v>
      </c>
      <c r="AA134">
        <v>1</v>
      </c>
      <c r="AB134">
        <v>0</v>
      </c>
      <c r="AC134">
        <v>415.00700000000001</v>
      </c>
      <c r="AD134">
        <v>5059</v>
      </c>
      <c r="AH134">
        <v>0</v>
      </c>
      <c r="AI134">
        <v>0</v>
      </c>
      <c r="AL134" t="s">
        <v>40</v>
      </c>
      <c r="AM134" t="str">
        <f t="shared" ref="AM134:AM170" si="9">_xlfn.CONCAT(Z134, " ",AA134)</f>
        <v>93 1</v>
      </c>
      <c r="AN134" s="6" t="s">
        <v>940</v>
      </c>
      <c r="AO134" s="6" t="s">
        <v>936</v>
      </c>
      <c r="AQ134" t="s">
        <v>2086</v>
      </c>
      <c r="AR134" t="s">
        <v>2082</v>
      </c>
    </row>
    <row r="135" spans="1:44" x14ac:dyDescent="0.3">
      <c r="A135">
        <v>3869</v>
      </c>
      <c r="B135">
        <v>4</v>
      </c>
      <c r="C135">
        <v>4026509</v>
      </c>
      <c r="D135">
        <v>22815</v>
      </c>
      <c r="E135">
        <v>2</v>
      </c>
      <c r="F135">
        <v>670050</v>
      </c>
      <c r="G135" t="s">
        <v>47</v>
      </c>
      <c r="H135" t="s">
        <v>41</v>
      </c>
      <c r="I135">
        <v>0</v>
      </c>
      <c r="J135" s="1">
        <v>405208.84700000001</v>
      </c>
      <c r="K135" s="1">
        <v>281333.52500000002</v>
      </c>
      <c r="L135" s="1">
        <v>405217.54499999998</v>
      </c>
      <c r="M135" s="1">
        <v>281336.79200000002</v>
      </c>
      <c r="N135" t="s">
        <v>40</v>
      </c>
      <c r="P135" t="s">
        <v>40</v>
      </c>
      <c r="Q135">
        <v>0</v>
      </c>
      <c r="R135">
        <v>0</v>
      </c>
      <c r="S135">
        <v>0</v>
      </c>
      <c r="T135">
        <v>6</v>
      </c>
      <c r="U135">
        <v>6</v>
      </c>
      <c r="V135">
        <v>1</v>
      </c>
      <c r="W135">
        <v>1</v>
      </c>
      <c r="X135" t="s">
        <v>40</v>
      </c>
      <c r="Y135">
        <v>3</v>
      </c>
      <c r="Z135">
        <v>92</v>
      </c>
      <c r="AA135">
        <v>1</v>
      </c>
      <c r="AB135">
        <v>0</v>
      </c>
      <c r="AC135">
        <v>9.2919999999999998</v>
      </c>
      <c r="AD135">
        <v>5059</v>
      </c>
      <c r="AH135">
        <v>0</v>
      </c>
      <c r="AI135">
        <v>0</v>
      </c>
      <c r="AL135" t="s">
        <v>40</v>
      </c>
      <c r="AM135" t="str">
        <f t="shared" si="9"/>
        <v>92 1</v>
      </c>
      <c r="AN135" t="str">
        <f t="shared" ref="AN135:AN170" si="10">ROUND(J135,3)&amp;","&amp;ROUND(K135,3)</f>
        <v>405208.847,281333.525</v>
      </c>
      <c r="AO135" t="str">
        <f t="shared" ref="AO135:AO170" si="11">ROUND(L135,3)&amp;","&amp;ROUND(M135,3)</f>
        <v>405217.545,281336.792</v>
      </c>
      <c r="AQ135" t="s">
        <v>2086</v>
      </c>
      <c r="AR135" t="s">
        <v>2066</v>
      </c>
    </row>
    <row r="136" spans="1:44" x14ac:dyDescent="0.3">
      <c r="A136">
        <v>3869</v>
      </c>
      <c r="B136">
        <v>4</v>
      </c>
      <c r="C136">
        <v>4019047</v>
      </c>
      <c r="D136">
        <v>16706</v>
      </c>
      <c r="E136">
        <v>2</v>
      </c>
      <c r="F136">
        <v>670050</v>
      </c>
      <c r="G136" t="s">
        <v>47</v>
      </c>
      <c r="H136" t="s">
        <v>50</v>
      </c>
      <c r="I136">
        <v>0</v>
      </c>
      <c r="J136" s="1">
        <v>407414.73300000001</v>
      </c>
      <c r="K136" s="1">
        <v>282682.45400000003</v>
      </c>
      <c r="L136" s="1">
        <v>407425.10100000002</v>
      </c>
      <c r="M136" s="1">
        <v>282598.47100000002</v>
      </c>
      <c r="N136" t="s">
        <v>40</v>
      </c>
      <c r="P136" t="s">
        <v>40</v>
      </c>
      <c r="Q136">
        <v>0</v>
      </c>
      <c r="R136">
        <v>0</v>
      </c>
      <c r="S136">
        <v>0</v>
      </c>
      <c r="T136">
        <v>6</v>
      </c>
      <c r="U136">
        <v>6</v>
      </c>
      <c r="V136">
        <v>1</v>
      </c>
      <c r="W136">
        <v>1</v>
      </c>
      <c r="X136" t="s">
        <v>40</v>
      </c>
      <c r="Y136">
        <v>3</v>
      </c>
      <c r="Z136">
        <v>89</v>
      </c>
      <c r="AA136">
        <v>1</v>
      </c>
      <c r="AB136">
        <v>0</v>
      </c>
      <c r="AC136">
        <v>419.96199999999999</v>
      </c>
      <c r="AD136">
        <v>5059</v>
      </c>
      <c r="AH136">
        <v>0</v>
      </c>
      <c r="AI136">
        <v>0</v>
      </c>
      <c r="AL136" t="s">
        <v>40</v>
      </c>
      <c r="AM136" t="str">
        <f t="shared" si="9"/>
        <v>89 1</v>
      </c>
      <c r="AN136" s="6" t="s">
        <v>1627</v>
      </c>
      <c r="AO136" s="6" t="s">
        <v>916</v>
      </c>
      <c r="AQ136" t="s">
        <v>2075</v>
      </c>
      <c r="AR136" t="s">
        <v>2057</v>
      </c>
    </row>
    <row r="137" spans="1:44" x14ac:dyDescent="0.3">
      <c r="A137">
        <v>3869</v>
      </c>
      <c r="B137">
        <v>4</v>
      </c>
      <c r="C137">
        <v>4020682</v>
      </c>
      <c r="D137">
        <v>19391</v>
      </c>
      <c r="E137">
        <v>2</v>
      </c>
      <c r="F137">
        <v>670050</v>
      </c>
      <c r="G137" t="s">
        <v>47</v>
      </c>
      <c r="H137" t="s">
        <v>53</v>
      </c>
      <c r="I137">
        <v>0</v>
      </c>
      <c r="J137" s="1">
        <v>406857.337</v>
      </c>
      <c r="K137" s="1">
        <v>281308.05800000002</v>
      </c>
      <c r="L137" s="1">
        <v>406936.22499999998</v>
      </c>
      <c r="M137" s="1">
        <v>281358.71000000002</v>
      </c>
      <c r="N137" t="s">
        <v>40</v>
      </c>
      <c r="P137" t="s">
        <v>40</v>
      </c>
      <c r="Q137">
        <v>0</v>
      </c>
      <c r="R137">
        <v>0</v>
      </c>
      <c r="S137">
        <v>0</v>
      </c>
      <c r="T137">
        <v>6</v>
      </c>
      <c r="U137">
        <v>6</v>
      </c>
      <c r="V137">
        <v>1</v>
      </c>
      <c r="W137">
        <v>2</v>
      </c>
      <c r="X137" t="s">
        <v>40</v>
      </c>
      <c r="Y137">
        <v>3</v>
      </c>
      <c r="Z137">
        <v>88</v>
      </c>
      <c r="AA137">
        <v>1</v>
      </c>
      <c r="AB137">
        <v>0</v>
      </c>
      <c r="AC137">
        <v>254.86099999999999</v>
      </c>
      <c r="AD137">
        <v>5059</v>
      </c>
      <c r="AH137">
        <v>0</v>
      </c>
      <c r="AI137">
        <v>0</v>
      </c>
      <c r="AL137" t="s">
        <v>40</v>
      </c>
      <c r="AM137" t="str">
        <f t="shared" si="9"/>
        <v>88 1</v>
      </c>
      <c r="AN137" s="6" t="s">
        <v>929</v>
      </c>
      <c r="AO137" s="6" t="s">
        <v>942</v>
      </c>
      <c r="AQ137" t="s">
        <v>2072</v>
      </c>
      <c r="AR137" t="s">
        <v>2087</v>
      </c>
    </row>
    <row r="138" spans="1:44" x14ac:dyDescent="0.3">
      <c r="A138">
        <v>3869</v>
      </c>
      <c r="B138">
        <v>4</v>
      </c>
      <c r="C138">
        <v>4019219</v>
      </c>
      <c r="D138">
        <v>15889</v>
      </c>
      <c r="E138">
        <v>2</v>
      </c>
      <c r="F138">
        <v>670050</v>
      </c>
      <c r="G138" t="s">
        <v>47</v>
      </c>
      <c r="H138" t="s">
        <v>52</v>
      </c>
      <c r="I138">
        <v>0</v>
      </c>
      <c r="J138" s="1">
        <v>407164.90700000001</v>
      </c>
      <c r="K138" s="1">
        <v>283543.755</v>
      </c>
      <c r="L138" s="1">
        <v>407170.60399999999</v>
      </c>
      <c r="M138" s="1">
        <v>283525.47100000002</v>
      </c>
      <c r="N138" t="s">
        <v>40</v>
      </c>
      <c r="P138" t="s">
        <v>40</v>
      </c>
      <c r="Q138">
        <v>0</v>
      </c>
      <c r="R138">
        <v>0</v>
      </c>
      <c r="S138">
        <v>0</v>
      </c>
      <c r="T138">
        <v>6</v>
      </c>
      <c r="U138">
        <v>6</v>
      </c>
      <c r="V138">
        <v>1</v>
      </c>
      <c r="W138">
        <v>1</v>
      </c>
      <c r="X138" t="s">
        <v>40</v>
      </c>
      <c r="Y138">
        <v>3</v>
      </c>
      <c r="Z138">
        <v>38</v>
      </c>
      <c r="AA138">
        <v>5001</v>
      </c>
      <c r="AB138">
        <v>0</v>
      </c>
      <c r="AC138">
        <v>19.152999999999999</v>
      </c>
      <c r="AD138">
        <v>5059</v>
      </c>
      <c r="AH138">
        <v>0</v>
      </c>
      <c r="AI138">
        <v>0</v>
      </c>
      <c r="AL138" t="s">
        <v>40</v>
      </c>
      <c r="AM138" t="str">
        <f t="shared" si="9"/>
        <v>38 5001</v>
      </c>
      <c r="AN138" t="str">
        <f t="shared" si="10"/>
        <v>407164.907,283543.755</v>
      </c>
      <c r="AO138" t="str">
        <f t="shared" si="11"/>
        <v>407170.604,283525.471</v>
      </c>
      <c r="AQ138" t="s">
        <v>2088</v>
      </c>
      <c r="AR138" t="s">
        <v>2089</v>
      </c>
    </row>
    <row r="139" spans="1:44" x14ac:dyDescent="0.3">
      <c r="A139">
        <v>3869</v>
      </c>
      <c r="B139">
        <v>4</v>
      </c>
      <c r="C139">
        <v>4018971</v>
      </c>
      <c r="D139">
        <v>16072</v>
      </c>
      <c r="E139">
        <v>2</v>
      </c>
      <c r="F139">
        <v>670050</v>
      </c>
      <c r="G139" t="s">
        <v>47</v>
      </c>
      <c r="H139" t="s">
        <v>50</v>
      </c>
      <c r="I139">
        <v>0</v>
      </c>
      <c r="J139" s="1">
        <v>407389.53200000001</v>
      </c>
      <c r="K139" s="1">
        <v>282241.20299999998</v>
      </c>
      <c r="L139" s="1">
        <v>407386.59</v>
      </c>
      <c r="M139" s="1">
        <v>282181.28399999999</v>
      </c>
      <c r="N139" t="s">
        <v>40</v>
      </c>
      <c r="P139" t="s">
        <v>40</v>
      </c>
      <c r="Q139">
        <v>0</v>
      </c>
      <c r="R139">
        <v>0</v>
      </c>
      <c r="S139">
        <v>0</v>
      </c>
      <c r="T139">
        <v>6</v>
      </c>
      <c r="U139">
        <v>6</v>
      </c>
      <c r="V139">
        <v>1</v>
      </c>
      <c r="W139">
        <v>1</v>
      </c>
      <c r="X139" t="s">
        <v>40</v>
      </c>
      <c r="Y139">
        <v>3</v>
      </c>
      <c r="Z139">
        <v>89</v>
      </c>
      <c r="AA139">
        <v>1</v>
      </c>
      <c r="AB139">
        <v>0</v>
      </c>
      <c r="AC139">
        <v>60.002000000000002</v>
      </c>
      <c r="AD139">
        <v>5059</v>
      </c>
      <c r="AH139">
        <v>0</v>
      </c>
      <c r="AI139">
        <v>0</v>
      </c>
      <c r="AL139" t="s">
        <v>40</v>
      </c>
      <c r="AM139" t="str">
        <f t="shared" si="9"/>
        <v>89 1</v>
      </c>
      <c r="AN139" t="str">
        <f t="shared" si="10"/>
        <v>407389.532,282241.203</v>
      </c>
      <c r="AO139" t="str">
        <f t="shared" si="11"/>
        <v>407386.59,282181.284</v>
      </c>
      <c r="AQ139" t="s">
        <v>2090</v>
      </c>
      <c r="AR139" t="s">
        <v>1946</v>
      </c>
    </row>
    <row r="140" spans="1:44" x14ac:dyDescent="0.3">
      <c r="A140">
        <v>3869</v>
      </c>
      <c r="B140">
        <v>4</v>
      </c>
      <c r="C140">
        <v>4020689</v>
      </c>
      <c r="D140">
        <v>41859</v>
      </c>
      <c r="E140">
        <v>2</v>
      </c>
      <c r="F140">
        <v>670050</v>
      </c>
      <c r="G140" t="s">
        <v>47</v>
      </c>
      <c r="H140" t="s">
        <v>53</v>
      </c>
      <c r="I140">
        <v>0</v>
      </c>
      <c r="J140" s="1">
        <v>406857.337</v>
      </c>
      <c r="K140" s="1">
        <v>281308.05800000002</v>
      </c>
      <c r="L140" s="1">
        <v>406837.98599999998</v>
      </c>
      <c r="M140" s="1">
        <v>281323.27600000001</v>
      </c>
      <c r="N140" t="s">
        <v>40</v>
      </c>
      <c r="P140" t="s">
        <v>40</v>
      </c>
      <c r="Q140">
        <v>0</v>
      </c>
      <c r="R140">
        <v>0</v>
      </c>
      <c r="S140">
        <v>0</v>
      </c>
      <c r="T140">
        <v>6</v>
      </c>
      <c r="U140">
        <v>6</v>
      </c>
      <c r="V140">
        <v>1</v>
      </c>
      <c r="W140">
        <v>2</v>
      </c>
      <c r="X140" t="s">
        <v>40</v>
      </c>
      <c r="Y140">
        <v>3</v>
      </c>
      <c r="Z140">
        <v>89</v>
      </c>
      <c r="AA140">
        <v>1</v>
      </c>
      <c r="AB140">
        <v>0</v>
      </c>
      <c r="AC140">
        <v>27.33</v>
      </c>
      <c r="AD140">
        <v>5059</v>
      </c>
      <c r="AH140">
        <v>0</v>
      </c>
      <c r="AI140">
        <v>0</v>
      </c>
      <c r="AL140" t="s">
        <v>40</v>
      </c>
      <c r="AM140" t="str">
        <f t="shared" si="9"/>
        <v>89 1</v>
      </c>
      <c r="AN140" t="str">
        <f t="shared" si="10"/>
        <v>406857.337,281308.058</v>
      </c>
      <c r="AO140" t="str">
        <f t="shared" si="11"/>
        <v>406837.986,281323.276</v>
      </c>
      <c r="AQ140" t="s">
        <v>2087</v>
      </c>
      <c r="AR140" t="s">
        <v>677</v>
      </c>
    </row>
    <row r="141" spans="1:44" x14ac:dyDescent="0.3">
      <c r="A141">
        <v>3869</v>
      </c>
      <c r="B141">
        <v>4</v>
      </c>
      <c r="C141">
        <v>4019205</v>
      </c>
      <c r="D141">
        <v>45113</v>
      </c>
      <c r="E141">
        <v>2</v>
      </c>
      <c r="F141">
        <v>670050</v>
      </c>
      <c r="G141" t="s">
        <v>47</v>
      </c>
      <c r="H141" t="s">
        <v>52</v>
      </c>
      <c r="I141">
        <v>0</v>
      </c>
      <c r="J141" s="1">
        <v>407185.25099999999</v>
      </c>
      <c r="K141" s="1">
        <v>283495.70400000003</v>
      </c>
      <c r="L141" s="1">
        <v>407186.90399999998</v>
      </c>
      <c r="M141" s="1">
        <v>283496.27399999998</v>
      </c>
      <c r="N141" t="s">
        <v>40</v>
      </c>
      <c r="P141" t="s">
        <v>40</v>
      </c>
      <c r="Q141">
        <v>0</v>
      </c>
      <c r="R141">
        <v>0</v>
      </c>
      <c r="S141">
        <v>199609</v>
      </c>
      <c r="T141">
        <v>6</v>
      </c>
      <c r="U141">
        <v>6</v>
      </c>
      <c r="V141">
        <v>1</v>
      </c>
      <c r="W141">
        <v>1</v>
      </c>
      <c r="X141" t="s">
        <v>40</v>
      </c>
      <c r="Y141">
        <v>3</v>
      </c>
      <c r="Z141">
        <v>5024</v>
      </c>
      <c r="AA141">
        <v>1</v>
      </c>
      <c r="AB141">
        <v>0</v>
      </c>
      <c r="AC141">
        <v>1.7490000000000001</v>
      </c>
      <c r="AD141">
        <v>5059</v>
      </c>
      <c r="AH141">
        <v>0</v>
      </c>
      <c r="AI141">
        <v>0</v>
      </c>
      <c r="AL141" t="s">
        <v>40</v>
      </c>
      <c r="AM141" t="str">
        <f t="shared" si="9"/>
        <v>5024 1</v>
      </c>
      <c r="AN141" t="str">
        <f t="shared" si="10"/>
        <v>407185.251,283495.704</v>
      </c>
      <c r="AO141" t="str">
        <f t="shared" si="11"/>
        <v>407186.904,283496.274</v>
      </c>
      <c r="AQ141" t="s">
        <v>2091</v>
      </c>
      <c r="AR141" t="s">
        <v>680</v>
      </c>
    </row>
    <row r="142" spans="1:44" x14ac:dyDescent="0.3">
      <c r="A142">
        <v>3869</v>
      </c>
      <c r="B142">
        <v>4</v>
      </c>
      <c r="C142">
        <v>4019250</v>
      </c>
      <c r="D142">
        <v>29439</v>
      </c>
      <c r="E142">
        <v>2</v>
      </c>
      <c r="F142">
        <v>670050</v>
      </c>
      <c r="G142" t="s">
        <v>47</v>
      </c>
      <c r="H142" t="s">
        <v>52</v>
      </c>
      <c r="I142">
        <v>0</v>
      </c>
      <c r="J142" s="1">
        <v>407161.076</v>
      </c>
      <c r="K142" s="1">
        <v>283932.14199999999</v>
      </c>
      <c r="L142" s="1">
        <v>407178.91800000001</v>
      </c>
      <c r="M142" s="1">
        <v>283977.38</v>
      </c>
      <c r="N142" t="s">
        <v>40</v>
      </c>
      <c r="P142" t="s">
        <v>40</v>
      </c>
      <c r="Q142">
        <v>0</v>
      </c>
      <c r="R142">
        <v>0</v>
      </c>
      <c r="S142">
        <v>0</v>
      </c>
      <c r="T142">
        <v>6</v>
      </c>
      <c r="U142">
        <v>6</v>
      </c>
      <c r="V142">
        <v>1</v>
      </c>
      <c r="W142">
        <v>1</v>
      </c>
      <c r="X142" t="s">
        <v>40</v>
      </c>
      <c r="Y142">
        <v>3</v>
      </c>
      <c r="Z142">
        <v>89</v>
      </c>
      <c r="AA142">
        <v>1</v>
      </c>
      <c r="AB142">
        <v>0</v>
      </c>
      <c r="AC142">
        <v>271.77300000000002</v>
      </c>
      <c r="AD142">
        <v>5059</v>
      </c>
      <c r="AH142">
        <v>0</v>
      </c>
      <c r="AI142">
        <v>0</v>
      </c>
      <c r="AL142" t="s">
        <v>40</v>
      </c>
      <c r="AM142" t="str">
        <f t="shared" si="9"/>
        <v>89 1</v>
      </c>
      <c r="AN142" s="6" t="s">
        <v>194</v>
      </c>
      <c r="AO142" s="6" t="s">
        <v>948</v>
      </c>
      <c r="AQ142" t="s">
        <v>681</v>
      </c>
      <c r="AR142" t="s">
        <v>2092</v>
      </c>
    </row>
    <row r="143" spans="1:44" x14ac:dyDescent="0.3">
      <c r="A143">
        <v>3869</v>
      </c>
      <c r="B143">
        <v>4</v>
      </c>
      <c r="C143">
        <v>4019234</v>
      </c>
      <c r="D143">
        <v>17437</v>
      </c>
      <c r="E143">
        <v>2</v>
      </c>
      <c r="F143">
        <v>670050</v>
      </c>
      <c r="G143" t="s">
        <v>47</v>
      </c>
      <c r="H143" t="s">
        <v>52</v>
      </c>
      <c r="I143">
        <v>0</v>
      </c>
      <c r="J143" s="1">
        <v>407149.40600000002</v>
      </c>
      <c r="K143" s="1">
        <v>283732.554</v>
      </c>
      <c r="L143" s="1">
        <v>407148.88799999998</v>
      </c>
      <c r="M143" s="1">
        <v>283712.46399999998</v>
      </c>
      <c r="N143" t="s">
        <v>40</v>
      </c>
      <c r="P143" t="s">
        <v>40</v>
      </c>
      <c r="Q143">
        <v>0</v>
      </c>
      <c r="R143">
        <v>0</v>
      </c>
      <c r="S143">
        <v>0</v>
      </c>
      <c r="T143">
        <v>6</v>
      </c>
      <c r="U143">
        <v>6</v>
      </c>
      <c r="V143">
        <v>1</v>
      </c>
      <c r="W143">
        <v>1</v>
      </c>
      <c r="X143" t="s">
        <v>40</v>
      </c>
      <c r="Y143">
        <v>3</v>
      </c>
      <c r="Z143">
        <v>38</v>
      </c>
      <c r="AA143">
        <v>5001</v>
      </c>
      <c r="AB143">
        <v>0</v>
      </c>
      <c r="AC143">
        <v>20.097000000000001</v>
      </c>
      <c r="AD143">
        <v>5059</v>
      </c>
      <c r="AH143">
        <v>0</v>
      </c>
      <c r="AI143">
        <v>0</v>
      </c>
      <c r="AL143" t="s">
        <v>40</v>
      </c>
      <c r="AM143" t="str">
        <f t="shared" si="9"/>
        <v>38 5001</v>
      </c>
      <c r="AN143" t="str">
        <f t="shared" si="10"/>
        <v>407149.406,283732.554</v>
      </c>
      <c r="AO143" t="str">
        <f t="shared" si="11"/>
        <v>407148.888,283712.464</v>
      </c>
      <c r="AQ143" t="s">
        <v>2092</v>
      </c>
      <c r="AR143" t="s">
        <v>2093</v>
      </c>
    </row>
    <row r="144" spans="1:44" x14ac:dyDescent="0.3">
      <c r="A144">
        <v>3869</v>
      </c>
      <c r="B144">
        <v>4</v>
      </c>
      <c r="C144">
        <v>4019206</v>
      </c>
      <c r="D144">
        <v>15878</v>
      </c>
      <c r="E144">
        <v>2</v>
      </c>
      <c r="F144">
        <v>670050</v>
      </c>
      <c r="G144" t="s">
        <v>47</v>
      </c>
      <c r="H144" t="s">
        <v>52</v>
      </c>
      <c r="I144">
        <v>0</v>
      </c>
      <c r="J144" s="1">
        <v>407180.22100000002</v>
      </c>
      <c r="K144" s="1">
        <v>283497.81300000002</v>
      </c>
      <c r="L144" s="1">
        <v>407185.25099999999</v>
      </c>
      <c r="M144" s="1">
        <v>283495.70400000003</v>
      </c>
      <c r="N144" t="s">
        <v>40</v>
      </c>
      <c r="P144" t="s">
        <v>40</v>
      </c>
      <c r="Q144">
        <v>0</v>
      </c>
      <c r="R144">
        <v>0</v>
      </c>
      <c r="S144">
        <v>0</v>
      </c>
      <c r="T144">
        <v>6</v>
      </c>
      <c r="U144">
        <v>6</v>
      </c>
      <c r="V144">
        <v>1</v>
      </c>
      <c r="W144">
        <v>1</v>
      </c>
      <c r="X144" t="s">
        <v>40</v>
      </c>
      <c r="Y144">
        <v>3</v>
      </c>
      <c r="Z144">
        <v>89</v>
      </c>
      <c r="AA144">
        <v>1</v>
      </c>
      <c r="AB144">
        <v>0</v>
      </c>
      <c r="AC144">
        <v>36.332999999999998</v>
      </c>
      <c r="AD144">
        <v>5059</v>
      </c>
      <c r="AH144">
        <v>0</v>
      </c>
      <c r="AI144">
        <v>0</v>
      </c>
      <c r="AL144" t="s">
        <v>40</v>
      </c>
      <c r="AM144" t="str">
        <f t="shared" si="9"/>
        <v>89 1</v>
      </c>
      <c r="AN144" s="6" t="s">
        <v>947</v>
      </c>
      <c r="AO144" s="6" t="s">
        <v>1630</v>
      </c>
      <c r="AQ144" t="s">
        <v>2091</v>
      </c>
      <c r="AR144" t="s">
        <v>2089</v>
      </c>
    </row>
    <row r="145" spans="1:44" x14ac:dyDescent="0.3">
      <c r="A145">
        <v>3869</v>
      </c>
      <c r="B145">
        <v>4</v>
      </c>
      <c r="C145">
        <v>4019233</v>
      </c>
      <c r="D145">
        <v>17450</v>
      </c>
      <c r="E145">
        <v>2</v>
      </c>
      <c r="F145">
        <v>670050</v>
      </c>
      <c r="G145" t="s">
        <v>47</v>
      </c>
      <c r="H145" t="s">
        <v>52</v>
      </c>
      <c r="I145">
        <v>0</v>
      </c>
      <c r="J145" s="1">
        <v>407148.88799999998</v>
      </c>
      <c r="K145" s="1">
        <v>283712.46399999998</v>
      </c>
      <c r="L145" s="1">
        <v>407164.90700000001</v>
      </c>
      <c r="M145" s="1">
        <v>283543.755</v>
      </c>
      <c r="N145" t="s">
        <v>40</v>
      </c>
      <c r="P145" t="s">
        <v>40</v>
      </c>
      <c r="Q145">
        <v>0</v>
      </c>
      <c r="R145">
        <v>0</v>
      </c>
      <c r="S145">
        <v>0</v>
      </c>
      <c r="T145">
        <v>6</v>
      </c>
      <c r="U145">
        <v>6</v>
      </c>
      <c r="V145">
        <v>1</v>
      </c>
      <c r="W145">
        <v>1</v>
      </c>
      <c r="X145" t="s">
        <v>40</v>
      </c>
      <c r="Y145">
        <v>3</v>
      </c>
      <c r="Z145">
        <v>89</v>
      </c>
      <c r="AA145">
        <v>1</v>
      </c>
      <c r="AB145">
        <v>0</v>
      </c>
      <c r="AC145">
        <v>170.32400000000001</v>
      </c>
      <c r="AD145">
        <v>5059</v>
      </c>
      <c r="AH145">
        <v>0</v>
      </c>
      <c r="AI145">
        <v>0</v>
      </c>
      <c r="AL145" t="s">
        <v>40</v>
      </c>
      <c r="AM145" t="str">
        <f t="shared" si="9"/>
        <v>89 1</v>
      </c>
      <c r="AN145" t="str">
        <f t="shared" si="10"/>
        <v>407148.888,283712.464</v>
      </c>
      <c r="AO145" t="str">
        <f t="shared" si="11"/>
        <v>407164.907,283543.755</v>
      </c>
      <c r="AQ145" t="s">
        <v>2093</v>
      </c>
      <c r="AR145" t="s">
        <v>2088</v>
      </c>
    </row>
    <row r="146" spans="1:44" x14ac:dyDescent="0.3">
      <c r="A146">
        <v>3869</v>
      </c>
      <c r="B146">
        <v>4</v>
      </c>
      <c r="C146">
        <v>4018989</v>
      </c>
      <c r="D146">
        <v>16098</v>
      </c>
      <c r="E146">
        <v>2</v>
      </c>
      <c r="F146">
        <v>670050</v>
      </c>
      <c r="G146" t="s">
        <v>47</v>
      </c>
      <c r="H146" t="s">
        <v>50</v>
      </c>
      <c r="I146">
        <v>0</v>
      </c>
      <c r="J146" s="1">
        <v>407389.53200000001</v>
      </c>
      <c r="K146" s="1">
        <v>282241.20299999998</v>
      </c>
      <c r="L146" s="1">
        <v>407390.16600000003</v>
      </c>
      <c r="M146" s="1">
        <v>282269.58399999997</v>
      </c>
      <c r="N146" t="s">
        <v>40</v>
      </c>
      <c r="P146" t="s">
        <v>40</v>
      </c>
      <c r="Q146">
        <v>0</v>
      </c>
      <c r="R146">
        <v>0</v>
      </c>
      <c r="S146">
        <v>0</v>
      </c>
      <c r="T146">
        <v>6</v>
      </c>
      <c r="U146">
        <v>6</v>
      </c>
      <c r="V146">
        <v>1</v>
      </c>
      <c r="W146">
        <v>1</v>
      </c>
      <c r="X146" t="s">
        <v>40</v>
      </c>
      <c r="Y146">
        <v>3</v>
      </c>
      <c r="Z146">
        <v>38</v>
      </c>
      <c r="AA146">
        <v>1</v>
      </c>
      <c r="AB146">
        <v>0</v>
      </c>
      <c r="AC146">
        <v>29.713000000000001</v>
      </c>
      <c r="AD146">
        <v>5059</v>
      </c>
      <c r="AH146">
        <v>0</v>
      </c>
      <c r="AI146">
        <v>0</v>
      </c>
      <c r="AL146" t="s">
        <v>40</v>
      </c>
      <c r="AM146" t="str">
        <f t="shared" si="9"/>
        <v>38 1</v>
      </c>
      <c r="AN146" t="str">
        <f t="shared" si="10"/>
        <v>407389.532,282241.203</v>
      </c>
      <c r="AO146" t="str">
        <f t="shared" si="11"/>
        <v>407390.166,282269.584</v>
      </c>
      <c r="AQ146" t="s">
        <v>2090</v>
      </c>
      <c r="AR146" t="s">
        <v>2074</v>
      </c>
    </row>
    <row r="147" spans="1:44" x14ac:dyDescent="0.3">
      <c r="A147">
        <v>3869</v>
      </c>
      <c r="B147">
        <v>4</v>
      </c>
      <c r="C147">
        <v>4014751</v>
      </c>
      <c r="D147">
        <v>14292</v>
      </c>
      <c r="E147">
        <v>2</v>
      </c>
      <c r="F147">
        <v>670050</v>
      </c>
      <c r="G147" t="s">
        <v>57</v>
      </c>
      <c r="H147" t="s">
        <v>42</v>
      </c>
      <c r="I147">
        <v>0</v>
      </c>
      <c r="J147" s="1">
        <v>404795.54200000002</v>
      </c>
      <c r="K147" s="1">
        <v>281062.21000000002</v>
      </c>
      <c r="L147" s="1">
        <v>404767.12</v>
      </c>
      <c r="M147" s="1">
        <v>281090.59299999999</v>
      </c>
      <c r="N147" t="s">
        <v>40</v>
      </c>
      <c r="P147" t="s">
        <v>40</v>
      </c>
      <c r="Q147">
        <v>0</v>
      </c>
      <c r="R147">
        <v>0</v>
      </c>
      <c r="S147">
        <v>200504</v>
      </c>
      <c r="T147">
        <v>6</v>
      </c>
      <c r="U147">
        <v>6</v>
      </c>
      <c r="V147">
        <v>1</v>
      </c>
      <c r="W147">
        <v>1</v>
      </c>
      <c r="X147" t="s">
        <v>40</v>
      </c>
      <c r="Y147">
        <v>3</v>
      </c>
      <c r="Z147">
        <v>5028</v>
      </c>
      <c r="AA147">
        <v>1</v>
      </c>
      <c r="AB147">
        <v>0</v>
      </c>
      <c r="AC147">
        <v>56.043999999999997</v>
      </c>
      <c r="AD147">
        <v>5059</v>
      </c>
      <c r="AH147">
        <v>0</v>
      </c>
      <c r="AI147">
        <v>0</v>
      </c>
      <c r="AL147" t="s">
        <v>40</v>
      </c>
      <c r="AM147" t="str">
        <f t="shared" si="9"/>
        <v>5028 1</v>
      </c>
      <c r="AN147" t="str">
        <f t="shared" si="10"/>
        <v>404795.542,281062.21</v>
      </c>
      <c r="AO147" t="str">
        <f t="shared" si="11"/>
        <v>404767.12,281090.593</v>
      </c>
      <c r="AQ147" t="s">
        <v>2094</v>
      </c>
      <c r="AR147" t="s">
        <v>2095</v>
      </c>
    </row>
    <row r="148" spans="1:44" x14ac:dyDescent="0.3">
      <c r="A148">
        <v>3869</v>
      </c>
      <c r="B148">
        <v>4</v>
      </c>
      <c r="C148">
        <v>4014757</v>
      </c>
      <c r="D148">
        <v>14287</v>
      </c>
      <c r="E148">
        <v>2</v>
      </c>
      <c r="F148">
        <v>670050</v>
      </c>
      <c r="G148" t="s">
        <v>57</v>
      </c>
      <c r="H148" t="s">
        <v>42</v>
      </c>
      <c r="I148">
        <v>0</v>
      </c>
      <c r="J148" s="1">
        <v>404767.12</v>
      </c>
      <c r="K148" s="1">
        <v>281090.59299999999</v>
      </c>
      <c r="L148" s="1">
        <v>404769.84899999999</v>
      </c>
      <c r="M148" s="1">
        <v>281142.821</v>
      </c>
      <c r="N148" t="s">
        <v>40</v>
      </c>
      <c r="P148" t="s">
        <v>40</v>
      </c>
      <c r="Q148">
        <v>0</v>
      </c>
      <c r="R148">
        <v>0</v>
      </c>
      <c r="S148">
        <v>0</v>
      </c>
      <c r="T148">
        <v>6</v>
      </c>
      <c r="U148">
        <v>6</v>
      </c>
      <c r="V148">
        <v>1</v>
      </c>
      <c r="W148">
        <v>1</v>
      </c>
      <c r="X148" t="s">
        <v>40</v>
      </c>
      <c r="Y148">
        <v>3</v>
      </c>
      <c r="Z148">
        <v>90</v>
      </c>
      <c r="AA148">
        <v>1</v>
      </c>
      <c r="AB148">
        <v>0</v>
      </c>
      <c r="AC148">
        <v>55.893999999999998</v>
      </c>
      <c r="AD148">
        <v>5059</v>
      </c>
      <c r="AH148">
        <v>0</v>
      </c>
      <c r="AI148">
        <v>0</v>
      </c>
      <c r="AL148" t="s">
        <v>40</v>
      </c>
      <c r="AM148" t="str">
        <f t="shared" si="9"/>
        <v>90 1</v>
      </c>
      <c r="AN148" t="str">
        <f t="shared" si="10"/>
        <v>404767.12,281090.593</v>
      </c>
      <c r="AO148" t="str">
        <f t="shared" si="11"/>
        <v>404769.849,281142.821</v>
      </c>
      <c r="AQ148" t="s">
        <v>2095</v>
      </c>
      <c r="AR148" t="s">
        <v>2096</v>
      </c>
    </row>
    <row r="149" spans="1:44" x14ac:dyDescent="0.3">
      <c r="A149">
        <v>3869</v>
      </c>
      <c r="B149">
        <v>4</v>
      </c>
      <c r="C149">
        <v>4014758</v>
      </c>
      <c r="D149">
        <v>14301</v>
      </c>
      <c r="E149">
        <v>2</v>
      </c>
      <c r="F149">
        <v>670050</v>
      </c>
      <c r="G149" t="s">
        <v>57</v>
      </c>
      <c r="H149" t="s">
        <v>42</v>
      </c>
      <c r="I149">
        <v>0</v>
      </c>
      <c r="J149" s="1">
        <v>404769.84899999999</v>
      </c>
      <c r="K149" s="1">
        <v>281142.821</v>
      </c>
      <c r="L149" s="1">
        <v>404758.40500000003</v>
      </c>
      <c r="M149" s="1">
        <v>281148.23200000002</v>
      </c>
      <c r="N149" t="s">
        <v>40</v>
      </c>
      <c r="P149" t="s">
        <v>40</v>
      </c>
      <c r="Q149">
        <v>0</v>
      </c>
      <c r="R149">
        <v>0</v>
      </c>
      <c r="S149">
        <v>0</v>
      </c>
      <c r="T149">
        <v>6</v>
      </c>
      <c r="U149">
        <v>6</v>
      </c>
      <c r="V149">
        <v>1</v>
      </c>
      <c r="W149">
        <v>1</v>
      </c>
      <c r="X149" t="s">
        <v>40</v>
      </c>
      <c r="Y149">
        <v>3</v>
      </c>
      <c r="Z149">
        <v>89</v>
      </c>
      <c r="AA149">
        <v>1</v>
      </c>
      <c r="AB149">
        <v>0</v>
      </c>
      <c r="AC149">
        <v>13.031000000000001</v>
      </c>
      <c r="AD149">
        <v>5059</v>
      </c>
      <c r="AH149">
        <v>0</v>
      </c>
      <c r="AI149">
        <v>0</v>
      </c>
      <c r="AL149" t="s">
        <v>40</v>
      </c>
      <c r="AM149" t="str">
        <f t="shared" si="9"/>
        <v>89 1</v>
      </c>
      <c r="AN149" t="str">
        <f t="shared" si="10"/>
        <v>404769.849,281142.821</v>
      </c>
      <c r="AO149" t="str">
        <f t="shared" si="11"/>
        <v>404758.405,281148.232</v>
      </c>
      <c r="AQ149" t="s">
        <v>2096</v>
      </c>
      <c r="AR149" t="s">
        <v>2097</v>
      </c>
    </row>
    <row r="150" spans="1:44" x14ac:dyDescent="0.3">
      <c r="A150">
        <v>3869</v>
      </c>
      <c r="B150">
        <v>4</v>
      </c>
      <c r="C150">
        <v>4022488</v>
      </c>
      <c r="D150">
        <v>23034</v>
      </c>
      <c r="E150">
        <v>2</v>
      </c>
      <c r="F150">
        <v>670050</v>
      </c>
      <c r="G150" t="s">
        <v>57</v>
      </c>
      <c r="H150" t="s">
        <v>43</v>
      </c>
      <c r="I150">
        <v>0</v>
      </c>
      <c r="J150" s="1">
        <v>405000</v>
      </c>
      <c r="K150" s="1">
        <v>280919.68900000001</v>
      </c>
      <c r="L150" s="1">
        <v>405124.864</v>
      </c>
      <c r="M150" s="1">
        <v>280974.09700000001</v>
      </c>
      <c r="N150" t="s">
        <v>40</v>
      </c>
      <c r="P150" t="s">
        <v>40</v>
      </c>
      <c r="Q150">
        <v>0</v>
      </c>
      <c r="R150">
        <v>0</v>
      </c>
      <c r="S150">
        <v>0</v>
      </c>
      <c r="T150">
        <v>6</v>
      </c>
      <c r="U150">
        <v>6</v>
      </c>
      <c r="V150">
        <v>1</v>
      </c>
      <c r="W150">
        <v>1</v>
      </c>
      <c r="X150" t="s">
        <v>40</v>
      </c>
      <c r="Y150">
        <v>3</v>
      </c>
      <c r="Z150">
        <v>89</v>
      </c>
      <c r="AA150">
        <v>99</v>
      </c>
      <c r="AB150">
        <v>0</v>
      </c>
      <c r="AC150">
        <v>156.55399999999997</v>
      </c>
      <c r="AD150">
        <v>5059</v>
      </c>
      <c r="AH150">
        <v>0</v>
      </c>
      <c r="AI150">
        <v>0</v>
      </c>
      <c r="AL150" t="s">
        <v>40</v>
      </c>
      <c r="AM150" t="str">
        <f t="shared" si="9"/>
        <v>89 99</v>
      </c>
      <c r="AN150" s="6" t="s">
        <v>1631</v>
      </c>
      <c r="AO150" s="6" t="s">
        <v>953</v>
      </c>
      <c r="AQ150" t="s">
        <v>2098</v>
      </c>
      <c r="AR150" t="s">
        <v>2099</v>
      </c>
    </row>
    <row r="151" spans="1:44" x14ac:dyDescent="0.3">
      <c r="A151">
        <v>3869</v>
      </c>
      <c r="B151">
        <v>4</v>
      </c>
      <c r="C151">
        <v>4014774</v>
      </c>
      <c r="D151">
        <v>14300</v>
      </c>
      <c r="E151">
        <v>2</v>
      </c>
      <c r="F151">
        <v>670050</v>
      </c>
      <c r="G151" t="s">
        <v>57</v>
      </c>
      <c r="H151" t="s">
        <v>42</v>
      </c>
      <c r="I151">
        <v>0</v>
      </c>
      <c r="J151" s="1">
        <v>404758.40500000003</v>
      </c>
      <c r="K151" s="1">
        <v>281148.23200000002</v>
      </c>
      <c r="L151" s="1">
        <v>404752.908</v>
      </c>
      <c r="M151" s="1">
        <v>281152.45</v>
      </c>
      <c r="N151" t="s">
        <v>40</v>
      </c>
      <c r="P151" t="s">
        <v>40</v>
      </c>
      <c r="Q151">
        <v>0</v>
      </c>
      <c r="R151">
        <v>0</v>
      </c>
      <c r="S151">
        <v>0</v>
      </c>
      <c r="T151">
        <v>6</v>
      </c>
      <c r="U151">
        <v>6</v>
      </c>
      <c r="V151">
        <v>1</v>
      </c>
      <c r="W151">
        <v>1</v>
      </c>
      <c r="X151" t="s">
        <v>40</v>
      </c>
      <c r="Y151">
        <v>3</v>
      </c>
      <c r="Z151">
        <v>38</v>
      </c>
      <c r="AA151">
        <v>5001</v>
      </c>
      <c r="AB151">
        <v>0</v>
      </c>
      <c r="AC151">
        <v>6.9290000000000003</v>
      </c>
      <c r="AD151">
        <v>5059</v>
      </c>
      <c r="AH151">
        <v>0</v>
      </c>
      <c r="AI151">
        <v>0</v>
      </c>
      <c r="AL151" t="s">
        <v>40</v>
      </c>
      <c r="AM151" t="str">
        <f t="shared" si="9"/>
        <v>38 5001</v>
      </c>
      <c r="AN151" t="str">
        <f t="shared" si="10"/>
        <v>404758.405,281148.232</v>
      </c>
      <c r="AO151" t="str">
        <f t="shared" si="11"/>
        <v>404752.908,281152.45</v>
      </c>
      <c r="AQ151" t="s">
        <v>2097</v>
      </c>
      <c r="AR151" t="s">
        <v>2100</v>
      </c>
    </row>
    <row r="152" spans="1:44" x14ac:dyDescent="0.3">
      <c r="A152">
        <v>3869</v>
      </c>
      <c r="B152">
        <v>4</v>
      </c>
      <c r="C152">
        <v>4014721</v>
      </c>
      <c r="D152">
        <v>14359</v>
      </c>
      <c r="E152">
        <v>2</v>
      </c>
      <c r="F152">
        <v>670050</v>
      </c>
      <c r="G152" t="s">
        <v>57</v>
      </c>
      <c r="H152" t="s">
        <v>42</v>
      </c>
      <c r="I152">
        <v>0</v>
      </c>
      <c r="J152" s="1">
        <v>404944.92200000002</v>
      </c>
      <c r="K152" s="1">
        <v>281000</v>
      </c>
      <c r="L152" s="1">
        <v>404905.38199999998</v>
      </c>
      <c r="M152" s="1">
        <v>281014.32500000001</v>
      </c>
      <c r="N152" t="s">
        <v>40</v>
      </c>
      <c r="P152" t="s">
        <v>40</v>
      </c>
      <c r="Q152">
        <v>0</v>
      </c>
      <c r="R152">
        <v>0</v>
      </c>
      <c r="S152">
        <v>0</v>
      </c>
      <c r="T152">
        <v>6</v>
      </c>
      <c r="U152">
        <v>6</v>
      </c>
      <c r="V152">
        <v>1</v>
      </c>
      <c r="W152">
        <v>1</v>
      </c>
      <c r="X152" t="s">
        <v>40</v>
      </c>
      <c r="Y152">
        <v>3</v>
      </c>
      <c r="Z152">
        <v>89</v>
      </c>
      <c r="AA152">
        <v>1</v>
      </c>
      <c r="AB152">
        <v>0</v>
      </c>
      <c r="AC152">
        <v>162.28899999999999</v>
      </c>
      <c r="AD152">
        <v>5059</v>
      </c>
      <c r="AH152">
        <v>0</v>
      </c>
      <c r="AI152">
        <v>0</v>
      </c>
      <c r="AL152" t="s">
        <v>40</v>
      </c>
      <c r="AM152" t="str">
        <f t="shared" si="9"/>
        <v>89 1</v>
      </c>
      <c r="AN152" s="6" t="s">
        <v>957</v>
      </c>
      <c r="AO152" s="6" t="s">
        <v>953</v>
      </c>
      <c r="AQ152" t="s">
        <v>2101</v>
      </c>
      <c r="AR152" t="s">
        <v>2099</v>
      </c>
    </row>
    <row r="153" spans="1:44" x14ac:dyDescent="0.3">
      <c r="A153">
        <v>3869</v>
      </c>
      <c r="B153">
        <v>4</v>
      </c>
      <c r="C153">
        <v>4014743</v>
      </c>
      <c r="D153">
        <v>14367</v>
      </c>
      <c r="E153">
        <v>2</v>
      </c>
      <c r="F153">
        <v>670050</v>
      </c>
      <c r="G153" t="s">
        <v>57</v>
      </c>
      <c r="H153" t="s">
        <v>42</v>
      </c>
      <c r="I153">
        <v>0</v>
      </c>
      <c r="J153" s="1">
        <v>404867.88900000002</v>
      </c>
      <c r="K153" s="1">
        <v>281016.38</v>
      </c>
      <c r="L153" s="1">
        <v>404865.065</v>
      </c>
      <c r="M153" s="1">
        <v>281016.49099999998</v>
      </c>
      <c r="N153" t="s">
        <v>40</v>
      </c>
      <c r="P153" t="s">
        <v>40</v>
      </c>
      <c r="Q153">
        <v>0</v>
      </c>
      <c r="R153">
        <v>0</v>
      </c>
      <c r="S153">
        <v>0</v>
      </c>
      <c r="T153">
        <v>6</v>
      </c>
      <c r="U153">
        <v>6</v>
      </c>
      <c r="V153">
        <v>1</v>
      </c>
      <c r="W153">
        <v>1</v>
      </c>
      <c r="X153" t="s">
        <v>40</v>
      </c>
      <c r="Y153">
        <v>3</v>
      </c>
      <c r="Z153">
        <v>89</v>
      </c>
      <c r="AA153">
        <v>1</v>
      </c>
      <c r="AB153">
        <v>0</v>
      </c>
      <c r="AC153">
        <v>116.53399999999999</v>
      </c>
      <c r="AD153">
        <v>5059</v>
      </c>
      <c r="AH153">
        <v>0</v>
      </c>
      <c r="AI153">
        <v>0</v>
      </c>
      <c r="AL153" t="s">
        <v>40</v>
      </c>
      <c r="AM153" t="str">
        <f t="shared" si="9"/>
        <v>89 1</v>
      </c>
      <c r="AN153" s="6" t="s">
        <v>950</v>
      </c>
      <c r="AO153" s="6" t="s">
        <v>955</v>
      </c>
      <c r="AQ153" t="s">
        <v>2094</v>
      </c>
      <c r="AR153" t="s">
        <v>2102</v>
      </c>
    </row>
    <row r="154" spans="1:44" x14ac:dyDescent="0.3">
      <c r="A154">
        <v>3869</v>
      </c>
      <c r="B154">
        <v>4</v>
      </c>
      <c r="C154">
        <v>4014742</v>
      </c>
      <c r="D154">
        <v>14371</v>
      </c>
      <c r="E154">
        <v>2</v>
      </c>
      <c r="F154">
        <v>670050</v>
      </c>
      <c r="G154" t="s">
        <v>57</v>
      </c>
      <c r="H154" t="s">
        <v>42</v>
      </c>
      <c r="I154">
        <v>0</v>
      </c>
      <c r="J154" s="1">
        <v>404867.88900000002</v>
      </c>
      <c r="K154" s="1">
        <v>281016.38</v>
      </c>
      <c r="L154" s="1">
        <v>404883.87900000002</v>
      </c>
      <c r="M154" s="1">
        <v>281012.88</v>
      </c>
      <c r="N154" t="s">
        <v>40</v>
      </c>
      <c r="P154" t="s">
        <v>40</v>
      </c>
      <c r="Q154">
        <v>0</v>
      </c>
      <c r="R154">
        <v>0</v>
      </c>
      <c r="S154">
        <v>0</v>
      </c>
      <c r="T154">
        <v>6</v>
      </c>
      <c r="U154">
        <v>6</v>
      </c>
      <c r="V154">
        <v>1</v>
      </c>
      <c r="W154">
        <v>1</v>
      </c>
      <c r="X154" t="s">
        <v>40</v>
      </c>
      <c r="Y154">
        <v>3</v>
      </c>
      <c r="Z154">
        <v>38</v>
      </c>
      <c r="AA154">
        <v>5001</v>
      </c>
      <c r="AB154">
        <v>0</v>
      </c>
      <c r="AC154">
        <v>16.645</v>
      </c>
      <c r="AD154">
        <v>5059</v>
      </c>
      <c r="AH154">
        <v>0</v>
      </c>
      <c r="AI154">
        <v>0</v>
      </c>
      <c r="AL154" t="s">
        <v>40</v>
      </c>
      <c r="AM154" t="str">
        <f t="shared" si="9"/>
        <v>38 5001</v>
      </c>
      <c r="AN154" t="str">
        <f t="shared" si="10"/>
        <v>404867.889,281016.38</v>
      </c>
      <c r="AO154" t="str">
        <f t="shared" si="11"/>
        <v>404883.879,281012.88</v>
      </c>
      <c r="AQ154" t="s">
        <v>2102</v>
      </c>
      <c r="AR154" t="s">
        <v>2103</v>
      </c>
    </row>
    <row r="155" spans="1:44" x14ac:dyDescent="0.3">
      <c r="A155">
        <v>3869</v>
      </c>
      <c r="B155">
        <v>4</v>
      </c>
      <c r="C155">
        <v>4014723</v>
      </c>
      <c r="D155">
        <v>14362</v>
      </c>
      <c r="E155">
        <v>2</v>
      </c>
      <c r="F155">
        <v>670050</v>
      </c>
      <c r="G155" t="s">
        <v>57</v>
      </c>
      <c r="H155" t="s">
        <v>42</v>
      </c>
      <c r="I155">
        <v>0</v>
      </c>
      <c r="J155" s="1">
        <v>404883.87900000002</v>
      </c>
      <c r="K155" s="1">
        <v>281012.88</v>
      </c>
      <c r="L155" s="1">
        <v>404901.20400000003</v>
      </c>
      <c r="M155" s="1">
        <v>281013.78499999997</v>
      </c>
      <c r="N155" t="s">
        <v>40</v>
      </c>
      <c r="P155" t="s">
        <v>40</v>
      </c>
      <c r="Q155">
        <v>0</v>
      </c>
      <c r="R155">
        <v>0</v>
      </c>
      <c r="S155">
        <v>0</v>
      </c>
      <c r="T155">
        <v>6</v>
      </c>
      <c r="U155">
        <v>6</v>
      </c>
      <c r="V155">
        <v>1</v>
      </c>
      <c r="W155">
        <v>1</v>
      </c>
      <c r="X155" t="s">
        <v>40</v>
      </c>
      <c r="Y155">
        <v>3</v>
      </c>
      <c r="Z155">
        <v>89</v>
      </c>
      <c r="AA155">
        <v>1</v>
      </c>
      <c r="AB155">
        <v>0</v>
      </c>
      <c r="AC155">
        <v>17.350000000000001</v>
      </c>
      <c r="AD155">
        <v>5059</v>
      </c>
      <c r="AH155">
        <v>0</v>
      </c>
      <c r="AI155">
        <v>0</v>
      </c>
      <c r="AL155" t="s">
        <v>40</v>
      </c>
      <c r="AM155" t="str">
        <f t="shared" si="9"/>
        <v>89 1</v>
      </c>
      <c r="AN155" t="str">
        <f t="shared" si="10"/>
        <v>404883.879,281012.88</v>
      </c>
      <c r="AO155" t="str">
        <f t="shared" si="11"/>
        <v>404901.204,281013.785</v>
      </c>
      <c r="AQ155" t="s">
        <v>2103</v>
      </c>
      <c r="AR155" t="s">
        <v>2104</v>
      </c>
    </row>
    <row r="156" spans="1:44" x14ac:dyDescent="0.3">
      <c r="A156">
        <v>3869</v>
      </c>
      <c r="B156">
        <v>4</v>
      </c>
      <c r="C156">
        <v>4014722</v>
      </c>
      <c r="D156">
        <v>14361</v>
      </c>
      <c r="E156">
        <v>2</v>
      </c>
      <c r="F156">
        <v>670050</v>
      </c>
      <c r="G156" t="s">
        <v>57</v>
      </c>
      <c r="H156" t="s">
        <v>42</v>
      </c>
      <c r="I156">
        <v>0</v>
      </c>
      <c r="J156" s="1">
        <v>404905.38199999998</v>
      </c>
      <c r="K156" s="1">
        <v>281014.32500000001</v>
      </c>
      <c r="L156" s="1">
        <v>404901.20400000003</v>
      </c>
      <c r="M156" s="1">
        <v>281013.78499999997</v>
      </c>
      <c r="N156" t="s">
        <v>40</v>
      </c>
      <c r="P156" t="s">
        <v>40</v>
      </c>
      <c r="Q156">
        <v>0</v>
      </c>
      <c r="R156">
        <v>0</v>
      </c>
      <c r="S156">
        <v>199905</v>
      </c>
      <c r="T156">
        <v>6</v>
      </c>
      <c r="U156">
        <v>6</v>
      </c>
      <c r="V156">
        <v>1</v>
      </c>
      <c r="W156">
        <v>1</v>
      </c>
      <c r="X156" t="s">
        <v>40</v>
      </c>
      <c r="Y156">
        <v>3</v>
      </c>
      <c r="Z156">
        <v>5024</v>
      </c>
      <c r="AA156">
        <v>1</v>
      </c>
      <c r="AB156">
        <v>0</v>
      </c>
      <c r="AC156">
        <v>4.2130000000000001</v>
      </c>
      <c r="AD156">
        <v>5059</v>
      </c>
      <c r="AH156">
        <v>0</v>
      </c>
      <c r="AI156">
        <v>0</v>
      </c>
      <c r="AL156" t="s">
        <v>40</v>
      </c>
      <c r="AM156" t="str">
        <f t="shared" si="9"/>
        <v>5024 1</v>
      </c>
      <c r="AN156" t="str">
        <f t="shared" si="10"/>
        <v>404905.382,281014.325</v>
      </c>
      <c r="AO156" t="str">
        <f t="shared" si="11"/>
        <v>404901.204,281013.785</v>
      </c>
      <c r="AQ156" t="s">
        <v>2101</v>
      </c>
      <c r="AR156" t="s">
        <v>2104</v>
      </c>
    </row>
    <row r="157" spans="1:44" x14ac:dyDescent="0.3">
      <c r="A157">
        <v>3869</v>
      </c>
      <c r="B157">
        <v>4</v>
      </c>
      <c r="C157">
        <v>4014776</v>
      </c>
      <c r="D157">
        <v>14302</v>
      </c>
      <c r="E157">
        <v>2</v>
      </c>
      <c r="F157">
        <v>670050</v>
      </c>
      <c r="G157" t="s">
        <v>57</v>
      </c>
      <c r="H157" t="s">
        <v>42</v>
      </c>
      <c r="I157">
        <v>0</v>
      </c>
      <c r="J157" s="1">
        <v>404742.30800000002</v>
      </c>
      <c r="K157" s="1">
        <v>281164.326</v>
      </c>
      <c r="L157" s="1">
        <v>404732.33799999999</v>
      </c>
      <c r="M157" s="1">
        <v>281192.95299999998</v>
      </c>
      <c r="N157" t="s">
        <v>40</v>
      </c>
      <c r="P157" t="s">
        <v>40</v>
      </c>
      <c r="Q157">
        <v>0</v>
      </c>
      <c r="R157">
        <v>0</v>
      </c>
      <c r="S157">
        <v>0</v>
      </c>
      <c r="T157">
        <v>6</v>
      </c>
      <c r="U157">
        <v>6</v>
      </c>
      <c r="V157">
        <v>1</v>
      </c>
      <c r="W157">
        <v>1</v>
      </c>
      <c r="X157" t="s">
        <v>40</v>
      </c>
      <c r="Y157">
        <v>3</v>
      </c>
      <c r="Z157">
        <v>89</v>
      </c>
      <c r="AA157">
        <v>1</v>
      </c>
      <c r="AB157">
        <v>0</v>
      </c>
      <c r="AC157">
        <v>46.685000000000002</v>
      </c>
      <c r="AD157">
        <v>5059</v>
      </c>
      <c r="AH157">
        <v>0</v>
      </c>
      <c r="AI157">
        <v>0</v>
      </c>
      <c r="AL157" t="s">
        <v>40</v>
      </c>
      <c r="AM157" t="str">
        <f t="shared" si="9"/>
        <v>89 1</v>
      </c>
      <c r="AN157" s="6" t="s">
        <v>1633</v>
      </c>
      <c r="AO157" s="6" t="s">
        <v>958</v>
      </c>
      <c r="AQ157" t="s">
        <v>2105</v>
      </c>
      <c r="AR157" t="s">
        <v>2100</v>
      </c>
    </row>
    <row r="158" spans="1:44" x14ac:dyDescent="0.3">
      <c r="A158">
        <v>3869</v>
      </c>
      <c r="B158">
        <v>4</v>
      </c>
      <c r="C158">
        <v>4014784</v>
      </c>
      <c r="D158">
        <v>14309</v>
      </c>
      <c r="E158">
        <v>2</v>
      </c>
      <c r="F158">
        <v>670050</v>
      </c>
      <c r="G158" t="s">
        <v>57</v>
      </c>
      <c r="H158" t="s">
        <v>42</v>
      </c>
      <c r="I158">
        <v>0</v>
      </c>
      <c r="J158" s="1">
        <v>404695.12900000002</v>
      </c>
      <c r="K158" s="1">
        <v>281285.79100000003</v>
      </c>
      <c r="L158" s="1">
        <v>404732.33799999999</v>
      </c>
      <c r="M158" s="1">
        <v>281192.95299999998</v>
      </c>
      <c r="N158" t="s">
        <v>40</v>
      </c>
      <c r="P158" t="s">
        <v>40</v>
      </c>
      <c r="Q158">
        <v>0</v>
      </c>
      <c r="R158">
        <v>0</v>
      </c>
      <c r="S158">
        <v>0</v>
      </c>
      <c r="T158">
        <v>6</v>
      </c>
      <c r="U158">
        <v>6</v>
      </c>
      <c r="V158">
        <v>1</v>
      </c>
      <c r="W158">
        <v>1</v>
      </c>
      <c r="X158" t="s">
        <v>40</v>
      </c>
      <c r="Y158">
        <v>3</v>
      </c>
      <c r="Z158">
        <v>38</v>
      </c>
      <c r="AA158">
        <v>5001</v>
      </c>
      <c r="AB158">
        <v>0</v>
      </c>
      <c r="AC158">
        <v>110.6</v>
      </c>
      <c r="AD158">
        <v>5059</v>
      </c>
      <c r="AH158">
        <v>0</v>
      </c>
      <c r="AI158">
        <v>0</v>
      </c>
      <c r="AL158" t="s">
        <v>40</v>
      </c>
      <c r="AM158" t="str">
        <f t="shared" si="9"/>
        <v>38 5001</v>
      </c>
      <c r="AN158" t="str">
        <f t="shared" si="10"/>
        <v>404695.129,281285.791</v>
      </c>
      <c r="AO158" t="str">
        <f t="shared" si="11"/>
        <v>404732.338,281192.953</v>
      </c>
      <c r="AQ158" t="s">
        <v>684</v>
      </c>
      <c r="AR158" t="s">
        <v>2105</v>
      </c>
    </row>
    <row r="159" spans="1:44" x14ac:dyDescent="0.3">
      <c r="A159">
        <v>3869</v>
      </c>
      <c r="B159">
        <v>4</v>
      </c>
      <c r="C159">
        <v>4022670</v>
      </c>
      <c r="D159">
        <v>21471</v>
      </c>
      <c r="E159">
        <v>2</v>
      </c>
      <c r="F159">
        <v>670050</v>
      </c>
      <c r="G159" t="s">
        <v>59</v>
      </c>
      <c r="H159" t="s">
        <v>43</v>
      </c>
      <c r="I159">
        <v>0</v>
      </c>
      <c r="J159" s="1">
        <v>405346.83399999997</v>
      </c>
      <c r="K159" s="1">
        <v>280318.36800000002</v>
      </c>
      <c r="L159" s="1">
        <v>405343.35100000002</v>
      </c>
      <c r="M159" s="1">
        <v>280321.19900000002</v>
      </c>
      <c r="N159" t="s">
        <v>40</v>
      </c>
      <c r="P159" t="s">
        <v>40</v>
      </c>
      <c r="Q159">
        <v>0</v>
      </c>
      <c r="R159">
        <v>0</v>
      </c>
      <c r="S159">
        <v>0</v>
      </c>
      <c r="T159">
        <v>6</v>
      </c>
      <c r="U159">
        <v>6</v>
      </c>
      <c r="V159">
        <v>1</v>
      </c>
      <c r="W159">
        <v>3</v>
      </c>
      <c r="X159" t="s">
        <v>40</v>
      </c>
      <c r="Y159">
        <v>3</v>
      </c>
      <c r="Z159">
        <v>86</v>
      </c>
      <c r="AA159">
        <v>1</v>
      </c>
      <c r="AB159">
        <v>0</v>
      </c>
      <c r="AC159">
        <v>52.074000000000005</v>
      </c>
      <c r="AD159">
        <v>5059</v>
      </c>
      <c r="AH159">
        <v>0</v>
      </c>
      <c r="AI159">
        <v>0</v>
      </c>
      <c r="AL159" t="s">
        <v>40</v>
      </c>
      <c r="AM159" t="str">
        <f t="shared" si="9"/>
        <v>86 1</v>
      </c>
      <c r="AN159" s="6" t="s">
        <v>212</v>
      </c>
      <c r="AO159" s="6" t="s">
        <v>209</v>
      </c>
      <c r="AQ159" t="s">
        <v>689</v>
      </c>
      <c r="AR159" t="s">
        <v>687</v>
      </c>
    </row>
    <row r="160" spans="1:44" x14ac:dyDescent="0.3">
      <c r="A160">
        <v>3869</v>
      </c>
      <c r="B160">
        <v>4</v>
      </c>
      <c r="C160">
        <v>4022685</v>
      </c>
      <c r="D160">
        <v>20011</v>
      </c>
      <c r="E160">
        <v>2</v>
      </c>
      <c r="F160">
        <v>670050</v>
      </c>
      <c r="G160" t="s">
        <v>59</v>
      </c>
      <c r="H160" t="s">
        <v>43</v>
      </c>
      <c r="I160">
        <v>0</v>
      </c>
      <c r="J160" s="1">
        <v>405210.826</v>
      </c>
      <c r="K160" s="1">
        <v>280037.049</v>
      </c>
      <c r="L160" s="1">
        <v>405182.76799999998</v>
      </c>
      <c r="M160" s="1">
        <v>280038.06199999998</v>
      </c>
      <c r="N160" t="s">
        <v>40</v>
      </c>
      <c r="P160" t="s">
        <v>40</v>
      </c>
      <c r="Q160">
        <v>0</v>
      </c>
      <c r="R160">
        <v>0</v>
      </c>
      <c r="S160">
        <v>0</v>
      </c>
      <c r="T160">
        <v>6</v>
      </c>
      <c r="U160">
        <v>6</v>
      </c>
      <c r="V160">
        <v>1</v>
      </c>
      <c r="W160">
        <v>1</v>
      </c>
      <c r="X160" t="s">
        <v>40</v>
      </c>
      <c r="Y160">
        <v>3</v>
      </c>
      <c r="Z160">
        <v>38</v>
      </c>
      <c r="AA160">
        <v>1</v>
      </c>
      <c r="AB160">
        <v>0</v>
      </c>
      <c r="AC160">
        <v>37.19</v>
      </c>
      <c r="AD160">
        <v>5059</v>
      </c>
      <c r="AH160">
        <v>0</v>
      </c>
      <c r="AI160">
        <v>0</v>
      </c>
      <c r="AL160" t="s">
        <v>40</v>
      </c>
      <c r="AM160" t="str">
        <f t="shared" si="9"/>
        <v>38 1</v>
      </c>
      <c r="AN160" t="str">
        <f t="shared" si="10"/>
        <v>405210.826,280037.049</v>
      </c>
      <c r="AO160" t="str">
        <f t="shared" si="11"/>
        <v>405182.768,280038.062</v>
      </c>
      <c r="AQ160" t="s">
        <v>2106</v>
      </c>
      <c r="AR160" t="s">
        <v>2107</v>
      </c>
    </row>
    <row r="161" spans="1:44" x14ac:dyDescent="0.3">
      <c r="A161">
        <v>3869</v>
      </c>
      <c r="B161">
        <v>4</v>
      </c>
      <c r="C161">
        <v>4022505</v>
      </c>
      <c r="D161">
        <v>22927</v>
      </c>
      <c r="E161">
        <v>2</v>
      </c>
      <c r="F161">
        <v>670050</v>
      </c>
      <c r="G161" t="s">
        <v>59</v>
      </c>
      <c r="H161" t="s">
        <v>43</v>
      </c>
      <c r="I161">
        <v>0</v>
      </c>
      <c r="J161" s="1">
        <v>405147.49</v>
      </c>
      <c r="K161" s="1">
        <v>280979.83899999998</v>
      </c>
      <c r="L161" s="1">
        <v>405147.10800000001</v>
      </c>
      <c r="M161" s="1">
        <v>280979.78999999998</v>
      </c>
      <c r="N161" t="s">
        <v>40</v>
      </c>
      <c r="P161" t="s">
        <v>40</v>
      </c>
      <c r="Q161">
        <v>0</v>
      </c>
      <c r="R161">
        <v>0</v>
      </c>
      <c r="S161">
        <v>0</v>
      </c>
      <c r="T161">
        <v>6</v>
      </c>
      <c r="U161">
        <v>6</v>
      </c>
      <c r="V161">
        <v>1</v>
      </c>
      <c r="W161">
        <v>1</v>
      </c>
      <c r="X161" t="s">
        <v>40</v>
      </c>
      <c r="Y161">
        <v>3</v>
      </c>
      <c r="Z161">
        <v>38</v>
      </c>
      <c r="AA161">
        <v>99</v>
      </c>
      <c r="AB161">
        <v>0</v>
      </c>
      <c r="AC161">
        <v>0.38500000000000001</v>
      </c>
      <c r="AD161">
        <v>5059</v>
      </c>
      <c r="AH161">
        <v>0</v>
      </c>
      <c r="AI161">
        <v>0</v>
      </c>
      <c r="AL161" t="s">
        <v>40</v>
      </c>
      <c r="AM161" t="str">
        <f t="shared" si="9"/>
        <v>38 99</v>
      </c>
      <c r="AN161" t="str">
        <f t="shared" si="10"/>
        <v>405147.49,280979.839</v>
      </c>
      <c r="AO161" t="str">
        <f t="shared" si="11"/>
        <v>405147.108,280979.79</v>
      </c>
      <c r="AQ161" t="s">
        <v>1947</v>
      </c>
      <c r="AR161" t="s">
        <v>1948</v>
      </c>
    </row>
    <row r="162" spans="1:44" x14ac:dyDescent="0.3">
      <c r="A162">
        <v>3869</v>
      </c>
      <c r="B162">
        <v>4</v>
      </c>
      <c r="C162">
        <v>4022716</v>
      </c>
      <c r="D162">
        <v>19977</v>
      </c>
      <c r="E162">
        <v>2</v>
      </c>
      <c r="F162">
        <v>670050</v>
      </c>
      <c r="G162" t="s">
        <v>59</v>
      </c>
      <c r="H162" t="s">
        <v>43</v>
      </c>
      <c r="I162">
        <v>0</v>
      </c>
      <c r="J162" s="1">
        <v>405205.82199999999</v>
      </c>
      <c r="K162" s="1">
        <v>280033.478</v>
      </c>
      <c r="L162" s="1">
        <v>405182.47100000002</v>
      </c>
      <c r="M162" s="1">
        <v>280037.79300000001</v>
      </c>
      <c r="N162" t="s">
        <v>40</v>
      </c>
      <c r="P162" t="s">
        <v>40</v>
      </c>
      <c r="Q162">
        <v>0</v>
      </c>
      <c r="R162">
        <v>0</v>
      </c>
      <c r="S162">
        <v>0</v>
      </c>
      <c r="T162">
        <v>6</v>
      </c>
      <c r="U162">
        <v>6</v>
      </c>
      <c r="V162">
        <v>1</v>
      </c>
      <c r="W162">
        <v>1</v>
      </c>
      <c r="X162" t="s">
        <v>40</v>
      </c>
      <c r="Y162">
        <v>3</v>
      </c>
      <c r="Z162">
        <v>38</v>
      </c>
      <c r="AA162">
        <v>1</v>
      </c>
      <c r="AB162">
        <v>0</v>
      </c>
      <c r="AC162">
        <v>34.024000000000001</v>
      </c>
      <c r="AD162">
        <v>5059</v>
      </c>
      <c r="AH162">
        <v>0</v>
      </c>
      <c r="AI162">
        <v>0</v>
      </c>
      <c r="AL162" t="s">
        <v>40</v>
      </c>
      <c r="AM162" t="str">
        <f t="shared" si="9"/>
        <v>38 1</v>
      </c>
      <c r="AN162" t="str">
        <f t="shared" si="10"/>
        <v>405205.822,280033.478</v>
      </c>
      <c r="AO162" t="str">
        <f t="shared" si="11"/>
        <v>405182.471,280037.793</v>
      </c>
      <c r="AQ162" t="s">
        <v>2108</v>
      </c>
      <c r="AR162" t="s">
        <v>2109</v>
      </c>
    </row>
    <row r="163" spans="1:44" x14ac:dyDescent="0.3">
      <c r="A163">
        <v>3869</v>
      </c>
      <c r="B163">
        <v>4</v>
      </c>
      <c r="C163">
        <v>4022529</v>
      </c>
      <c r="D163">
        <v>22460</v>
      </c>
      <c r="E163">
        <v>2</v>
      </c>
      <c r="F163">
        <v>670050</v>
      </c>
      <c r="G163" t="s">
        <v>59</v>
      </c>
      <c r="H163" t="s">
        <v>43</v>
      </c>
      <c r="I163">
        <v>0</v>
      </c>
      <c r="J163" s="1">
        <v>405291.29399999999</v>
      </c>
      <c r="K163" s="1">
        <v>280794.13</v>
      </c>
      <c r="L163" s="1">
        <v>405264.71399999998</v>
      </c>
      <c r="M163" s="1">
        <v>280975.27399999998</v>
      </c>
      <c r="N163" t="s">
        <v>40</v>
      </c>
      <c r="P163" t="s">
        <v>40</v>
      </c>
      <c r="Q163">
        <v>0</v>
      </c>
      <c r="R163">
        <v>0</v>
      </c>
      <c r="S163">
        <v>0</v>
      </c>
      <c r="T163">
        <v>6</v>
      </c>
      <c r="U163">
        <v>6</v>
      </c>
      <c r="V163">
        <v>1</v>
      </c>
      <c r="W163">
        <v>1</v>
      </c>
      <c r="X163" t="s">
        <v>40</v>
      </c>
      <c r="Y163">
        <v>3</v>
      </c>
      <c r="Z163">
        <v>89</v>
      </c>
      <c r="AA163">
        <v>1</v>
      </c>
      <c r="AB163">
        <v>0</v>
      </c>
      <c r="AC163">
        <v>470.45500000000004</v>
      </c>
      <c r="AD163">
        <v>5059</v>
      </c>
      <c r="AH163">
        <v>0</v>
      </c>
      <c r="AI163">
        <v>0</v>
      </c>
      <c r="AL163" t="s">
        <v>40</v>
      </c>
      <c r="AM163" t="str">
        <f t="shared" si="9"/>
        <v>89 1</v>
      </c>
      <c r="AN163" s="6" t="s">
        <v>961</v>
      </c>
      <c r="AO163" s="6" t="s">
        <v>965</v>
      </c>
      <c r="AQ163" t="s">
        <v>1947</v>
      </c>
      <c r="AR163" t="s">
        <v>2110</v>
      </c>
    </row>
    <row r="164" spans="1:44" x14ac:dyDescent="0.3">
      <c r="A164">
        <v>3869</v>
      </c>
      <c r="B164">
        <v>4</v>
      </c>
      <c r="C164">
        <v>4022568</v>
      </c>
      <c r="D164">
        <v>55337</v>
      </c>
      <c r="E164">
        <v>2</v>
      </c>
      <c r="F164">
        <v>670050</v>
      </c>
      <c r="G164" t="s">
        <v>59</v>
      </c>
      <c r="H164" t="s">
        <v>43</v>
      </c>
      <c r="I164">
        <v>0</v>
      </c>
      <c r="J164" s="1">
        <v>405316.82699999999</v>
      </c>
      <c r="K164" s="1">
        <v>280636.50400000002</v>
      </c>
      <c r="L164" s="1">
        <v>405243.78600000002</v>
      </c>
      <c r="M164" s="1">
        <v>280624.27600000001</v>
      </c>
      <c r="N164" t="s">
        <v>40</v>
      </c>
      <c r="P164" t="s">
        <v>40</v>
      </c>
      <c r="Q164">
        <v>0</v>
      </c>
      <c r="R164">
        <v>0</v>
      </c>
      <c r="S164">
        <v>0</v>
      </c>
      <c r="T164">
        <v>6</v>
      </c>
      <c r="U164">
        <v>6</v>
      </c>
      <c r="V164">
        <v>1</v>
      </c>
      <c r="W164">
        <v>1</v>
      </c>
      <c r="X164" t="s">
        <v>40</v>
      </c>
      <c r="Y164">
        <v>3</v>
      </c>
      <c r="Z164">
        <v>40</v>
      </c>
      <c r="AA164">
        <v>5001</v>
      </c>
      <c r="AB164">
        <v>0</v>
      </c>
      <c r="AC164">
        <v>78.832999999999998</v>
      </c>
      <c r="AD164">
        <v>5059</v>
      </c>
      <c r="AH164">
        <v>0</v>
      </c>
      <c r="AI164">
        <v>0</v>
      </c>
      <c r="AL164" t="s">
        <v>40</v>
      </c>
      <c r="AM164" t="str">
        <f t="shared" si="9"/>
        <v>40 5001</v>
      </c>
      <c r="AN164" t="str">
        <f t="shared" si="10"/>
        <v>405316.827,280636.504</v>
      </c>
      <c r="AO164" t="str">
        <f t="shared" si="11"/>
        <v>405243.786,280624.276</v>
      </c>
      <c r="AQ164" t="s">
        <v>2111</v>
      </c>
      <c r="AR164" t="s">
        <v>689</v>
      </c>
    </row>
    <row r="165" spans="1:44" x14ac:dyDescent="0.3">
      <c r="A165">
        <v>3869</v>
      </c>
      <c r="B165">
        <v>4</v>
      </c>
      <c r="C165">
        <v>4022671</v>
      </c>
      <c r="D165">
        <v>22521</v>
      </c>
      <c r="E165">
        <v>2</v>
      </c>
      <c r="F165">
        <v>670050</v>
      </c>
      <c r="G165" t="s">
        <v>59</v>
      </c>
      <c r="H165" t="s">
        <v>43</v>
      </c>
      <c r="I165">
        <v>0</v>
      </c>
      <c r="J165" s="1">
        <v>405210.826</v>
      </c>
      <c r="K165" s="1">
        <v>280037.049</v>
      </c>
      <c r="L165" s="1">
        <v>405346.83399999997</v>
      </c>
      <c r="M165" s="1">
        <v>280318.36800000002</v>
      </c>
      <c r="N165" t="s">
        <v>40</v>
      </c>
      <c r="P165" t="s">
        <v>40</v>
      </c>
      <c r="Q165">
        <v>0</v>
      </c>
      <c r="R165">
        <v>0</v>
      </c>
      <c r="S165">
        <v>0</v>
      </c>
      <c r="T165">
        <v>6</v>
      </c>
      <c r="U165">
        <v>6</v>
      </c>
      <c r="V165">
        <v>1</v>
      </c>
      <c r="W165">
        <v>1</v>
      </c>
      <c r="X165" t="s">
        <v>40</v>
      </c>
      <c r="Y165">
        <v>3</v>
      </c>
      <c r="Z165">
        <v>89</v>
      </c>
      <c r="AA165">
        <v>1</v>
      </c>
      <c r="AB165">
        <v>0</v>
      </c>
      <c r="AC165">
        <v>461.60700000000003</v>
      </c>
      <c r="AD165">
        <v>5059</v>
      </c>
      <c r="AH165">
        <v>0</v>
      </c>
      <c r="AI165">
        <v>0</v>
      </c>
      <c r="AL165" t="s">
        <v>40</v>
      </c>
      <c r="AM165" t="str">
        <f t="shared" si="9"/>
        <v>89 1</v>
      </c>
      <c r="AN165" t="str">
        <f t="shared" si="10"/>
        <v>405210.826,280037.049</v>
      </c>
      <c r="AO165" t="str">
        <f t="shared" si="11"/>
        <v>405346.834,280318.368</v>
      </c>
      <c r="AQ165" t="s">
        <v>2106</v>
      </c>
      <c r="AR165" t="s">
        <v>1949</v>
      </c>
    </row>
    <row r="166" spans="1:44" x14ac:dyDescent="0.3">
      <c r="A166">
        <v>3869</v>
      </c>
      <c r="B166">
        <v>4</v>
      </c>
      <c r="C166">
        <v>4022581</v>
      </c>
      <c r="D166">
        <v>21967</v>
      </c>
      <c r="E166">
        <v>2</v>
      </c>
      <c r="F166">
        <v>670050</v>
      </c>
      <c r="G166" t="s">
        <v>59</v>
      </c>
      <c r="H166" t="s">
        <v>43</v>
      </c>
      <c r="I166">
        <v>0</v>
      </c>
      <c r="J166" s="1">
        <v>405320.18099999998</v>
      </c>
      <c r="K166" s="1">
        <v>280617.08799999999</v>
      </c>
      <c r="L166" s="1">
        <v>405316.82699999999</v>
      </c>
      <c r="M166" s="1">
        <v>280636.50400000002</v>
      </c>
      <c r="N166" t="s">
        <v>40</v>
      </c>
      <c r="P166" t="s">
        <v>40</v>
      </c>
      <c r="Q166">
        <v>0</v>
      </c>
      <c r="R166">
        <v>0</v>
      </c>
      <c r="S166">
        <v>0</v>
      </c>
      <c r="T166">
        <v>6</v>
      </c>
      <c r="U166">
        <v>6</v>
      </c>
      <c r="V166">
        <v>1</v>
      </c>
      <c r="W166">
        <v>1</v>
      </c>
      <c r="X166" t="s">
        <v>40</v>
      </c>
      <c r="Y166">
        <v>3</v>
      </c>
      <c r="Z166">
        <v>89</v>
      </c>
      <c r="AA166">
        <v>1</v>
      </c>
      <c r="AB166">
        <v>0</v>
      </c>
      <c r="AC166">
        <v>593.37899999999991</v>
      </c>
      <c r="AD166">
        <v>5059</v>
      </c>
      <c r="AH166">
        <v>0</v>
      </c>
      <c r="AI166">
        <v>0</v>
      </c>
      <c r="AL166" t="s">
        <v>40</v>
      </c>
      <c r="AM166" t="str">
        <f t="shared" si="9"/>
        <v>89 1</v>
      </c>
      <c r="AN166" s="6" t="s">
        <v>963</v>
      </c>
      <c r="AO166" s="6" t="s">
        <v>210</v>
      </c>
      <c r="AQ166" t="s">
        <v>2111</v>
      </c>
      <c r="AR166" t="s">
        <v>687</v>
      </c>
    </row>
    <row r="167" spans="1:44" x14ac:dyDescent="0.3">
      <c r="A167">
        <v>3869</v>
      </c>
      <c r="B167">
        <v>4</v>
      </c>
      <c r="C167">
        <v>4011725</v>
      </c>
      <c r="D167">
        <v>29643</v>
      </c>
      <c r="E167">
        <v>2</v>
      </c>
      <c r="F167">
        <v>670050</v>
      </c>
      <c r="G167" t="s">
        <v>59</v>
      </c>
      <c r="H167" t="s">
        <v>45</v>
      </c>
      <c r="I167">
        <v>0</v>
      </c>
      <c r="J167" s="1">
        <v>405166.978</v>
      </c>
      <c r="K167" s="1">
        <v>280000</v>
      </c>
      <c r="L167" s="1">
        <v>405051.99300000002</v>
      </c>
      <c r="M167" s="1">
        <v>279890.68</v>
      </c>
      <c r="N167" t="s">
        <v>40</v>
      </c>
      <c r="P167" t="s">
        <v>40</v>
      </c>
      <c r="Q167">
        <v>0</v>
      </c>
      <c r="R167">
        <v>0</v>
      </c>
      <c r="S167">
        <v>0</v>
      </c>
      <c r="T167">
        <v>6</v>
      </c>
      <c r="U167">
        <v>6</v>
      </c>
      <c r="V167">
        <v>1</v>
      </c>
      <c r="W167">
        <v>1</v>
      </c>
      <c r="X167" t="s">
        <v>40</v>
      </c>
      <c r="Y167">
        <v>3</v>
      </c>
      <c r="Z167">
        <v>89</v>
      </c>
      <c r="AA167">
        <v>99</v>
      </c>
      <c r="AB167">
        <v>0</v>
      </c>
      <c r="AC167">
        <v>160.66999999999999</v>
      </c>
      <c r="AD167">
        <v>5059</v>
      </c>
      <c r="AH167">
        <v>0</v>
      </c>
      <c r="AI167">
        <v>0</v>
      </c>
      <c r="AL167" t="s">
        <v>40</v>
      </c>
      <c r="AM167" t="str">
        <f t="shared" si="9"/>
        <v>89 99</v>
      </c>
      <c r="AN167" t="str">
        <f t="shared" si="10"/>
        <v>405166.978,280000</v>
      </c>
      <c r="AO167" t="str">
        <f t="shared" si="11"/>
        <v>405051.993,279890.68</v>
      </c>
      <c r="AQ167" t="s">
        <v>2112</v>
      </c>
      <c r="AR167" t="s">
        <v>685</v>
      </c>
    </row>
    <row r="168" spans="1:44" x14ac:dyDescent="0.3">
      <c r="A168">
        <v>3869</v>
      </c>
      <c r="B168">
        <v>4</v>
      </c>
      <c r="C168">
        <v>4022532</v>
      </c>
      <c r="D168">
        <v>55319</v>
      </c>
      <c r="E168">
        <v>2</v>
      </c>
      <c r="F168">
        <v>670050</v>
      </c>
      <c r="G168" t="s">
        <v>59</v>
      </c>
      <c r="H168" t="s">
        <v>43</v>
      </c>
      <c r="I168">
        <v>0</v>
      </c>
      <c r="J168" s="1">
        <v>405147.49</v>
      </c>
      <c r="K168" s="1">
        <v>280979.83899999998</v>
      </c>
      <c r="L168" s="1">
        <v>405145.609</v>
      </c>
      <c r="M168" s="1">
        <v>280983.23300000001</v>
      </c>
      <c r="N168" t="s">
        <v>40</v>
      </c>
      <c r="P168" t="s">
        <v>40</v>
      </c>
      <c r="Q168">
        <v>0</v>
      </c>
      <c r="R168">
        <v>0</v>
      </c>
      <c r="S168">
        <v>0</v>
      </c>
      <c r="T168">
        <v>6</v>
      </c>
      <c r="U168">
        <v>6</v>
      </c>
      <c r="V168">
        <v>1</v>
      </c>
      <c r="W168">
        <v>3</v>
      </c>
      <c r="X168" t="s">
        <v>40</v>
      </c>
      <c r="Y168">
        <v>3</v>
      </c>
      <c r="Z168">
        <v>38</v>
      </c>
      <c r="AA168">
        <v>1</v>
      </c>
      <c r="AB168">
        <v>0</v>
      </c>
      <c r="AC168">
        <v>4.915</v>
      </c>
      <c r="AD168">
        <v>5059</v>
      </c>
      <c r="AH168">
        <v>0</v>
      </c>
      <c r="AI168">
        <v>0</v>
      </c>
      <c r="AL168" t="s">
        <v>40</v>
      </c>
      <c r="AM168" t="str">
        <f t="shared" si="9"/>
        <v>38 1</v>
      </c>
      <c r="AN168" t="str">
        <f t="shared" si="10"/>
        <v>405147.49,280979.839</v>
      </c>
      <c r="AO168" t="str">
        <f t="shared" si="11"/>
        <v>405145.609,280983.233</v>
      </c>
      <c r="AQ168" t="s">
        <v>1947</v>
      </c>
      <c r="AR168" t="s">
        <v>690</v>
      </c>
    </row>
    <row r="169" spans="1:44" x14ac:dyDescent="0.3">
      <c r="A169">
        <v>3869</v>
      </c>
      <c r="B169">
        <v>4</v>
      </c>
      <c r="C169">
        <v>4022550</v>
      </c>
      <c r="D169">
        <v>55338</v>
      </c>
      <c r="E169">
        <v>2</v>
      </c>
      <c r="F169">
        <v>670050</v>
      </c>
      <c r="G169" t="s">
        <v>59</v>
      </c>
      <c r="H169" t="s">
        <v>43</v>
      </c>
      <c r="I169">
        <v>0</v>
      </c>
      <c r="J169" s="1">
        <v>405315.63</v>
      </c>
      <c r="K169" s="1">
        <v>280643.766</v>
      </c>
      <c r="L169" s="1">
        <v>405243.51699999999</v>
      </c>
      <c r="M169" s="1">
        <v>280624.68</v>
      </c>
      <c r="N169" t="s">
        <v>40</v>
      </c>
      <c r="P169" t="s">
        <v>40</v>
      </c>
      <c r="Q169">
        <v>0</v>
      </c>
      <c r="R169">
        <v>0</v>
      </c>
      <c r="S169">
        <v>0</v>
      </c>
      <c r="T169">
        <v>6</v>
      </c>
      <c r="U169">
        <v>6</v>
      </c>
      <c r="V169">
        <v>1</v>
      </c>
      <c r="W169">
        <v>1</v>
      </c>
      <c r="X169" t="s">
        <v>40</v>
      </c>
      <c r="Y169">
        <v>3</v>
      </c>
      <c r="Z169">
        <v>40</v>
      </c>
      <c r="AA169">
        <v>5001</v>
      </c>
      <c r="AB169">
        <v>0</v>
      </c>
      <c r="AC169">
        <v>76.822000000000003</v>
      </c>
      <c r="AD169">
        <v>5059</v>
      </c>
      <c r="AH169">
        <v>0</v>
      </c>
      <c r="AI169">
        <v>0</v>
      </c>
      <c r="AL169" t="s">
        <v>40</v>
      </c>
      <c r="AM169" t="str">
        <f t="shared" si="9"/>
        <v>40 5001</v>
      </c>
      <c r="AN169" t="str">
        <f t="shared" si="10"/>
        <v>405315.63,280643.766</v>
      </c>
      <c r="AO169" t="str">
        <f t="shared" si="11"/>
        <v>405243.517,280624.68</v>
      </c>
      <c r="AQ169" t="s">
        <v>2110</v>
      </c>
      <c r="AR169" t="s">
        <v>689</v>
      </c>
    </row>
    <row r="170" spans="1:44" x14ac:dyDescent="0.3">
      <c r="A170">
        <v>3869</v>
      </c>
      <c r="B170">
        <v>4</v>
      </c>
      <c r="C170">
        <v>4022715</v>
      </c>
      <c r="D170">
        <v>55401</v>
      </c>
      <c r="E170">
        <v>2</v>
      </c>
      <c r="F170">
        <v>670050</v>
      </c>
      <c r="G170" t="s">
        <v>59</v>
      </c>
      <c r="H170" t="s">
        <v>43</v>
      </c>
      <c r="I170">
        <v>0</v>
      </c>
      <c r="J170" s="1">
        <v>405182.47100000002</v>
      </c>
      <c r="K170" s="1">
        <v>280037.79300000001</v>
      </c>
      <c r="L170" s="1">
        <v>405180.96899999998</v>
      </c>
      <c r="M170" s="1">
        <v>280039.201</v>
      </c>
      <c r="N170" t="s">
        <v>40</v>
      </c>
      <c r="P170" t="s">
        <v>40</v>
      </c>
      <c r="Q170">
        <v>0</v>
      </c>
      <c r="R170">
        <v>0</v>
      </c>
      <c r="S170">
        <v>0</v>
      </c>
      <c r="T170">
        <v>6</v>
      </c>
      <c r="U170">
        <v>6</v>
      </c>
      <c r="V170">
        <v>1</v>
      </c>
      <c r="W170">
        <v>1</v>
      </c>
      <c r="X170" t="s">
        <v>40</v>
      </c>
      <c r="Y170">
        <v>3</v>
      </c>
      <c r="Z170">
        <v>52</v>
      </c>
      <c r="AA170">
        <v>1</v>
      </c>
      <c r="AB170">
        <v>0</v>
      </c>
      <c r="AC170">
        <v>2.06</v>
      </c>
      <c r="AD170">
        <v>5059</v>
      </c>
      <c r="AH170">
        <v>0</v>
      </c>
      <c r="AI170">
        <v>0</v>
      </c>
      <c r="AL170" t="s">
        <v>40</v>
      </c>
      <c r="AM170" t="str">
        <f t="shared" si="9"/>
        <v>52 1</v>
      </c>
      <c r="AN170" t="str">
        <f t="shared" si="10"/>
        <v>405182.471,280037.793</v>
      </c>
      <c r="AO170" t="str">
        <f t="shared" si="11"/>
        <v>405180.969,280039.201</v>
      </c>
      <c r="AQ170" t="s">
        <v>2109</v>
      </c>
      <c r="AR170" t="s">
        <v>685</v>
      </c>
    </row>
    <row r="171" spans="1:44" x14ac:dyDescent="0.3">
      <c r="A171">
        <v>3869</v>
      </c>
      <c r="B171">
        <v>4</v>
      </c>
      <c r="C171">
        <v>4022655</v>
      </c>
      <c r="D171">
        <v>21469</v>
      </c>
      <c r="E171">
        <v>2</v>
      </c>
      <c r="F171">
        <v>670050</v>
      </c>
      <c r="G171" t="s">
        <v>59</v>
      </c>
      <c r="H171" t="s">
        <v>43</v>
      </c>
      <c r="I171">
        <v>0</v>
      </c>
      <c r="J171" s="1">
        <v>405343.592</v>
      </c>
      <c r="K171" s="1">
        <v>280320.68199999997</v>
      </c>
      <c r="L171" s="1">
        <v>405343.33100000001</v>
      </c>
      <c r="M171" s="1">
        <v>280320.16899999999</v>
      </c>
      <c r="N171" t="s">
        <v>40</v>
      </c>
      <c r="P171" t="s">
        <v>40</v>
      </c>
      <c r="Q171">
        <v>0</v>
      </c>
      <c r="R171">
        <v>0</v>
      </c>
      <c r="S171">
        <v>0</v>
      </c>
      <c r="T171">
        <v>6</v>
      </c>
      <c r="U171">
        <v>6</v>
      </c>
      <c r="V171">
        <v>1</v>
      </c>
      <c r="W171">
        <v>3</v>
      </c>
      <c r="X171" t="s">
        <v>40</v>
      </c>
      <c r="Y171">
        <v>3</v>
      </c>
      <c r="Z171">
        <v>169</v>
      </c>
      <c r="AA171">
        <v>99</v>
      </c>
      <c r="AB171">
        <v>0</v>
      </c>
      <c r="AC171">
        <v>1.0309999999999999</v>
      </c>
      <c r="AD171">
        <v>5059</v>
      </c>
      <c r="AH171">
        <v>0</v>
      </c>
      <c r="AI171">
        <v>0</v>
      </c>
      <c r="AL171" t="s">
        <v>40</v>
      </c>
      <c r="AM171" t="str">
        <f t="shared" ref="AM171:AM205" si="12">_xlfn.CONCAT(Z171, " ",AA171)</f>
        <v>169 99</v>
      </c>
      <c r="AN171" s="6" t="s">
        <v>1635</v>
      </c>
      <c r="AO171" s="6" t="s">
        <v>211</v>
      </c>
      <c r="AQ171" t="s">
        <v>1872</v>
      </c>
      <c r="AR171" t="s">
        <v>688</v>
      </c>
    </row>
    <row r="172" spans="1:44" x14ac:dyDescent="0.3">
      <c r="A172">
        <v>3869</v>
      </c>
      <c r="B172">
        <v>4</v>
      </c>
      <c r="C172">
        <v>4022731</v>
      </c>
      <c r="D172">
        <v>106</v>
      </c>
      <c r="E172">
        <v>2</v>
      </c>
      <c r="F172">
        <v>670050</v>
      </c>
      <c r="G172" t="s">
        <v>59</v>
      </c>
      <c r="H172" t="s">
        <v>43</v>
      </c>
      <c r="I172">
        <v>0</v>
      </c>
      <c r="J172" s="1">
        <v>405166.978</v>
      </c>
      <c r="K172" s="1">
        <v>280000</v>
      </c>
      <c r="L172" s="1">
        <v>405167.44400000002</v>
      </c>
      <c r="M172" s="1">
        <v>280000.43300000002</v>
      </c>
      <c r="N172" t="s">
        <v>40</v>
      </c>
      <c r="P172" t="s">
        <v>40</v>
      </c>
      <c r="Q172">
        <v>0</v>
      </c>
      <c r="R172">
        <v>0</v>
      </c>
      <c r="S172">
        <v>0</v>
      </c>
      <c r="T172">
        <v>6</v>
      </c>
      <c r="U172">
        <v>6</v>
      </c>
      <c r="V172">
        <v>1</v>
      </c>
      <c r="W172">
        <v>1</v>
      </c>
      <c r="X172" t="s">
        <v>40</v>
      </c>
      <c r="Y172">
        <v>3</v>
      </c>
      <c r="Z172">
        <v>89</v>
      </c>
      <c r="AA172">
        <v>1</v>
      </c>
      <c r="AB172">
        <v>0</v>
      </c>
      <c r="AC172">
        <v>51.34</v>
      </c>
      <c r="AD172">
        <v>5059</v>
      </c>
      <c r="AH172">
        <v>0</v>
      </c>
      <c r="AI172">
        <v>0</v>
      </c>
      <c r="AL172" t="s">
        <v>40</v>
      </c>
      <c r="AM172" t="str">
        <f t="shared" si="12"/>
        <v>89 1</v>
      </c>
      <c r="AN172" s="6" t="s">
        <v>962</v>
      </c>
      <c r="AO172" s="6" t="s">
        <v>964</v>
      </c>
      <c r="AQ172" t="s">
        <v>2108</v>
      </c>
      <c r="AR172" t="s">
        <v>2112</v>
      </c>
    </row>
    <row r="173" spans="1:44" x14ac:dyDescent="0.3">
      <c r="A173">
        <v>3869</v>
      </c>
      <c r="B173">
        <v>4</v>
      </c>
      <c r="C173">
        <v>4022698</v>
      </c>
      <c r="D173">
        <v>55400</v>
      </c>
      <c r="E173">
        <v>2</v>
      </c>
      <c r="F173">
        <v>670050</v>
      </c>
      <c r="G173" t="s">
        <v>59</v>
      </c>
      <c r="H173" t="s">
        <v>43</v>
      </c>
      <c r="I173">
        <v>0</v>
      </c>
      <c r="J173" s="1">
        <v>405182.76799999998</v>
      </c>
      <c r="K173" s="1">
        <v>280038.06199999998</v>
      </c>
      <c r="L173" s="1">
        <v>405181.29200000002</v>
      </c>
      <c r="M173" s="1">
        <v>280039.50599999999</v>
      </c>
      <c r="N173" t="s">
        <v>40</v>
      </c>
      <c r="P173" t="s">
        <v>40</v>
      </c>
      <c r="Q173">
        <v>0</v>
      </c>
      <c r="R173">
        <v>0</v>
      </c>
      <c r="S173">
        <v>0</v>
      </c>
      <c r="T173">
        <v>6</v>
      </c>
      <c r="U173">
        <v>6</v>
      </c>
      <c r="V173">
        <v>1</v>
      </c>
      <c r="W173">
        <v>1</v>
      </c>
      <c r="X173" t="s">
        <v>40</v>
      </c>
      <c r="Y173">
        <v>3</v>
      </c>
      <c r="Z173">
        <v>52</v>
      </c>
      <c r="AA173">
        <v>1</v>
      </c>
      <c r="AB173">
        <v>0</v>
      </c>
      <c r="AC173">
        <v>2.0649999999999999</v>
      </c>
      <c r="AD173">
        <v>5059</v>
      </c>
      <c r="AH173">
        <v>0</v>
      </c>
      <c r="AI173">
        <v>0</v>
      </c>
      <c r="AL173" t="s">
        <v>40</v>
      </c>
      <c r="AM173" t="str">
        <f t="shared" si="12"/>
        <v>52 1</v>
      </c>
      <c r="AN173" t="str">
        <f t="shared" ref="AN173:AN207" si="13">ROUND(J173,3)&amp;","&amp;ROUND(K173,3)</f>
        <v>405182.768,280038.062</v>
      </c>
      <c r="AO173" t="str">
        <f t="shared" ref="AO173:AO207" si="14">ROUND(L173,3)&amp;","&amp;ROUND(M173,3)</f>
        <v>405181.292,280039.506</v>
      </c>
      <c r="AQ173" t="s">
        <v>2107</v>
      </c>
      <c r="AR173" t="s">
        <v>686</v>
      </c>
    </row>
    <row r="174" spans="1:44" x14ac:dyDescent="0.3">
      <c r="A174">
        <v>3869</v>
      </c>
      <c r="B174">
        <v>4</v>
      </c>
      <c r="C174">
        <v>4022946</v>
      </c>
      <c r="D174">
        <v>23148</v>
      </c>
      <c r="E174">
        <v>2</v>
      </c>
      <c r="F174">
        <v>670050</v>
      </c>
      <c r="G174" t="s">
        <v>60</v>
      </c>
      <c r="H174" t="s">
        <v>43</v>
      </c>
      <c r="I174">
        <v>0</v>
      </c>
      <c r="J174" s="1">
        <v>405431.772</v>
      </c>
      <c r="K174" s="1">
        <v>280889.65100000001</v>
      </c>
      <c r="L174" s="1">
        <v>405391.24900000001</v>
      </c>
      <c r="M174" s="1">
        <v>280918.99099999998</v>
      </c>
      <c r="N174" t="s">
        <v>40</v>
      </c>
      <c r="P174" t="s">
        <v>40</v>
      </c>
      <c r="Q174">
        <v>0</v>
      </c>
      <c r="R174">
        <v>0</v>
      </c>
      <c r="S174">
        <v>0</v>
      </c>
      <c r="T174">
        <v>6</v>
      </c>
      <c r="U174">
        <v>6</v>
      </c>
      <c r="V174">
        <v>1</v>
      </c>
      <c r="W174">
        <v>1</v>
      </c>
      <c r="X174" t="s">
        <v>40</v>
      </c>
      <c r="Y174">
        <v>3</v>
      </c>
      <c r="Z174">
        <v>89</v>
      </c>
      <c r="AA174">
        <v>1</v>
      </c>
      <c r="AB174">
        <v>0</v>
      </c>
      <c r="AC174">
        <v>239.05</v>
      </c>
      <c r="AD174">
        <v>5059</v>
      </c>
      <c r="AH174">
        <v>0</v>
      </c>
      <c r="AI174">
        <v>0</v>
      </c>
      <c r="AL174" t="s">
        <v>40</v>
      </c>
      <c r="AM174" t="str">
        <f t="shared" si="12"/>
        <v>89 1</v>
      </c>
      <c r="AN174" s="6" t="s">
        <v>1637</v>
      </c>
      <c r="AO174" s="6" t="s">
        <v>968</v>
      </c>
      <c r="AQ174" t="s">
        <v>2113</v>
      </c>
      <c r="AR174" t="s">
        <v>2114</v>
      </c>
    </row>
    <row r="175" spans="1:44" x14ac:dyDescent="0.3">
      <c r="A175">
        <v>3869</v>
      </c>
      <c r="B175">
        <v>4</v>
      </c>
      <c r="C175">
        <v>4022879</v>
      </c>
      <c r="D175">
        <v>22003</v>
      </c>
      <c r="E175">
        <v>2</v>
      </c>
      <c r="F175">
        <v>670050</v>
      </c>
      <c r="G175" t="s">
        <v>60</v>
      </c>
      <c r="H175" t="s">
        <v>43</v>
      </c>
      <c r="I175">
        <v>0</v>
      </c>
      <c r="J175" s="1">
        <v>405317.53700000001</v>
      </c>
      <c r="K175" s="1">
        <v>280688.717</v>
      </c>
      <c r="L175" s="1">
        <v>405318.69799999997</v>
      </c>
      <c r="M175" s="1">
        <v>280681.85200000001</v>
      </c>
      <c r="N175" t="s">
        <v>40</v>
      </c>
      <c r="P175" t="s">
        <v>40</v>
      </c>
      <c r="Q175">
        <v>0</v>
      </c>
      <c r="R175">
        <v>0</v>
      </c>
      <c r="S175">
        <v>0</v>
      </c>
      <c r="T175">
        <v>6</v>
      </c>
      <c r="U175">
        <v>6</v>
      </c>
      <c r="V175">
        <v>1</v>
      </c>
      <c r="W175">
        <v>2</v>
      </c>
      <c r="X175" t="s">
        <v>40</v>
      </c>
      <c r="Y175">
        <v>3</v>
      </c>
      <c r="Z175">
        <v>5017</v>
      </c>
      <c r="AA175">
        <v>1</v>
      </c>
      <c r="AB175">
        <v>0</v>
      </c>
      <c r="AC175">
        <v>6.9619999999999997</v>
      </c>
      <c r="AD175">
        <v>5059</v>
      </c>
      <c r="AH175">
        <v>0</v>
      </c>
      <c r="AI175">
        <v>0</v>
      </c>
      <c r="AL175" t="s">
        <v>40</v>
      </c>
      <c r="AM175" t="str">
        <f t="shared" si="12"/>
        <v>5017 1</v>
      </c>
      <c r="AN175" t="str">
        <f t="shared" si="13"/>
        <v>405317.537,280688.717</v>
      </c>
      <c r="AO175" t="str">
        <f t="shared" si="14"/>
        <v>405318.698,280681.852</v>
      </c>
      <c r="AQ175" t="s">
        <v>2115</v>
      </c>
      <c r="AR175" t="s">
        <v>2116</v>
      </c>
    </row>
    <row r="176" spans="1:44" x14ac:dyDescent="0.3">
      <c r="A176">
        <v>3869</v>
      </c>
      <c r="B176">
        <v>4</v>
      </c>
      <c r="C176">
        <v>4022852</v>
      </c>
      <c r="D176">
        <v>22242</v>
      </c>
      <c r="E176">
        <v>2</v>
      </c>
      <c r="F176">
        <v>670050</v>
      </c>
      <c r="G176" t="s">
        <v>60</v>
      </c>
      <c r="H176" t="s">
        <v>43</v>
      </c>
      <c r="I176">
        <v>0</v>
      </c>
      <c r="J176" s="1">
        <v>405308.11099999998</v>
      </c>
      <c r="K176" s="1">
        <v>280746.38099999999</v>
      </c>
      <c r="L176" s="1">
        <v>405301.16399999999</v>
      </c>
      <c r="M176" s="1">
        <v>280793.74800000002</v>
      </c>
      <c r="N176" t="s">
        <v>40</v>
      </c>
      <c r="P176" t="s">
        <v>40</v>
      </c>
      <c r="Q176">
        <v>0</v>
      </c>
      <c r="R176">
        <v>0</v>
      </c>
      <c r="S176">
        <v>0</v>
      </c>
      <c r="T176">
        <v>6</v>
      </c>
      <c r="U176">
        <v>6</v>
      </c>
      <c r="V176">
        <v>1</v>
      </c>
      <c r="W176">
        <v>2</v>
      </c>
      <c r="X176" t="s">
        <v>40</v>
      </c>
      <c r="Y176">
        <v>3</v>
      </c>
      <c r="Z176">
        <v>89</v>
      </c>
      <c r="AA176">
        <v>1</v>
      </c>
      <c r="AB176">
        <v>0</v>
      </c>
      <c r="AC176">
        <v>47.874000000000002</v>
      </c>
      <c r="AD176">
        <v>5059</v>
      </c>
      <c r="AH176">
        <v>0</v>
      </c>
      <c r="AI176">
        <v>0</v>
      </c>
      <c r="AL176" t="s">
        <v>40</v>
      </c>
      <c r="AM176" t="str">
        <f t="shared" si="12"/>
        <v>89 1</v>
      </c>
      <c r="AN176" t="str">
        <f t="shared" si="13"/>
        <v>405308.111,280746.381</v>
      </c>
      <c r="AO176" t="str">
        <f t="shared" si="14"/>
        <v>405301.164,280793.748</v>
      </c>
      <c r="AQ176" t="s">
        <v>2117</v>
      </c>
      <c r="AR176" t="s">
        <v>2118</v>
      </c>
    </row>
    <row r="177" spans="1:44" x14ac:dyDescent="0.3">
      <c r="A177">
        <v>3869</v>
      </c>
      <c r="B177">
        <v>4</v>
      </c>
      <c r="C177">
        <v>4022865</v>
      </c>
      <c r="D177">
        <v>22219</v>
      </c>
      <c r="E177">
        <v>2</v>
      </c>
      <c r="F177">
        <v>670050</v>
      </c>
      <c r="G177" t="s">
        <v>60</v>
      </c>
      <c r="H177" t="s">
        <v>43</v>
      </c>
      <c r="I177">
        <v>0</v>
      </c>
      <c r="J177" s="1">
        <v>405308.11099999998</v>
      </c>
      <c r="K177" s="1">
        <v>280746.38099999999</v>
      </c>
      <c r="L177" s="1">
        <v>405308.95</v>
      </c>
      <c r="M177" s="1">
        <v>280740.84100000001</v>
      </c>
      <c r="N177" t="s">
        <v>40</v>
      </c>
      <c r="P177" t="s">
        <v>40</v>
      </c>
      <c r="Q177">
        <v>0</v>
      </c>
      <c r="R177">
        <v>0</v>
      </c>
      <c r="S177">
        <v>200211</v>
      </c>
      <c r="T177">
        <v>6</v>
      </c>
      <c r="U177">
        <v>6</v>
      </c>
      <c r="V177">
        <v>1</v>
      </c>
      <c r="W177">
        <v>2</v>
      </c>
      <c r="X177" t="s">
        <v>40</v>
      </c>
      <c r="Y177">
        <v>3</v>
      </c>
      <c r="Z177">
        <v>5017</v>
      </c>
      <c r="AA177">
        <v>1</v>
      </c>
      <c r="AB177">
        <v>0</v>
      </c>
      <c r="AC177">
        <v>5.6029999999999998</v>
      </c>
      <c r="AD177">
        <v>5059</v>
      </c>
      <c r="AH177">
        <v>0</v>
      </c>
      <c r="AI177">
        <v>0</v>
      </c>
      <c r="AL177" t="s">
        <v>40</v>
      </c>
      <c r="AM177" t="str">
        <f t="shared" si="12"/>
        <v>5017 1</v>
      </c>
      <c r="AN177" t="str">
        <f t="shared" si="13"/>
        <v>405308.111,280746.381</v>
      </c>
      <c r="AO177" t="str">
        <f t="shared" si="14"/>
        <v>405308.95,280740.841</v>
      </c>
      <c r="AQ177" t="s">
        <v>2117</v>
      </c>
      <c r="AR177" t="s">
        <v>2119</v>
      </c>
    </row>
    <row r="178" spans="1:44" x14ac:dyDescent="0.3">
      <c r="A178">
        <v>3869</v>
      </c>
      <c r="B178">
        <v>4</v>
      </c>
      <c r="C178">
        <v>4022913</v>
      </c>
      <c r="D178">
        <v>57818</v>
      </c>
      <c r="E178">
        <v>2</v>
      </c>
      <c r="F178">
        <v>670050</v>
      </c>
      <c r="G178" t="s">
        <v>60</v>
      </c>
      <c r="H178" t="s">
        <v>43</v>
      </c>
      <c r="I178">
        <v>0</v>
      </c>
      <c r="J178" s="1">
        <v>405439.696</v>
      </c>
      <c r="K178" s="1">
        <v>280455.375</v>
      </c>
      <c r="L178" s="1">
        <v>405440.26699999999</v>
      </c>
      <c r="M178" s="1">
        <v>280453.13</v>
      </c>
      <c r="N178" t="s">
        <v>40</v>
      </c>
      <c r="P178" t="s">
        <v>40</v>
      </c>
      <c r="Q178">
        <v>0</v>
      </c>
      <c r="R178">
        <v>0</v>
      </c>
      <c r="S178">
        <v>0</v>
      </c>
      <c r="T178">
        <v>6</v>
      </c>
      <c r="U178">
        <v>6</v>
      </c>
      <c r="V178">
        <v>1</v>
      </c>
      <c r="W178">
        <v>3</v>
      </c>
      <c r="X178" t="s">
        <v>40</v>
      </c>
      <c r="Y178">
        <v>3</v>
      </c>
      <c r="Z178">
        <v>169</v>
      </c>
      <c r="AA178">
        <v>1</v>
      </c>
      <c r="AB178">
        <v>0</v>
      </c>
      <c r="AC178">
        <v>5.7430000000000003</v>
      </c>
      <c r="AD178">
        <v>5059</v>
      </c>
      <c r="AH178">
        <v>0</v>
      </c>
      <c r="AI178">
        <v>0</v>
      </c>
      <c r="AL178" t="s">
        <v>40</v>
      </c>
      <c r="AM178" t="str">
        <f t="shared" si="12"/>
        <v>169 1</v>
      </c>
      <c r="AN178" t="str">
        <f t="shared" si="13"/>
        <v>405439.696,280455.375</v>
      </c>
      <c r="AO178" t="str">
        <f t="shared" si="14"/>
        <v>405440.267,280453.13</v>
      </c>
      <c r="AQ178" t="s">
        <v>1950</v>
      </c>
      <c r="AR178" t="s">
        <v>693</v>
      </c>
    </row>
    <row r="179" spans="1:44" x14ac:dyDescent="0.3">
      <c r="A179">
        <v>3869</v>
      </c>
      <c r="B179">
        <v>4</v>
      </c>
      <c r="C179">
        <v>4022866</v>
      </c>
      <c r="D179">
        <v>22019</v>
      </c>
      <c r="E179">
        <v>2</v>
      </c>
      <c r="F179">
        <v>670050</v>
      </c>
      <c r="G179" t="s">
        <v>60</v>
      </c>
      <c r="H179" t="s">
        <v>43</v>
      </c>
      <c r="I179">
        <v>0</v>
      </c>
      <c r="J179" s="1">
        <v>405308.95</v>
      </c>
      <c r="K179" s="1">
        <v>280740.84100000001</v>
      </c>
      <c r="L179" s="1">
        <v>405317.53700000001</v>
      </c>
      <c r="M179" s="1">
        <v>280688.717</v>
      </c>
      <c r="N179" t="s">
        <v>40</v>
      </c>
      <c r="P179" t="s">
        <v>40</v>
      </c>
      <c r="Q179">
        <v>0</v>
      </c>
      <c r="R179">
        <v>0</v>
      </c>
      <c r="S179">
        <v>0</v>
      </c>
      <c r="T179">
        <v>6</v>
      </c>
      <c r="U179">
        <v>6</v>
      </c>
      <c r="V179">
        <v>1</v>
      </c>
      <c r="W179">
        <v>2</v>
      </c>
      <c r="X179" t="s">
        <v>40</v>
      </c>
      <c r="Y179">
        <v>3</v>
      </c>
      <c r="Z179">
        <v>89</v>
      </c>
      <c r="AA179">
        <v>1</v>
      </c>
      <c r="AB179">
        <v>0</v>
      </c>
      <c r="AC179">
        <v>52.981999999999999</v>
      </c>
      <c r="AD179">
        <v>5059</v>
      </c>
      <c r="AH179">
        <v>0</v>
      </c>
      <c r="AI179">
        <v>0</v>
      </c>
      <c r="AL179" t="s">
        <v>40</v>
      </c>
      <c r="AM179" t="str">
        <f t="shared" si="12"/>
        <v>89 1</v>
      </c>
      <c r="AN179" t="str">
        <f t="shared" si="13"/>
        <v>405308.95,280740.841</v>
      </c>
      <c r="AO179" t="str">
        <f t="shared" si="14"/>
        <v>405317.537,280688.717</v>
      </c>
      <c r="AQ179" t="s">
        <v>2119</v>
      </c>
      <c r="AR179" t="s">
        <v>2115</v>
      </c>
    </row>
    <row r="180" spans="1:44" x14ac:dyDescent="0.3">
      <c r="A180">
        <v>3869</v>
      </c>
      <c r="B180">
        <v>4</v>
      </c>
      <c r="C180">
        <v>4025829</v>
      </c>
      <c r="D180">
        <v>25007</v>
      </c>
      <c r="E180">
        <v>2</v>
      </c>
      <c r="F180">
        <v>670050</v>
      </c>
      <c r="G180" t="s">
        <v>60</v>
      </c>
      <c r="H180" t="s">
        <v>41</v>
      </c>
      <c r="I180">
        <v>0</v>
      </c>
      <c r="J180" s="1">
        <v>405717.66499999998</v>
      </c>
      <c r="K180" s="1">
        <v>281000</v>
      </c>
      <c r="L180" s="1">
        <v>405731.22899999999</v>
      </c>
      <c r="M180" s="1">
        <v>281032.28499999997</v>
      </c>
      <c r="N180" t="s">
        <v>40</v>
      </c>
      <c r="P180" t="s">
        <v>40</v>
      </c>
      <c r="Q180">
        <v>0</v>
      </c>
      <c r="R180">
        <v>0</v>
      </c>
      <c r="S180">
        <v>0</v>
      </c>
      <c r="T180">
        <v>6</v>
      </c>
      <c r="U180">
        <v>6</v>
      </c>
      <c r="V180">
        <v>1</v>
      </c>
      <c r="W180">
        <v>1</v>
      </c>
      <c r="X180" t="s">
        <v>40</v>
      </c>
      <c r="Y180">
        <v>3</v>
      </c>
      <c r="Z180">
        <v>38</v>
      </c>
      <c r="AA180">
        <v>5001</v>
      </c>
      <c r="AB180">
        <v>0</v>
      </c>
      <c r="AC180">
        <v>103.36000000000001</v>
      </c>
      <c r="AD180">
        <v>5059</v>
      </c>
      <c r="AH180">
        <v>0</v>
      </c>
      <c r="AI180">
        <v>0</v>
      </c>
      <c r="AL180" t="s">
        <v>40</v>
      </c>
      <c r="AM180" t="str">
        <f t="shared" si="12"/>
        <v>38 5001</v>
      </c>
      <c r="AN180" s="6" t="s">
        <v>980</v>
      </c>
      <c r="AO180" s="6" t="s">
        <v>232</v>
      </c>
      <c r="AQ180" t="s">
        <v>2120</v>
      </c>
      <c r="AR180" t="s">
        <v>694</v>
      </c>
    </row>
    <row r="181" spans="1:44" x14ac:dyDescent="0.3">
      <c r="A181">
        <v>3869</v>
      </c>
      <c r="B181">
        <v>4</v>
      </c>
      <c r="C181">
        <v>4022824</v>
      </c>
      <c r="D181">
        <v>57776</v>
      </c>
      <c r="E181">
        <v>2</v>
      </c>
      <c r="F181">
        <v>670050</v>
      </c>
      <c r="G181" t="s">
        <v>60</v>
      </c>
      <c r="H181" t="s">
        <v>43</v>
      </c>
      <c r="I181">
        <v>0</v>
      </c>
      <c r="J181" s="1">
        <v>405268.82199999999</v>
      </c>
      <c r="K181" s="1">
        <v>280811.83299999998</v>
      </c>
      <c r="L181" s="1">
        <v>405248.79700000002</v>
      </c>
      <c r="M181" s="1">
        <v>280788.995</v>
      </c>
      <c r="N181" t="s">
        <v>40</v>
      </c>
      <c r="P181" t="s">
        <v>40</v>
      </c>
      <c r="Q181">
        <v>0</v>
      </c>
      <c r="R181">
        <v>0</v>
      </c>
      <c r="S181">
        <v>0</v>
      </c>
      <c r="T181">
        <v>6</v>
      </c>
      <c r="U181">
        <v>6</v>
      </c>
      <c r="V181">
        <v>1</v>
      </c>
      <c r="W181">
        <v>2</v>
      </c>
      <c r="X181" t="s">
        <v>40</v>
      </c>
      <c r="Y181">
        <v>3</v>
      </c>
      <c r="Z181">
        <v>89</v>
      </c>
      <c r="AA181">
        <v>1</v>
      </c>
      <c r="AB181">
        <v>0</v>
      </c>
      <c r="AC181">
        <v>82.728999999999985</v>
      </c>
      <c r="AD181">
        <v>5059</v>
      </c>
      <c r="AH181">
        <v>0</v>
      </c>
      <c r="AI181">
        <v>0</v>
      </c>
      <c r="AL181" t="s">
        <v>40</v>
      </c>
      <c r="AM181" t="str">
        <f t="shared" si="12"/>
        <v>89 1</v>
      </c>
      <c r="AN181" s="6" t="s">
        <v>979</v>
      </c>
      <c r="AO181" s="6" t="s">
        <v>235</v>
      </c>
      <c r="AQ181" t="s">
        <v>2121</v>
      </c>
      <c r="AR181" t="s">
        <v>695</v>
      </c>
    </row>
    <row r="182" spans="1:44" x14ac:dyDescent="0.3">
      <c r="A182">
        <v>3869</v>
      </c>
      <c r="B182">
        <v>4</v>
      </c>
      <c r="C182">
        <v>4024292</v>
      </c>
      <c r="D182">
        <v>23865</v>
      </c>
      <c r="E182">
        <v>2</v>
      </c>
      <c r="F182">
        <v>670050</v>
      </c>
      <c r="G182" t="s">
        <v>60</v>
      </c>
      <c r="H182" t="s">
        <v>61</v>
      </c>
      <c r="I182">
        <v>0</v>
      </c>
      <c r="J182" s="1">
        <v>406128.85100000002</v>
      </c>
      <c r="K182" s="1">
        <v>280951.29599999997</v>
      </c>
      <c r="L182" s="1">
        <v>406000</v>
      </c>
      <c r="M182" s="1">
        <v>280989.30300000001</v>
      </c>
      <c r="N182" t="s">
        <v>40</v>
      </c>
      <c r="P182" t="s">
        <v>40</v>
      </c>
      <c r="Q182">
        <v>0</v>
      </c>
      <c r="R182">
        <v>0</v>
      </c>
      <c r="S182">
        <v>0</v>
      </c>
      <c r="T182">
        <v>6</v>
      </c>
      <c r="U182">
        <v>6</v>
      </c>
      <c r="V182">
        <v>1</v>
      </c>
      <c r="W182">
        <v>1</v>
      </c>
      <c r="X182" t="s">
        <v>40</v>
      </c>
      <c r="Y182">
        <v>3</v>
      </c>
      <c r="Z182">
        <v>89</v>
      </c>
      <c r="AA182">
        <v>1</v>
      </c>
      <c r="AB182">
        <v>0</v>
      </c>
      <c r="AC182">
        <v>416.33600000000001</v>
      </c>
      <c r="AD182">
        <v>5059</v>
      </c>
      <c r="AH182">
        <v>0</v>
      </c>
      <c r="AI182">
        <v>0</v>
      </c>
      <c r="AL182" t="s">
        <v>40</v>
      </c>
      <c r="AM182" t="str">
        <f t="shared" si="12"/>
        <v>89 1</v>
      </c>
      <c r="AN182" s="6" t="s">
        <v>993</v>
      </c>
      <c r="AO182" s="6" t="s">
        <v>980</v>
      </c>
      <c r="AQ182" t="s">
        <v>2122</v>
      </c>
      <c r="AR182" t="s">
        <v>2120</v>
      </c>
    </row>
    <row r="183" spans="1:44" x14ac:dyDescent="0.3">
      <c r="A183">
        <v>3869</v>
      </c>
      <c r="B183">
        <v>4</v>
      </c>
      <c r="C183">
        <v>4022787</v>
      </c>
      <c r="D183">
        <v>22507</v>
      </c>
      <c r="E183">
        <v>2</v>
      </c>
      <c r="F183">
        <v>670050</v>
      </c>
      <c r="G183" t="s">
        <v>60</v>
      </c>
      <c r="H183" t="s">
        <v>43</v>
      </c>
      <c r="I183">
        <v>0</v>
      </c>
      <c r="J183" s="1">
        <v>405290.34499999997</v>
      </c>
      <c r="K183" s="1">
        <v>280868.93699999998</v>
      </c>
      <c r="L183" s="1">
        <v>405171.114</v>
      </c>
      <c r="M183" s="1">
        <v>280967.14600000001</v>
      </c>
      <c r="N183" t="s">
        <v>40</v>
      </c>
      <c r="P183" t="s">
        <v>40</v>
      </c>
      <c r="Q183">
        <v>0</v>
      </c>
      <c r="R183">
        <v>0</v>
      </c>
      <c r="S183">
        <v>0</v>
      </c>
      <c r="T183">
        <v>6</v>
      </c>
      <c r="U183">
        <v>6</v>
      </c>
      <c r="V183">
        <v>1</v>
      </c>
      <c r="W183">
        <v>2</v>
      </c>
      <c r="X183" t="s">
        <v>40</v>
      </c>
      <c r="Y183">
        <v>3</v>
      </c>
      <c r="Z183">
        <v>89</v>
      </c>
      <c r="AA183">
        <v>1</v>
      </c>
      <c r="AB183">
        <v>0</v>
      </c>
      <c r="AC183">
        <v>341.298</v>
      </c>
      <c r="AD183">
        <v>5059</v>
      </c>
      <c r="AH183">
        <v>0</v>
      </c>
      <c r="AI183">
        <v>0</v>
      </c>
      <c r="AL183" t="s">
        <v>40</v>
      </c>
      <c r="AM183" t="str">
        <f t="shared" si="12"/>
        <v>89 1</v>
      </c>
      <c r="AN183" s="6" t="s">
        <v>974</v>
      </c>
      <c r="AO183" s="6" t="s">
        <v>236</v>
      </c>
      <c r="AQ183" t="s">
        <v>2123</v>
      </c>
      <c r="AR183" t="s">
        <v>696</v>
      </c>
    </row>
    <row r="184" spans="1:44" x14ac:dyDescent="0.3">
      <c r="A184">
        <v>3869</v>
      </c>
      <c r="B184">
        <v>4</v>
      </c>
      <c r="C184">
        <v>4022772</v>
      </c>
      <c r="D184">
        <v>57751</v>
      </c>
      <c r="E184">
        <v>2</v>
      </c>
      <c r="F184">
        <v>670050</v>
      </c>
      <c r="G184" t="s">
        <v>60</v>
      </c>
      <c r="H184" t="s">
        <v>43</v>
      </c>
      <c r="I184">
        <v>0</v>
      </c>
      <c r="J184" s="1">
        <v>405171.114</v>
      </c>
      <c r="K184" s="1">
        <v>280967.14600000001</v>
      </c>
      <c r="L184" s="1">
        <v>405166.386</v>
      </c>
      <c r="M184" s="1">
        <v>280960.48599999998</v>
      </c>
      <c r="N184" t="s">
        <v>40</v>
      </c>
      <c r="P184" t="s">
        <v>40</v>
      </c>
      <c r="Q184">
        <v>0</v>
      </c>
      <c r="R184">
        <v>0</v>
      </c>
      <c r="S184">
        <v>0</v>
      </c>
      <c r="T184">
        <v>6</v>
      </c>
      <c r="U184">
        <v>6</v>
      </c>
      <c r="V184">
        <v>1</v>
      </c>
      <c r="W184">
        <v>2</v>
      </c>
      <c r="X184" t="s">
        <v>40</v>
      </c>
      <c r="Y184">
        <v>3</v>
      </c>
      <c r="Z184">
        <v>38</v>
      </c>
      <c r="AA184">
        <v>1</v>
      </c>
      <c r="AB184">
        <v>0</v>
      </c>
      <c r="AC184">
        <v>11.009</v>
      </c>
      <c r="AD184">
        <v>5059</v>
      </c>
      <c r="AH184">
        <v>0</v>
      </c>
      <c r="AI184">
        <v>0</v>
      </c>
      <c r="AL184" t="s">
        <v>40</v>
      </c>
      <c r="AM184" t="str">
        <f t="shared" si="12"/>
        <v>38 1</v>
      </c>
      <c r="AN184" t="str">
        <f t="shared" si="13"/>
        <v>405171.114,280967.146</v>
      </c>
      <c r="AO184" t="str">
        <f t="shared" si="14"/>
        <v>405166.386,280960.486</v>
      </c>
      <c r="AQ184" t="s">
        <v>2123</v>
      </c>
      <c r="AR184" t="s">
        <v>697</v>
      </c>
    </row>
    <row r="185" spans="1:44" x14ac:dyDescent="0.3">
      <c r="A185">
        <v>3869</v>
      </c>
      <c r="B185">
        <v>4</v>
      </c>
      <c r="C185">
        <v>4022755</v>
      </c>
      <c r="D185">
        <v>57752</v>
      </c>
      <c r="E185">
        <v>2</v>
      </c>
      <c r="F185">
        <v>670050</v>
      </c>
      <c r="G185" t="s">
        <v>60</v>
      </c>
      <c r="H185" t="s">
        <v>43</v>
      </c>
      <c r="I185">
        <v>0</v>
      </c>
      <c r="J185" s="1">
        <v>405164.27399999998</v>
      </c>
      <c r="K185" s="1">
        <v>280966.23100000003</v>
      </c>
      <c r="L185" s="1">
        <v>405165.87900000002</v>
      </c>
      <c r="M185" s="1">
        <v>280960.40399999998</v>
      </c>
      <c r="N185" t="s">
        <v>40</v>
      </c>
      <c r="P185" t="s">
        <v>40</v>
      </c>
      <c r="Q185">
        <v>0</v>
      </c>
      <c r="R185">
        <v>0</v>
      </c>
      <c r="S185">
        <v>0</v>
      </c>
      <c r="T185">
        <v>6</v>
      </c>
      <c r="U185">
        <v>6</v>
      </c>
      <c r="V185">
        <v>1</v>
      </c>
      <c r="W185">
        <v>2</v>
      </c>
      <c r="X185" t="s">
        <v>40</v>
      </c>
      <c r="Y185">
        <v>3</v>
      </c>
      <c r="Z185">
        <v>38</v>
      </c>
      <c r="AA185">
        <v>1</v>
      </c>
      <c r="AB185">
        <v>0</v>
      </c>
      <c r="AC185">
        <v>8.8580000000000005</v>
      </c>
      <c r="AD185">
        <v>5059</v>
      </c>
      <c r="AH185">
        <v>0</v>
      </c>
      <c r="AI185">
        <v>0</v>
      </c>
      <c r="AL185" t="s">
        <v>40</v>
      </c>
      <c r="AM185" t="str">
        <f t="shared" si="12"/>
        <v>38 1</v>
      </c>
      <c r="AN185" t="str">
        <f t="shared" si="13"/>
        <v>405164.274,280966.231</v>
      </c>
      <c r="AO185" t="str">
        <f t="shared" si="14"/>
        <v>405165.879,280960.404</v>
      </c>
      <c r="AQ185" t="s">
        <v>2124</v>
      </c>
      <c r="AR185" t="s">
        <v>698</v>
      </c>
    </row>
    <row r="186" spans="1:44" x14ac:dyDescent="0.3">
      <c r="A186">
        <v>3869</v>
      </c>
      <c r="B186">
        <v>4</v>
      </c>
      <c r="C186">
        <v>4022749</v>
      </c>
      <c r="D186">
        <v>23226</v>
      </c>
      <c r="E186">
        <v>2</v>
      </c>
      <c r="F186">
        <v>670050</v>
      </c>
      <c r="G186" t="s">
        <v>60</v>
      </c>
      <c r="H186" t="s">
        <v>43</v>
      </c>
      <c r="I186">
        <v>0</v>
      </c>
      <c r="J186" s="1">
        <v>405128.56300000002</v>
      </c>
      <c r="K186" s="1">
        <v>280974.554</v>
      </c>
      <c r="L186" s="1">
        <v>405294.88299999997</v>
      </c>
      <c r="M186" s="1">
        <v>280984.40500000003</v>
      </c>
      <c r="N186" t="s">
        <v>40</v>
      </c>
      <c r="P186" t="s">
        <v>40</v>
      </c>
      <c r="Q186">
        <v>0</v>
      </c>
      <c r="R186">
        <v>0</v>
      </c>
      <c r="S186">
        <v>0</v>
      </c>
      <c r="T186">
        <v>6</v>
      </c>
      <c r="U186">
        <v>6</v>
      </c>
      <c r="V186">
        <v>1</v>
      </c>
      <c r="W186">
        <v>1</v>
      </c>
      <c r="X186" t="s">
        <v>40</v>
      </c>
      <c r="Y186">
        <v>3</v>
      </c>
      <c r="Z186">
        <v>89</v>
      </c>
      <c r="AA186">
        <v>99</v>
      </c>
      <c r="AB186">
        <v>0</v>
      </c>
      <c r="AC186">
        <v>178.578</v>
      </c>
      <c r="AD186">
        <v>5059</v>
      </c>
      <c r="AH186">
        <v>0</v>
      </c>
      <c r="AI186">
        <v>0</v>
      </c>
      <c r="AL186" t="s">
        <v>40</v>
      </c>
      <c r="AM186" t="str">
        <f t="shared" si="12"/>
        <v>89 99</v>
      </c>
      <c r="AN186" t="str">
        <f t="shared" si="13"/>
        <v>405128.563,280974.554</v>
      </c>
      <c r="AO186" t="str">
        <f t="shared" si="14"/>
        <v>405294.883,280984.405</v>
      </c>
      <c r="AQ186" t="s">
        <v>2125</v>
      </c>
      <c r="AR186" t="s">
        <v>2113</v>
      </c>
    </row>
    <row r="187" spans="1:44" x14ac:dyDescent="0.3">
      <c r="A187">
        <v>3869</v>
      </c>
      <c r="B187">
        <v>4</v>
      </c>
      <c r="C187">
        <v>4022748</v>
      </c>
      <c r="D187">
        <v>57746</v>
      </c>
      <c r="E187">
        <v>2</v>
      </c>
      <c r="F187">
        <v>670050</v>
      </c>
      <c r="G187" t="s">
        <v>60</v>
      </c>
      <c r="H187" t="s">
        <v>43</v>
      </c>
      <c r="I187">
        <v>0</v>
      </c>
      <c r="J187" s="1">
        <v>405128.27899999998</v>
      </c>
      <c r="K187" s="1">
        <v>280983.36700000003</v>
      </c>
      <c r="L187" s="1">
        <v>405130.37800000003</v>
      </c>
      <c r="M187" s="1">
        <v>280983.59999999998</v>
      </c>
      <c r="N187" t="s">
        <v>40</v>
      </c>
      <c r="P187" t="s">
        <v>40</v>
      </c>
      <c r="Q187">
        <v>0</v>
      </c>
      <c r="R187">
        <v>0</v>
      </c>
      <c r="S187">
        <v>0</v>
      </c>
      <c r="T187">
        <v>6</v>
      </c>
      <c r="U187">
        <v>6</v>
      </c>
      <c r="V187">
        <v>1</v>
      </c>
      <c r="W187">
        <v>1</v>
      </c>
      <c r="X187" t="s">
        <v>40</v>
      </c>
      <c r="Y187">
        <v>3</v>
      </c>
      <c r="Z187">
        <v>169</v>
      </c>
      <c r="AA187">
        <v>99</v>
      </c>
      <c r="AB187">
        <v>0</v>
      </c>
      <c r="AC187">
        <v>2.1120000000000001</v>
      </c>
      <c r="AD187">
        <v>5059</v>
      </c>
      <c r="AH187">
        <v>0</v>
      </c>
      <c r="AI187">
        <v>0</v>
      </c>
      <c r="AL187" t="s">
        <v>40</v>
      </c>
      <c r="AM187" t="str">
        <f t="shared" si="12"/>
        <v>169 99</v>
      </c>
      <c r="AN187" t="str">
        <f t="shared" si="13"/>
        <v>405128.279,280983.367</v>
      </c>
      <c r="AO187" t="str">
        <f t="shared" si="14"/>
        <v>405130.378,280983.6</v>
      </c>
      <c r="AQ187" t="s">
        <v>1819</v>
      </c>
      <c r="AR187" t="s">
        <v>1951</v>
      </c>
    </row>
    <row r="188" spans="1:44" x14ac:dyDescent="0.3">
      <c r="A188">
        <v>3869</v>
      </c>
      <c r="B188">
        <v>4</v>
      </c>
      <c r="C188">
        <v>4024376</v>
      </c>
      <c r="D188">
        <v>23639</v>
      </c>
      <c r="E188">
        <v>2</v>
      </c>
      <c r="F188">
        <v>670050</v>
      </c>
      <c r="G188" t="s">
        <v>60</v>
      </c>
      <c r="H188" t="s">
        <v>61</v>
      </c>
      <c r="I188">
        <v>0</v>
      </c>
      <c r="J188" s="1">
        <v>406453.76299999998</v>
      </c>
      <c r="K188" s="1">
        <v>280826.81400000001</v>
      </c>
      <c r="L188" s="1">
        <v>406465.90899999999</v>
      </c>
      <c r="M188" s="1">
        <v>280810.16700000002</v>
      </c>
      <c r="N188" t="s">
        <v>40</v>
      </c>
      <c r="P188" t="s">
        <v>40</v>
      </c>
      <c r="Q188">
        <v>0</v>
      </c>
      <c r="R188">
        <v>0</v>
      </c>
      <c r="S188">
        <v>0</v>
      </c>
      <c r="T188">
        <v>6</v>
      </c>
      <c r="U188">
        <v>6</v>
      </c>
      <c r="V188">
        <v>1</v>
      </c>
      <c r="W188">
        <v>3</v>
      </c>
      <c r="X188" t="s">
        <v>40</v>
      </c>
      <c r="Y188">
        <v>3</v>
      </c>
      <c r="Z188">
        <v>86</v>
      </c>
      <c r="AA188">
        <v>1</v>
      </c>
      <c r="AB188">
        <v>0</v>
      </c>
      <c r="AC188">
        <v>289.45699999999999</v>
      </c>
      <c r="AD188">
        <v>5059</v>
      </c>
      <c r="AH188">
        <v>0</v>
      </c>
      <c r="AI188">
        <v>0</v>
      </c>
      <c r="AL188" t="s">
        <v>40</v>
      </c>
      <c r="AM188" t="str">
        <f t="shared" si="12"/>
        <v>86 1</v>
      </c>
      <c r="AN188" s="6" t="s">
        <v>981</v>
      </c>
      <c r="AO188" s="6" t="s">
        <v>978</v>
      </c>
      <c r="AQ188" t="s">
        <v>1952</v>
      </c>
      <c r="AR188" t="s">
        <v>2126</v>
      </c>
    </row>
    <row r="189" spans="1:44" x14ac:dyDescent="0.3">
      <c r="A189">
        <v>3869</v>
      </c>
      <c r="B189">
        <v>4</v>
      </c>
      <c r="C189">
        <v>4022851</v>
      </c>
      <c r="D189">
        <v>22238</v>
      </c>
      <c r="E189">
        <v>2</v>
      </c>
      <c r="F189">
        <v>670050</v>
      </c>
      <c r="G189" t="s">
        <v>60</v>
      </c>
      <c r="H189" t="s">
        <v>43</v>
      </c>
      <c r="I189">
        <v>0</v>
      </c>
      <c r="J189" s="1">
        <v>405299.614</v>
      </c>
      <c r="K189" s="1">
        <v>280804.73200000002</v>
      </c>
      <c r="L189" s="1">
        <v>405301.16399999999</v>
      </c>
      <c r="M189" s="1">
        <v>280793.74800000002</v>
      </c>
      <c r="N189" t="s">
        <v>40</v>
      </c>
      <c r="P189" t="s">
        <v>40</v>
      </c>
      <c r="Q189">
        <v>0</v>
      </c>
      <c r="R189">
        <v>0</v>
      </c>
      <c r="S189">
        <v>0</v>
      </c>
      <c r="T189">
        <v>6</v>
      </c>
      <c r="U189">
        <v>6</v>
      </c>
      <c r="V189">
        <v>1</v>
      </c>
      <c r="W189">
        <v>2</v>
      </c>
      <c r="X189" t="s">
        <v>40</v>
      </c>
      <c r="Y189">
        <v>3</v>
      </c>
      <c r="Z189">
        <v>38</v>
      </c>
      <c r="AA189">
        <v>1</v>
      </c>
      <c r="AB189">
        <v>0</v>
      </c>
      <c r="AC189">
        <v>11.093</v>
      </c>
      <c r="AD189">
        <v>5059</v>
      </c>
      <c r="AH189">
        <v>0</v>
      </c>
      <c r="AI189">
        <v>0</v>
      </c>
      <c r="AL189" t="s">
        <v>40</v>
      </c>
      <c r="AM189" t="str">
        <f t="shared" si="12"/>
        <v>38 1</v>
      </c>
      <c r="AN189" t="str">
        <f t="shared" si="13"/>
        <v>405299.614,280804.732</v>
      </c>
      <c r="AO189" t="str">
        <f t="shared" si="14"/>
        <v>405301.164,280793.748</v>
      </c>
      <c r="AQ189" t="s">
        <v>2121</v>
      </c>
      <c r="AR189" t="s">
        <v>2118</v>
      </c>
    </row>
    <row r="190" spans="1:44" x14ac:dyDescent="0.3">
      <c r="A190">
        <v>3869</v>
      </c>
      <c r="B190">
        <v>4</v>
      </c>
      <c r="C190">
        <v>4022880</v>
      </c>
      <c r="D190">
        <v>22024</v>
      </c>
      <c r="E190">
        <v>2</v>
      </c>
      <c r="F190">
        <v>670050</v>
      </c>
      <c r="G190" t="s">
        <v>60</v>
      </c>
      <c r="H190" t="s">
        <v>43</v>
      </c>
      <c r="I190">
        <v>0</v>
      </c>
      <c r="J190" s="1">
        <v>405318.69799999997</v>
      </c>
      <c r="K190" s="1">
        <v>280681.85200000001</v>
      </c>
      <c r="L190" s="1">
        <v>405329.71899999998</v>
      </c>
      <c r="M190" s="1">
        <v>280617.35499999998</v>
      </c>
      <c r="N190" t="s">
        <v>40</v>
      </c>
      <c r="P190" t="s">
        <v>40</v>
      </c>
      <c r="Q190">
        <v>0</v>
      </c>
      <c r="R190">
        <v>0</v>
      </c>
      <c r="S190">
        <v>0</v>
      </c>
      <c r="T190">
        <v>6</v>
      </c>
      <c r="U190">
        <v>6</v>
      </c>
      <c r="V190">
        <v>1</v>
      </c>
      <c r="W190">
        <v>2</v>
      </c>
      <c r="X190" t="s">
        <v>40</v>
      </c>
      <c r="Y190">
        <v>3</v>
      </c>
      <c r="Z190">
        <v>89</v>
      </c>
      <c r="AA190">
        <v>1</v>
      </c>
      <c r="AB190">
        <v>0</v>
      </c>
      <c r="AC190">
        <v>65.432000000000002</v>
      </c>
      <c r="AD190">
        <v>5059</v>
      </c>
      <c r="AH190">
        <v>0</v>
      </c>
      <c r="AI190">
        <v>0</v>
      </c>
      <c r="AL190" t="s">
        <v>40</v>
      </c>
      <c r="AM190" t="str">
        <f t="shared" si="12"/>
        <v>89 1</v>
      </c>
      <c r="AN190" t="str">
        <f t="shared" si="13"/>
        <v>405318.698,280681.852</v>
      </c>
      <c r="AO190" t="str">
        <f t="shared" si="14"/>
        <v>405329.719,280617.355</v>
      </c>
      <c r="AQ190" t="s">
        <v>2116</v>
      </c>
      <c r="AR190" t="s">
        <v>2127</v>
      </c>
    </row>
    <row r="191" spans="1:44" x14ac:dyDescent="0.3">
      <c r="A191">
        <v>3869</v>
      </c>
      <c r="B191">
        <v>4</v>
      </c>
      <c r="C191">
        <v>4022893</v>
      </c>
      <c r="D191">
        <v>21984</v>
      </c>
      <c r="E191">
        <v>2</v>
      </c>
      <c r="F191">
        <v>670050</v>
      </c>
      <c r="G191" t="s">
        <v>60</v>
      </c>
      <c r="H191" t="s">
        <v>43</v>
      </c>
      <c r="I191">
        <v>0</v>
      </c>
      <c r="J191" s="1">
        <v>405329.71899999998</v>
      </c>
      <c r="K191" s="1">
        <v>280617.35499999998</v>
      </c>
      <c r="L191" s="1">
        <v>405342.43599999999</v>
      </c>
      <c r="M191" s="1">
        <v>280601.717</v>
      </c>
      <c r="N191" t="s">
        <v>40</v>
      </c>
      <c r="P191" t="s">
        <v>40</v>
      </c>
      <c r="Q191">
        <v>0</v>
      </c>
      <c r="R191">
        <v>0</v>
      </c>
      <c r="S191">
        <v>200709</v>
      </c>
      <c r="T191">
        <v>6</v>
      </c>
      <c r="U191">
        <v>6</v>
      </c>
      <c r="V191">
        <v>1</v>
      </c>
      <c r="W191">
        <v>2</v>
      </c>
      <c r="X191" t="s">
        <v>40</v>
      </c>
      <c r="Y191">
        <v>3</v>
      </c>
      <c r="Z191">
        <v>5028</v>
      </c>
      <c r="AA191">
        <v>1</v>
      </c>
      <c r="AB191">
        <v>0</v>
      </c>
      <c r="AC191">
        <v>25.731999999999999</v>
      </c>
      <c r="AD191">
        <v>5059</v>
      </c>
      <c r="AH191">
        <v>0</v>
      </c>
      <c r="AI191">
        <v>0</v>
      </c>
      <c r="AL191" t="s">
        <v>40</v>
      </c>
      <c r="AM191" t="str">
        <f t="shared" si="12"/>
        <v>5028 1</v>
      </c>
      <c r="AN191" t="str">
        <f t="shared" si="13"/>
        <v>405329.719,280617.355</v>
      </c>
      <c r="AO191" t="str">
        <f t="shared" si="14"/>
        <v>405342.436,280601.717</v>
      </c>
      <c r="AQ191" t="s">
        <v>2127</v>
      </c>
      <c r="AR191" t="s">
        <v>2128</v>
      </c>
    </row>
    <row r="192" spans="1:44" x14ac:dyDescent="0.3">
      <c r="A192">
        <v>3869</v>
      </c>
      <c r="B192">
        <v>4</v>
      </c>
      <c r="C192">
        <v>4022747</v>
      </c>
      <c r="D192">
        <v>22931</v>
      </c>
      <c r="E192">
        <v>2</v>
      </c>
      <c r="F192">
        <v>670050</v>
      </c>
      <c r="G192" t="s">
        <v>60</v>
      </c>
      <c r="H192" t="s">
        <v>43</v>
      </c>
      <c r="I192">
        <v>0</v>
      </c>
      <c r="J192" s="1">
        <v>405164.27399999998</v>
      </c>
      <c r="K192" s="1">
        <v>280966.23100000003</v>
      </c>
      <c r="L192" s="1">
        <v>405148.70799999998</v>
      </c>
      <c r="M192" s="1">
        <v>280979.79399999999</v>
      </c>
      <c r="N192" t="s">
        <v>40</v>
      </c>
      <c r="P192" t="s">
        <v>40</v>
      </c>
      <c r="Q192">
        <v>0</v>
      </c>
      <c r="R192">
        <v>0</v>
      </c>
      <c r="S192">
        <v>0</v>
      </c>
      <c r="T192">
        <v>6</v>
      </c>
      <c r="U192">
        <v>6</v>
      </c>
      <c r="V192">
        <v>1</v>
      </c>
      <c r="W192">
        <v>2</v>
      </c>
      <c r="X192" t="s">
        <v>40</v>
      </c>
      <c r="Y192">
        <v>3</v>
      </c>
      <c r="Z192">
        <v>89</v>
      </c>
      <c r="AA192">
        <v>99</v>
      </c>
      <c r="AB192">
        <v>0</v>
      </c>
      <c r="AC192">
        <v>28.742000000000001</v>
      </c>
      <c r="AD192">
        <v>5059</v>
      </c>
      <c r="AH192">
        <v>0</v>
      </c>
      <c r="AI192">
        <v>0</v>
      </c>
      <c r="AL192" t="s">
        <v>40</v>
      </c>
      <c r="AM192" t="str">
        <f t="shared" si="12"/>
        <v>89 99</v>
      </c>
      <c r="AN192" t="str">
        <f t="shared" si="13"/>
        <v>405164.274,280966.231</v>
      </c>
      <c r="AO192" t="str">
        <f t="shared" si="14"/>
        <v>405148.708,280979.794</v>
      </c>
      <c r="AQ192" t="s">
        <v>2124</v>
      </c>
      <c r="AR192" t="s">
        <v>2129</v>
      </c>
    </row>
    <row r="193" spans="1:44" x14ac:dyDescent="0.3">
      <c r="A193">
        <v>3869</v>
      </c>
      <c r="B193">
        <v>4</v>
      </c>
      <c r="C193">
        <v>4020239</v>
      </c>
      <c r="D193">
        <v>29910</v>
      </c>
      <c r="E193">
        <v>2</v>
      </c>
      <c r="F193">
        <v>670050</v>
      </c>
      <c r="G193" t="s">
        <v>60</v>
      </c>
      <c r="H193" t="s">
        <v>53</v>
      </c>
      <c r="I193">
        <v>0</v>
      </c>
      <c r="J193" s="1">
        <v>406168.935</v>
      </c>
      <c r="K193" s="1">
        <v>281034.09899999999</v>
      </c>
      <c r="L193" s="1">
        <v>406166.484</v>
      </c>
      <c r="M193" s="1">
        <v>281034.62599999999</v>
      </c>
      <c r="N193" t="s">
        <v>40</v>
      </c>
      <c r="P193" t="s">
        <v>40</v>
      </c>
      <c r="Q193">
        <v>0</v>
      </c>
      <c r="R193">
        <v>0</v>
      </c>
      <c r="S193">
        <v>0</v>
      </c>
      <c r="T193">
        <v>6</v>
      </c>
      <c r="U193">
        <v>6</v>
      </c>
      <c r="V193">
        <v>1</v>
      </c>
      <c r="W193">
        <v>1</v>
      </c>
      <c r="X193" t="s">
        <v>40</v>
      </c>
      <c r="Y193">
        <v>3</v>
      </c>
      <c r="Z193">
        <v>52</v>
      </c>
      <c r="AA193">
        <v>1</v>
      </c>
      <c r="AB193">
        <v>0</v>
      </c>
      <c r="AC193">
        <v>106.126</v>
      </c>
      <c r="AD193">
        <v>5059</v>
      </c>
      <c r="AH193">
        <v>0</v>
      </c>
      <c r="AI193">
        <v>0</v>
      </c>
      <c r="AL193" t="s">
        <v>40</v>
      </c>
      <c r="AM193" t="str">
        <f t="shared" si="12"/>
        <v>52 1</v>
      </c>
      <c r="AN193" s="6" t="s">
        <v>993</v>
      </c>
      <c r="AO193" s="6" t="s">
        <v>217</v>
      </c>
      <c r="AQ193" t="s">
        <v>2122</v>
      </c>
      <c r="AR193" t="s">
        <v>690</v>
      </c>
    </row>
    <row r="194" spans="1:44" x14ac:dyDescent="0.3">
      <c r="A194">
        <v>3869</v>
      </c>
      <c r="B194">
        <v>4</v>
      </c>
      <c r="C194">
        <v>4022955</v>
      </c>
      <c r="D194">
        <v>57846</v>
      </c>
      <c r="E194">
        <v>2</v>
      </c>
      <c r="F194">
        <v>670050</v>
      </c>
      <c r="G194" t="s">
        <v>60</v>
      </c>
      <c r="H194" t="s">
        <v>43</v>
      </c>
      <c r="I194">
        <v>0</v>
      </c>
      <c r="J194" s="1">
        <v>405431.60700000002</v>
      </c>
      <c r="K194" s="1">
        <v>280888.71799999999</v>
      </c>
      <c r="L194" s="1">
        <v>405432.19900000002</v>
      </c>
      <c r="M194" s="1">
        <v>280886.32699999999</v>
      </c>
      <c r="N194" t="s">
        <v>40</v>
      </c>
      <c r="P194" t="s">
        <v>40</v>
      </c>
      <c r="Q194">
        <v>0</v>
      </c>
      <c r="R194">
        <v>0</v>
      </c>
      <c r="S194">
        <v>0</v>
      </c>
      <c r="T194">
        <v>6</v>
      </c>
      <c r="U194">
        <v>6</v>
      </c>
      <c r="V194">
        <v>1</v>
      </c>
      <c r="W194">
        <v>1</v>
      </c>
      <c r="X194" t="s">
        <v>40</v>
      </c>
      <c r="Y194">
        <v>3</v>
      </c>
      <c r="Z194">
        <v>38</v>
      </c>
      <c r="AA194">
        <v>1</v>
      </c>
      <c r="AB194">
        <v>0</v>
      </c>
      <c r="AC194">
        <v>2.5590000000000002</v>
      </c>
      <c r="AD194">
        <v>5059</v>
      </c>
      <c r="AH194">
        <v>0</v>
      </c>
      <c r="AI194">
        <v>0</v>
      </c>
      <c r="AL194" t="s">
        <v>40</v>
      </c>
      <c r="AM194" t="str">
        <f t="shared" si="12"/>
        <v>38 1</v>
      </c>
      <c r="AN194" t="str">
        <f t="shared" si="13"/>
        <v>405431.607,280888.718</v>
      </c>
      <c r="AO194" t="str">
        <f t="shared" si="14"/>
        <v>405432.199,280886.327</v>
      </c>
      <c r="AQ194" t="s">
        <v>2130</v>
      </c>
      <c r="AR194" t="s">
        <v>697</v>
      </c>
    </row>
    <row r="195" spans="1:44" x14ac:dyDescent="0.3">
      <c r="A195">
        <v>3869</v>
      </c>
      <c r="B195">
        <v>4</v>
      </c>
      <c r="C195">
        <v>4022976</v>
      </c>
      <c r="D195">
        <v>57845</v>
      </c>
      <c r="E195">
        <v>2</v>
      </c>
      <c r="F195">
        <v>670050</v>
      </c>
      <c r="G195" t="s">
        <v>60</v>
      </c>
      <c r="H195" t="s">
        <v>43</v>
      </c>
      <c r="I195">
        <v>0</v>
      </c>
      <c r="J195" s="1">
        <v>405432.45</v>
      </c>
      <c r="K195" s="1">
        <v>280888.39399999997</v>
      </c>
      <c r="L195" s="1">
        <v>405432.77799999999</v>
      </c>
      <c r="M195" s="1">
        <v>280886.38299999997</v>
      </c>
      <c r="N195" t="s">
        <v>40</v>
      </c>
      <c r="P195" t="s">
        <v>40</v>
      </c>
      <c r="Q195">
        <v>0</v>
      </c>
      <c r="R195">
        <v>0</v>
      </c>
      <c r="S195">
        <v>0</v>
      </c>
      <c r="T195">
        <v>6</v>
      </c>
      <c r="U195">
        <v>6</v>
      </c>
      <c r="V195">
        <v>1</v>
      </c>
      <c r="W195">
        <v>1</v>
      </c>
      <c r="X195" t="s">
        <v>40</v>
      </c>
      <c r="Y195">
        <v>3</v>
      </c>
      <c r="Z195">
        <v>38</v>
      </c>
      <c r="AA195">
        <v>1</v>
      </c>
      <c r="AB195">
        <v>0</v>
      </c>
      <c r="AC195">
        <v>2.0409999999999999</v>
      </c>
      <c r="AD195">
        <v>5059</v>
      </c>
      <c r="AH195">
        <v>0</v>
      </c>
      <c r="AI195">
        <v>0</v>
      </c>
      <c r="AL195" t="s">
        <v>40</v>
      </c>
      <c r="AM195" t="str">
        <f t="shared" si="12"/>
        <v>38 1</v>
      </c>
      <c r="AN195" t="str">
        <f t="shared" si="13"/>
        <v>405432.45,280888.394</v>
      </c>
      <c r="AO195" t="str">
        <f t="shared" si="14"/>
        <v>405432.778,280886.383</v>
      </c>
      <c r="AQ195" t="s">
        <v>2131</v>
      </c>
      <c r="AR195" t="s">
        <v>696</v>
      </c>
    </row>
    <row r="196" spans="1:44" x14ac:dyDescent="0.3">
      <c r="A196">
        <v>3869</v>
      </c>
      <c r="B196">
        <v>4</v>
      </c>
      <c r="C196">
        <v>4022977</v>
      </c>
      <c r="D196">
        <v>23211</v>
      </c>
      <c r="E196">
        <v>2</v>
      </c>
      <c r="F196">
        <v>670050</v>
      </c>
      <c r="G196" t="s">
        <v>60</v>
      </c>
      <c r="H196" t="s">
        <v>43</v>
      </c>
      <c r="I196">
        <v>0</v>
      </c>
      <c r="J196" s="1">
        <v>405438.49400000001</v>
      </c>
      <c r="K196" s="1">
        <v>280894.34100000001</v>
      </c>
      <c r="L196" s="1">
        <v>405432.45</v>
      </c>
      <c r="M196" s="1">
        <v>280888.39399999997</v>
      </c>
      <c r="N196" t="s">
        <v>40</v>
      </c>
      <c r="P196" t="s">
        <v>40</v>
      </c>
      <c r="Q196">
        <v>0</v>
      </c>
      <c r="R196">
        <v>0</v>
      </c>
      <c r="S196">
        <v>0</v>
      </c>
      <c r="T196">
        <v>6</v>
      </c>
      <c r="U196">
        <v>6</v>
      </c>
      <c r="V196">
        <v>1</v>
      </c>
      <c r="W196">
        <v>1</v>
      </c>
      <c r="X196" t="s">
        <v>40</v>
      </c>
      <c r="Y196">
        <v>3</v>
      </c>
      <c r="Z196">
        <v>52</v>
      </c>
      <c r="AA196">
        <v>1</v>
      </c>
      <c r="AB196">
        <v>0</v>
      </c>
      <c r="AC196">
        <v>10.003</v>
      </c>
      <c r="AD196">
        <v>5059</v>
      </c>
      <c r="AH196">
        <v>0</v>
      </c>
      <c r="AI196">
        <v>0</v>
      </c>
      <c r="AL196" t="s">
        <v>40</v>
      </c>
      <c r="AM196" t="str">
        <f t="shared" si="12"/>
        <v>52 1</v>
      </c>
      <c r="AN196" t="str">
        <f t="shared" si="13"/>
        <v>405438.494,280894.341</v>
      </c>
      <c r="AO196" t="str">
        <f t="shared" si="14"/>
        <v>405432.45,280888.394</v>
      </c>
      <c r="AQ196" t="s">
        <v>2132</v>
      </c>
      <c r="AR196" t="s">
        <v>2131</v>
      </c>
    </row>
    <row r="197" spans="1:44" x14ac:dyDescent="0.3">
      <c r="A197">
        <v>3869</v>
      </c>
      <c r="B197">
        <v>4</v>
      </c>
      <c r="C197">
        <v>4022989</v>
      </c>
      <c r="D197">
        <v>23255</v>
      </c>
      <c r="E197">
        <v>2</v>
      </c>
      <c r="F197">
        <v>670050</v>
      </c>
      <c r="G197" t="s">
        <v>60</v>
      </c>
      <c r="H197" t="s">
        <v>43</v>
      </c>
      <c r="I197">
        <v>0</v>
      </c>
      <c r="J197" s="1">
        <v>405438.49400000001</v>
      </c>
      <c r="K197" s="1">
        <v>280894.34100000001</v>
      </c>
      <c r="L197" s="1">
        <v>405481.386</v>
      </c>
      <c r="M197" s="1">
        <v>280910.87900000002</v>
      </c>
      <c r="N197" t="s">
        <v>40</v>
      </c>
      <c r="P197" t="s">
        <v>40</v>
      </c>
      <c r="Q197">
        <v>0</v>
      </c>
      <c r="R197">
        <v>0</v>
      </c>
      <c r="S197">
        <v>0</v>
      </c>
      <c r="T197">
        <v>6</v>
      </c>
      <c r="U197">
        <v>6</v>
      </c>
      <c r="V197">
        <v>1</v>
      </c>
      <c r="W197">
        <v>1</v>
      </c>
      <c r="X197" t="s">
        <v>40</v>
      </c>
      <c r="Y197">
        <v>3</v>
      </c>
      <c r="Z197">
        <v>89</v>
      </c>
      <c r="AA197">
        <v>1</v>
      </c>
      <c r="AB197">
        <v>0</v>
      </c>
      <c r="AC197">
        <v>188.595</v>
      </c>
      <c r="AD197">
        <v>5059</v>
      </c>
      <c r="AH197">
        <v>0</v>
      </c>
      <c r="AI197">
        <v>0</v>
      </c>
      <c r="AL197" t="s">
        <v>40</v>
      </c>
      <c r="AM197" t="str">
        <f t="shared" si="12"/>
        <v>89 1</v>
      </c>
      <c r="AN197" s="6" t="s">
        <v>1000</v>
      </c>
      <c r="AO197" s="6" t="s">
        <v>987</v>
      </c>
      <c r="AQ197" t="s">
        <v>2133</v>
      </c>
      <c r="AR197" t="s">
        <v>2132</v>
      </c>
    </row>
    <row r="198" spans="1:44" x14ac:dyDescent="0.3">
      <c r="A198">
        <v>3869</v>
      </c>
      <c r="B198">
        <v>4</v>
      </c>
      <c r="C198">
        <v>4024334</v>
      </c>
      <c r="D198">
        <v>62997</v>
      </c>
      <c r="E198">
        <v>2</v>
      </c>
      <c r="F198">
        <v>670050</v>
      </c>
      <c r="G198" t="s">
        <v>60</v>
      </c>
      <c r="H198" t="s">
        <v>61</v>
      </c>
      <c r="I198">
        <v>0</v>
      </c>
      <c r="J198" s="1">
        <v>406312.62699999998</v>
      </c>
      <c r="K198" s="1">
        <v>280859.85600000003</v>
      </c>
      <c r="L198" s="1">
        <v>406322.08799999999</v>
      </c>
      <c r="M198" s="1">
        <v>280867.68800000002</v>
      </c>
      <c r="N198" t="s">
        <v>40</v>
      </c>
      <c r="P198" t="s">
        <v>40</v>
      </c>
      <c r="Q198">
        <v>0</v>
      </c>
      <c r="R198">
        <v>0</v>
      </c>
      <c r="S198">
        <v>0</v>
      </c>
      <c r="T198">
        <v>6</v>
      </c>
      <c r="U198">
        <v>6</v>
      </c>
      <c r="V198">
        <v>1</v>
      </c>
      <c r="W198">
        <v>1</v>
      </c>
      <c r="X198" t="s">
        <v>40</v>
      </c>
      <c r="Y198">
        <v>3</v>
      </c>
      <c r="Z198">
        <v>89</v>
      </c>
      <c r="AA198">
        <v>1</v>
      </c>
      <c r="AB198">
        <v>0</v>
      </c>
      <c r="AC198">
        <v>15.034000000000001</v>
      </c>
      <c r="AD198">
        <v>5059</v>
      </c>
      <c r="AH198">
        <v>0</v>
      </c>
      <c r="AI198">
        <v>0</v>
      </c>
      <c r="AL198" t="s">
        <v>40</v>
      </c>
      <c r="AM198" t="str">
        <f t="shared" si="12"/>
        <v>89 1</v>
      </c>
      <c r="AN198" t="str">
        <f t="shared" si="13"/>
        <v>406312.627,280859.856</v>
      </c>
      <c r="AO198" t="str">
        <f t="shared" si="14"/>
        <v>406322.088,280867.688</v>
      </c>
      <c r="AQ198" t="s">
        <v>2134</v>
      </c>
      <c r="AR198" t="s">
        <v>692</v>
      </c>
    </row>
    <row r="199" spans="1:44" x14ac:dyDescent="0.3">
      <c r="A199">
        <v>3869</v>
      </c>
      <c r="B199">
        <v>4</v>
      </c>
      <c r="C199">
        <v>4024322</v>
      </c>
      <c r="D199">
        <v>23783</v>
      </c>
      <c r="E199">
        <v>2</v>
      </c>
      <c r="F199">
        <v>670050</v>
      </c>
      <c r="G199" t="s">
        <v>60</v>
      </c>
      <c r="H199" t="s">
        <v>61</v>
      </c>
      <c r="I199">
        <v>0</v>
      </c>
      <c r="J199" s="1">
        <v>406312.62699999998</v>
      </c>
      <c r="K199" s="1">
        <v>280859.85600000003</v>
      </c>
      <c r="L199" s="1">
        <v>406186.64299999998</v>
      </c>
      <c r="M199" s="1">
        <v>280905.217</v>
      </c>
      <c r="N199" t="s">
        <v>40</v>
      </c>
      <c r="P199" t="s">
        <v>40</v>
      </c>
      <c r="Q199">
        <v>0</v>
      </c>
      <c r="R199">
        <v>0</v>
      </c>
      <c r="S199">
        <v>0</v>
      </c>
      <c r="T199">
        <v>6</v>
      </c>
      <c r="U199">
        <v>6</v>
      </c>
      <c r="V199">
        <v>1</v>
      </c>
      <c r="W199">
        <v>1</v>
      </c>
      <c r="X199" t="s">
        <v>40</v>
      </c>
      <c r="Y199">
        <v>3</v>
      </c>
      <c r="Z199">
        <v>88</v>
      </c>
      <c r="AA199">
        <v>1</v>
      </c>
      <c r="AB199">
        <v>0</v>
      </c>
      <c r="AC199">
        <v>143.06200000000001</v>
      </c>
      <c r="AD199">
        <v>5059</v>
      </c>
      <c r="AH199">
        <v>0</v>
      </c>
      <c r="AI199">
        <v>0</v>
      </c>
      <c r="AL199" t="s">
        <v>40</v>
      </c>
      <c r="AM199" t="str">
        <f t="shared" si="12"/>
        <v>88 1</v>
      </c>
      <c r="AN199" t="str">
        <f t="shared" si="13"/>
        <v>406312.627,280859.856</v>
      </c>
      <c r="AO199" t="str">
        <f t="shared" si="14"/>
        <v>406186.643,280905.217</v>
      </c>
      <c r="AQ199" t="s">
        <v>2134</v>
      </c>
      <c r="AR199" t="s">
        <v>2135</v>
      </c>
    </row>
    <row r="200" spans="1:44" x14ac:dyDescent="0.3">
      <c r="A200">
        <v>3869</v>
      </c>
      <c r="B200">
        <v>4</v>
      </c>
      <c r="C200">
        <v>4020360</v>
      </c>
      <c r="D200">
        <v>33031</v>
      </c>
      <c r="E200">
        <v>2</v>
      </c>
      <c r="F200">
        <v>670050</v>
      </c>
      <c r="G200" t="s">
        <v>60</v>
      </c>
      <c r="H200" t="s">
        <v>53</v>
      </c>
      <c r="I200">
        <v>0</v>
      </c>
      <c r="J200" s="1">
        <v>406852.64500000002</v>
      </c>
      <c r="K200" s="1">
        <v>281304.90999999997</v>
      </c>
      <c r="L200" s="1">
        <v>406837.70600000001</v>
      </c>
      <c r="M200" s="1">
        <v>281323.10200000001</v>
      </c>
      <c r="N200" t="s">
        <v>40</v>
      </c>
      <c r="P200" t="s">
        <v>40</v>
      </c>
      <c r="Q200">
        <v>0</v>
      </c>
      <c r="R200">
        <v>0</v>
      </c>
      <c r="S200">
        <v>0</v>
      </c>
      <c r="T200">
        <v>6</v>
      </c>
      <c r="U200">
        <v>6</v>
      </c>
      <c r="V200">
        <v>1</v>
      </c>
      <c r="W200">
        <v>1</v>
      </c>
      <c r="X200" t="s">
        <v>40</v>
      </c>
      <c r="Y200">
        <v>3</v>
      </c>
      <c r="Z200">
        <v>89</v>
      </c>
      <c r="AA200">
        <v>1</v>
      </c>
      <c r="AB200">
        <v>0</v>
      </c>
      <c r="AC200">
        <v>25.654</v>
      </c>
      <c r="AD200">
        <v>5059</v>
      </c>
      <c r="AH200">
        <v>0</v>
      </c>
      <c r="AI200">
        <v>0</v>
      </c>
      <c r="AL200" t="s">
        <v>40</v>
      </c>
      <c r="AM200" t="str">
        <f t="shared" si="12"/>
        <v>89 1</v>
      </c>
      <c r="AN200" t="str">
        <f t="shared" si="13"/>
        <v>406852.645,281304.91</v>
      </c>
      <c r="AO200" t="str">
        <f t="shared" si="14"/>
        <v>406837.706,281323.102</v>
      </c>
      <c r="AQ200" t="s">
        <v>2136</v>
      </c>
      <c r="AR200" t="s">
        <v>692</v>
      </c>
    </row>
    <row r="201" spans="1:44" x14ac:dyDescent="0.3">
      <c r="A201">
        <v>3869</v>
      </c>
      <c r="B201">
        <v>4</v>
      </c>
      <c r="C201">
        <v>4024307</v>
      </c>
      <c r="D201">
        <v>23977</v>
      </c>
      <c r="E201">
        <v>2</v>
      </c>
      <c r="F201">
        <v>670050</v>
      </c>
      <c r="G201" t="s">
        <v>60</v>
      </c>
      <c r="H201" t="s">
        <v>61</v>
      </c>
      <c r="I201">
        <v>0</v>
      </c>
      <c r="J201" s="1">
        <v>406133.19799999997</v>
      </c>
      <c r="K201" s="1">
        <v>280949.95199999999</v>
      </c>
      <c r="L201" s="1">
        <v>406162.47600000002</v>
      </c>
      <c r="M201" s="1">
        <v>281000</v>
      </c>
      <c r="N201" t="s">
        <v>40</v>
      </c>
      <c r="P201" t="s">
        <v>40</v>
      </c>
      <c r="Q201">
        <v>0</v>
      </c>
      <c r="R201">
        <v>0</v>
      </c>
      <c r="S201">
        <v>0</v>
      </c>
      <c r="T201">
        <v>6</v>
      </c>
      <c r="U201">
        <v>6</v>
      </c>
      <c r="V201">
        <v>1</v>
      </c>
      <c r="W201">
        <v>1</v>
      </c>
      <c r="X201" t="s">
        <v>40</v>
      </c>
      <c r="Y201">
        <v>3</v>
      </c>
      <c r="Z201">
        <v>52</v>
      </c>
      <c r="AA201">
        <v>1</v>
      </c>
      <c r="AB201">
        <v>0</v>
      </c>
      <c r="AC201">
        <v>90.647000000000006</v>
      </c>
      <c r="AD201">
        <v>5059</v>
      </c>
      <c r="AH201">
        <v>0</v>
      </c>
      <c r="AI201">
        <v>0</v>
      </c>
      <c r="AL201" t="s">
        <v>40</v>
      </c>
      <c r="AM201" t="str">
        <f t="shared" si="12"/>
        <v>52 1</v>
      </c>
      <c r="AN201" s="6" t="s">
        <v>995</v>
      </c>
      <c r="AO201" s="6" t="s">
        <v>990</v>
      </c>
      <c r="AQ201" t="s">
        <v>2137</v>
      </c>
      <c r="AR201" t="s">
        <v>2138</v>
      </c>
    </row>
    <row r="202" spans="1:44" x14ac:dyDescent="0.3">
      <c r="A202">
        <v>3869</v>
      </c>
      <c r="B202">
        <v>4</v>
      </c>
      <c r="C202">
        <v>4024345</v>
      </c>
      <c r="D202">
        <v>63011</v>
      </c>
      <c r="E202">
        <v>2</v>
      </c>
      <c r="F202">
        <v>670050</v>
      </c>
      <c r="G202" t="s">
        <v>60</v>
      </c>
      <c r="H202" t="s">
        <v>61</v>
      </c>
      <c r="I202">
        <v>0</v>
      </c>
      <c r="J202" s="1">
        <v>406321.38299999997</v>
      </c>
      <c r="K202" s="1">
        <v>280868.15000000002</v>
      </c>
      <c r="L202" s="1">
        <v>406318.93800000002</v>
      </c>
      <c r="M202" s="1">
        <v>280866.61599999998</v>
      </c>
      <c r="N202" t="s">
        <v>40</v>
      </c>
      <c r="P202" t="s">
        <v>40</v>
      </c>
      <c r="Q202">
        <v>0</v>
      </c>
      <c r="R202">
        <v>0</v>
      </c>
      <c r="S202">
        <v>0</v>
      </c>
      <c r="T202">
        <v>6</v>
      </c>
      <c r="U202">
        <v>6</v>
      </c>
      <c r="V202">
        <v>1</v>
      </c>
      <c r="W202">
        <v>3</v>
      </c>
      <c r="X202" t="s">
        <v>40</v>
      </c>
      <c r="Y202">
        <v>3</v>
      </c>
      <c r="Z202">
        <v>169</v>
      </c>
      <c r="AA202">
        <v>1</v>
      </c>
      <c r="AB202">
        <v>0</v>
      </c>
      <c r="AC202">
        <v>4.7590000000000003</v>
      </c>
      <c r="AD202">
        <v>5059</v>
      </c>
      <c r="AH202">
        <v>0</v>
      </c>
      <c r="AI202">
        <v>0</v>
      </c>
      <c r="AL202" t="s">
        <v>40</v>
      </c>
      <c r="AM202" t="str">
        <f t="shared" si="12"/>
        <v>169 1</v>
      </c>
      <c r="AN202" t="str">
        <f t="shared" si="13"/>
        <v>406321.383,280868.15</v>
      </c>
      <c r="AO202" t="str">
        <f t="shared" si="14"/>
        <v>406318.938,280866.616</v>
      </c>
      <c r="AQ202" t="s">
        <v>2139</v>
      </c>
      <c r="AR202" t="s">
        <v>692</v>
      </c>
    </row>
    <row r="203" spans="1:44" x14ac:dyDescent="0.3">
      <c r="A203">
        <v>3869</v>
      </c>
      <c r="B203">
        <v>4</v>
      </c>
      <c r="C203">
        <v>4020240</v>
      </c>
      <c r="D203">
        <v>29912</v>
      </c>
      <c r="E203">
        <v>2</v>
      </c>
      <c r="F203">
        <v>670050</v>
      </c>
      <c r="G203" t="s">
        <v>60</v>
      </c>
      <c r="H203" t="s">
        <v>53</v>
      </c>
      <c r="I203">
        <v>0</v>
      </c>
      <c r="J203" s="1">
        <v>406167.97499999998</v>
      </c>
      <c r="K203" s="1">
        <v>281032.88199999998</v>
      </c>
      <c r="L203" s="1">
        <v>406166.076</v>
      </c>
      <c r="M203" s="1">
        <v>281034.25199999998</v>
      </c>
      <c r="N203" t="s">
        <v>40</v>
      </c>
      <c r="P203" t="s">
        <v>40</v>
      </c>
      <c r="Q203">
        <v>0</v>
      </c>
      <c r="R203">
        <v>0</v>
      </c>
      <c r="S203">
        <v>0</v>
      </c>
      <c r="T203">
        <v>6</v>
      </c>
      <c r="U203">
        <v>6</v>
      </c>
      <c r="V203">
        <v>1</v>
      </c>
      <c r="W203">
        <v>3</v>
      </c>
      <c r="X203" t="s">
        <v>40</v>
      </c>
      <c r="Y203">
        <v>3</v>
      </c>
      <c r="Z203">
        <v>36</v>
      </c>
      <c r="AA203">
        <v>5001</v>
      </c>
      <c r="AB203">
        <v>0</v>
      </c>
      <c r="AC203">
        <v>2.895</v>
      </c>
      <c r="AD203">
        <v>5059</v>
      </c>
      <c r="AH203">
        <v>0</v>
      </c>
      <c r="AI203">
        <v>0</v>
      </c>
      <c r="AL203" t="s">
        <v>40</v>
      </c>
      <c r="AM203" t="str">
        <f t="shared" si="12"/>
        <v>36 5001</v>
      </c>
      <c r="AN203" t="str">
        <f t="shared" si="13"/>
        <v>406167.975,281032.882</v>
      </c>
      <c r="AO203" t="str">
        <f t="shared" si="14"/>
        <v>406166.076,281034.252</v>
      </c>
      <c r="AQ203" t="s">
        <v>2140</v>
      </c>
      <c r="AR203" t="s">
        <v>691</v>
      </c>
    </row>
    <row r="204" spans="1:44" x14ac:dyDescent="0.3">
      <c r="A204">
        <v>3869</v>
      </c>
      <c r="B204">
        <v>4</v>
      </c>
      <c r="C204">
        <v>4024346</v>
      </c>
      <c r="D204">
        <v>63012</v>
      </c>
      <c r="E204">
        <v>2</v>
      </c>
      <c r="F204">
        <v>670050</v>
      </c>
      <c r="G204" t="s">
        <v>60</v>
      </c>
      <c r="H204" t="s">
        <v>61</v>
      </c>
      <c r="I204">
        <v>0</v>
      </c>
      <c r="J204" s="1">
        <v>406320.73700000002</v>
      </c>
      <c r="K204" s="1">
        <v>280865.283</v>
      </c>
      <c r="L204" s="1">
        <v>406318.93800000002</v>
      </c>
      <c r="M204" s="1">
        <v>280866.61599999998</v>
      </c>
      <c r="N204" t="s">
        <v>40</v>
      </c>
      <c r="P204" t="s">
        <v>40</v>
      </c>
      <c r="Q204">
        <v>0</v>
      </c>
      <c r="R204">
        <v>0</v>
      </c>
      <c r="S204">
        <v>0</v>
      </c>
      <c r="T204">
        <v>6</v>
      </c>
      <c r="U204">
        <v>6</v>
      </c>
      <c r="V204">
        <v>1</v>
      </c>
      <c r="W204">
        <v>3</v>
      </c>
      <c r="X204" t="s">
        <v>40</v>
      </c>
      <c r="Y204">
        <v>3</v>
      </c>
      <c r="Z204">
        <v>169</v>
      </c>
      <c r="AA204">
        <v>1</v>
      </c>
      <c r="AB204">
        <v>0</v>
      </c>
      <c r="AC204">
        <v>2.2650000000000001</v>
      </c>
      <c r="AD204">
        <v>5059</v>
      </c>
      <c r="AH204">
        <v>0</v>
      </c>
      <c r="AI204">
        <v>0</v>
      </c>
      <c r="AL204" t="s">
        <v>40</v>
      </c>
      <c r="AM204" t="str">
        <f t="shared" si="12"/>
        <v>169 1</v>
      </c>
      <c r="AN204" t="str">
        <f t="shared" si="13"/>
        <v>406320.737,280865.283</v>
      </c>
      <c r="AO204" t="str">
        <f t="shared" si="14"/>
        <v>406318.938,280866.616</v>
      </c>
      <c r="AQ204" t="s">
        <v>1953</v>
      </c>
      <c r="AR204" t="s">
        <v>692</v>
      </c>
    </row>
    <row r="205" spans="1:44" x14ac:dyDescent="0.3">
      <c r="A205">
        <v>3869</v>
      </c>
      <c r="B205">
        <v>4</v>
      </c>
      <c r="C205">
        <v>4020256</v>
      </c>
      <c r="D205">
        <v>29911</v>
      </c>
      <c r="E205">
        <v>2</v>
      </c>
      <c r="F205">
        <v>670050</v>
      </c>
      <c r="G205" t="s">
        <v>60</v>
      </c>
      <c r="H205" t="s">
        <v>53</v>
      </c>
      <c r="I205">
        <v>0</v>
      </c>
      <c r="J205" s="1">
        <v>406171.63099999999</v>
      </c>
      <c r="K205" s="1">
        <v>281027.04499999998</v>
      </c>
      <c r="L205" s="1">
        <v>406165.755</v>
      </c>
      <c r="M205" s="1">
        <v>281034.67599999998</v>
      </c>
      <c r="N205" t="s">
        <v>40</v>
      </c>
      <c r="P205" t="s">
        <v>40</v>
      </c>
      <c r="Q205">
        <v>0</v>
      </c>
      <c r="R205">
        <v>0</v>
      </c>
      <c r="S205">
        <v>0</v>
      </c>
      <c r="T205">
        <v>6</v>
      </c>
      <c r="U205">
        <v>6</v>
      </c>
      <c r="V205">
        <v>1</v>
      </c>
      <c r="W205">
        <v>1</v>
      </c>
      <c r="X205" t="s">
        <v>40</v>
      </c>
      <c r="Y205">
        <v>3</v>
      </c>
      <c r="Z205">
        <v>5030</v>
      </c>
      <c r="AA205">
        <v>1</v>
      </c>
      <c r="AB205">
        <v>0</v>
      </c>
      <c r="AC205">
        <v>17.311</v>
      </c>
      <c r="AD205">
        <v>5059</v>
      </c>
      <c r="AH205">
        <v>0</v>
      </c>
      <c r="AI205">
        <v>0</v>
      </c>
      <c r="AL205" t="s">
        <v>40</v>
      </c>
      <c r="AM205" t="str">
        <f t="shared" si="12"/>
        <v>5030 1</v>
      </c>
      <c r="AN205" t="str">
        <f t="shared" si="13"/>
        <v>406171.631,281027.045</v>
      </c>
      <c r="AO205" t="str">
        <f t="shared" si="14"/>
        <v>406165.755,281034.676</v>
      </c>
      <c r="AQ205" t="s">
        <v>2137</v>
      </c>
      <c r="AR205" t="s">
        <v>691</v>
      </c>
    </row>
    <row r="206" spans="1:44" x14ac:dyDescent="0.3">
      <c r="A206">
        <v>3869</v>
      </c>
      <c r="B206">
        <v>4</v>
      </c>
      <c r="C206">
        <v>4020264</v>
      </c>
      <c r="D206">
        <v>16733</v>
      </c>
      <c r="E206">
        <v>2</v>
      </c>
      <c r="F206">
        <v>670050</v>
      </c>
      <c r="G206" t="s">
        <v>60</v>
      </c>
      <c r="H206" t="s">
        <v>53</v>
      </c>
      <c r="I206">
        <v>0</v>
      </c>
      <c r="J206" s="1">
        <v>406414.88900000002</v>
      </c>
      <c r="K206" s="1">
        <v>281023.26699999999</v>
      </c>
      <c r="L206" s="1">
        <v>406379.73300000001</v>
      </c>
      <c r="M206" s="1">
        <v>281000</v>
      </c>
      <c r="N206" t="s">
        <v>40</v>
      </c>
      <c r="P206" t="s">
        <v>40</v>
      </c>
      <c r="Q206">
        <v>0</v>
      </c>
      <c r="R206">
        <v>0</v>
      </c>
      <c r="S206">
        <v>0</v>
      </c>
      <c r="T206">
        <v>6</v>
      </c>
      <c r="U206">
        <v>6</v>
      </c>
      <c r="V206">
        <v>1</v>
      </c>
      <c r="W206">
        <v>1</v>
      </c>
      <c r="X206" t="s">
        <v>40</v>
      </c>
      <c r="Y206">
        <v>3</v>
      </c>
      <c r="Z206">
        <v>88</v>
      </c>
      <c r="AA206">
        <v>1</v>
      </c>
      <c r="AB206">
        <v>0</v>
      </c>
      <c r="AC206">
        <v>238.85399999999998</v>
      </c>
      <c r="AD206">
        <v>5059</v>
      </c>
      <c r="AH206">
        <v>0</v>
      </c>
      <c r="AI206">
        <v>0</v>
      </c>
      <c r="AL206" t="s">
        <v>40</v>
      </c>
      <c r="AM206" t="str">
        <f t="shared" ref="AM206:AM242" si="15">_xlfn.CONCAT(Z206, " ",AA206)</f>
        <v>88 1</v>
      </c>
      <c r="AN206" s="6" t="s">
        <v>973</v>
      </c>
      <c r="AO206" s="6" t="s">
        <v>978</v>
      </c>
      <c r="AQ206" t="s">
        <v>2141</v>
      </c>
      <c r="AR206" t="s">
        <v>2126</v>
      </c>
    </row>
    <row r="207" spans="1:44" x14ac:dyDescent="0.3">
      <c r="A207">
        <v>3869</v>
      </c>
      <c r="B207">
        <v>4</v>
      </c>
      <c r="C207">
        <v>4024351</v>
      </c>
      <c r="D207">
        <v>62998</v>
      </c>
      <c r="E207">
        <v>2</v>
      </c>
      <c r="F207">
        <v>670050</v>
      </c>
      <c r="G207" t="s">
        <v>60</v>
      </c>
      <c r="H207" t="s">
        <v>61</v>
      </c>
      <c r="I207">
        <v>0</v>
      </c>
      <c r="J207" s="1">
        <v>406312.49</v>
      </c>
      <c r="K207" s="1">
        <v>280860.23100000003</v>
      </c>
      <c r="L207" s="1">
        <v>406320.74800000002</v>
      </c>
      <c r="M207" s="1">
        <v>280868.61700000003</v>
      </c>
      <c r="N207" t="s">
        <v>40</v>
      </c>
      <c r="P207" t="s">
        <v>40</v>
      </c>
      <c r="Q207">
        <v>0</v>
      </c>
      <c r="R207">
        <v>0</v>
      </c>
      <c r="S207">
        <v>0</v>
      </c>
      <c r="T207">
        <v>6</v>
      </c>
      <c r="U207">
        <v>6</v>
      </c>
      <c r="V207">
        <v>1</v>
      </c>
      <c r="W207">
        <v>1</v>
      </c>
      <c r="X207" t="s">
        <v>40</v>
      </c>
      <c r="Y207">
        <v>3</v>
      </c>
      <c r="Z207">
        <v>89</v>
      </c>
      <c r="AA207">
        <v>1</v>
      </c>
      <c r="AB207">
        <v>0</v>
      </c>
      <c r="AC207">
        <v>13.59</v>
      </c>
      <c r="AD207">
        <v>5059</v>
      </c>
      <c r="AH207">
        <v>0</v>
      </c>
      <c r="AI207">
        <v>0</v>
      </c>
      <c r="AL207" t="s">
        <v>40</v>
      </c>
      <c r="AM207" t="str">
        <f t="shared" si="15"/>
        <v>89 1</v>
      </c>
      <c r="AN207" t="str">
        <f t="shared" si="13"/>
        <v>406312.49,280860.231</v>
      </c>
      <c r="AO207" t="str">
        <f t="shared" si="14"/>
        <v>406320.748,280868.617</v>
      </c>
      <c r="AQ207" t="s">
        <v>2141</v>
      </c>
      <c r="AR207" t="s">
        <v>692</v>
      </c>
    </row>
    <row r="208" spans="1:44" x14ac:dyDescent="0.3">
      <c r="A208">
        <v>3869</v>
      </c>
      <c r="B208">
        <v>4</v>
      </c>
      <c r="C208">
        <v>4024319</v>
      </c>
      <c r="D208">
        <v>23978</v>
      </c>
      <c r="E208">
        <v>2</v>
      </c>
      <c r="F208">
        <v>670050</v>
      </c>
      <c r="G208" t="s">
        <v>60</v>
      </c>
      <c r="H208" t="s">
        <v>61</v>
      </c>
      <c r="I208">
        <v>0</v>
      </c>
      <c r="J208" s="1">
        <v>406186.64299999998</v>
      </c>
      <c r="K208" s="1">
        <v>280905.217</v>
      </c>
      <c r="L208" s="1">
        <v>406133.19799999997</v>
      </c>
      <c r="M208" s="1">
        <v>280949.95199999999</v>
      </c>
      <c r="N208" t="s">
        <v>40</v>
      </c>
      <c r="P208" t="s">
        <v>40</v>
      </c>
      <c r="Q208">
        <v>0</v>
      </c>
      <c r="R208">
        <v>0</v>
      </c>
      <c r="S208">
        <v>0</v>
      </c>
      <c r="T208">
        <v>6</v>
      </c>
      <c r="U208">
        <v>6</v>
      </c>
      <c r="V208">
        <v>1</v>
      </c>
      <c r="W208">
        <v>1</v>
      </c>
      <c r="X208" t="s">
        <v>40</v>
      </c>
      <c r="Y208">
        <v>3</v>
      </c>
      <c r="Z208">
        <v>89</v>
      </c>
      <c r="AA208">
        <v>1</v>
      </c>
      <c r="AB208">
        <v>0</v>
      </c>
      <c r="AC208">
        <v>88.805000000000007</v>
      </c>
      <c r="AD208">
        <v>5059</v>
      </c>
      <c r="AH208">
        <v>0</v>
      </c>
      <c r="AI208">
        <v>0</v>
      </c>
      <c r="AL208" t="s">
        <v>40</v>
      </c>
      <c r="AM208" t="str">
        <f t="shared" si="15"/>
        <v>89 1</v>
      </c>
      <c r="AN208" t="str">
        <f t="shared" ref="AN208:AN242" si="16">ROUND(J208,3)&amp;","&amp;ROUND(K208,3)</f>
        <v>406186.643,280905.217</v>
      </c>
      <c r="AO208" t="str">
        <f t="shared" ref="AO208:AO242" si="17">ROUND(L208,3)&amp;","&amp;ROUND(M208,3)</f>
        <v>406133.198,280949.952</v>
      </c>
      <c r="AQ208" t="s">
        <v>2135</v>
      </c>
      <c r="AR208" t="s">
        <v>2138</v>
      </c>
    </row>
    <row r="209" spans="1:44" x14ac:dyDescent="0.3">
      <c r="A209">
        <v>3869</v>
      </c>
      <c r="B209">
        <v>4</v>
      </c>
      <c r="C209">
        <v>4020307</v>
      </c>
      <c r="D209">
        <v>33011</v>
      </c>
      <c r="E209">
        <v>2</v>
      </c>
      <c r="F209">
        <v>670050</v>
      </c>
      <c r="G209" t="s">
        <v>60</v>
      </c>
      <c r="H209" t="s">
        <v>53</v>
      </c>
      <c r="I209">
        <v>0</v>
      </c>
      <c r="J209" s="1">
        <v>406499.31800000003</v>
      </c>
      <c r="K209" s="1">
        <v>281026.30699999997</v>
      </c>
      <c r="L209" s="1">
        <v>406501.23100000003</v>
      </c>
      <c r="M209" s="1">
        <v>281023.28600000002</v>
      </c>
      <c r="N209" t="s">
        <v>40</v>
      </c>
      <c r="P209" t="s">
        <v>40</v>
      </c>
      <c r="Q209">
        <v>0</v>
      </c>
      <c r="R209">
        <v>0</v>
      </c>
      <c r="S209">
        <v>0</v>
      </c>
      <c r="T209">
        <v>6</v>
      </c>
      <c r="U209">
        <v>6</v>
      </c>
      <c r="V209">
        <v>1</v>
      </c>
      <c r="W209">
        <v>3</v>
      </c>
      <c r="X209" t="s">
        <v>40</v>
      </c>
      <c r="Y209">
        <v>3</v>
      </c>
      <c r="Z209">
        <v>36</v>
      </c>
      <c r="AA209">
        <v>5001</v>
      </c>
      <c r="AB209">
        <v>0</v>
      </c>
      <c r="AC209">
        <v>4.8520000000000003</v>
      </c>
      <c r="AD209">
        <v>5059</v>
      </c>
      <c r="AH209">
        <v>0</v>
      </c>
      <c r="AI209">
        <v>0</v>
      </c>
      <c r="AL209" t="s">
        <v>40</v>
      </c>
      <c r="AM209" t="str">
        <f t="shared" si="15"/>
        <v>36 5001</v>
      </c>
      <c r="AN209" t="str">
        <f t="shared" si="16"/>
        <v>406499.318,281026.307</v>
      </c>
      <c r="AO209" t="str">
        <f t="shared" si="17"/>
        <v>406501.231,281023.286</v>
      </c>
      <c r="AQ209" t="s">
        <v>2142</v>
      </c>
      <c r="AR209" t="s">
        <v>692</v>
      </c>
    </row>
    <row r="210" spans="1:44" x14ac:dyDescent="0.3">
      <c r="A210">
        <v>3869</v>
      </c>
      <c r="B210">
        <v>4</v>
      </c>
      <c r="C210">
        <v>4020285</v>
      </c>
      <c r="D210">
        <v>17138</v>
      </c>
      <c r="E210">
        <v>2</v>
      </c>
      <c r="F210">
        <v>670050</v>
      </c>
      <c r="G210" t="s">
        <v>60</v>
      </c>
      <c r="H210" t="s">
        <v>53</v>
      </c>
      <c r="I210">
        <v>0</v>
      </c>
      <c r="J210" s="1">
        <v>406414.88900000002</v>
      </c>
      <c r="K210" s="1">
        <v>281023.26699999999</v>
      </c>
      <c r="L210" s="1">
        <v>406476.80800000002</v>
      </c>
      <c r="M210" s="1">
        <v>281062.15999999997</v>
      </c>
      <c r="N210" t="s">
        <v>40</v>
      </c>
      <c r="P210" t="s">
        <v>40</v>
      </c>
      <c r="Q210">
        <v>0</v>
      </c>
      <c r="R210">
        <v>0</v>
      </c>
      <c r="S210">
        <v>0</v>
      </c>
      <c r="T210">
        <v>6</v>
      </c>
      <c r="U210">
        <v>6</v>
      </c>
      <c r="V210">
        <v>1</v>
      </c>
      <c r="W210">
        <v>1</v>
      </c>
      <c r="X210" t="s">
        <v>40</v>
      </c>
      <c r="Y210">
        <v>3</v>
      </c>
      <c r="Z210">
        <v>88</v>
      </c>
      <c r="AA210">
        <v>1</v>
      </c>
      <c r="AB210">
        <v>0</v>
      </c>
      <c r="AC210">
        <v>77.983999999999995</v>
      </c>
      <c r="AD210">
        <v>5059</v>
      </c>
      <c r="AH210">
        <v>0</v>
      </c>
      <c r="AI210">
        <v>0</v>
      </c>
      <c r="AL210" t="s">
        <v>40</v>
      </c>
      <c r="AM210" t="str">
        <f t="shared" si="15"/>
        <v>88 1</v>
      </c>
      <c r="AN210" s="6" t="s">
        <v>1640</v>
      </c>
      <c r="AO210" s="6" t="s">
        <v>978</v>
      </c>
      <c r="AQ210" t="s">
        <v>2143</v>
      </c>
      <c r="AR210" t="s">
        <v>2126</v>
      </c>
    </row>
    <row r="211" spans="1:44" x14ac:dyDescent="0.3">
      <c r="A211">
        <v>3869</v>
      </c>
      <c r="B211">
        <v>4</v>
      </c>
      <c r="C211">
        <v>4020287</v>
      </c>
      <c r="D211">
        <v>17148</v>
      </c>
      <c r="E211">
        <v>2</v>
      </c>
      <c r="F211">
        <v>670050</v>
      </c>
      <c r="G211" t="s">
        <v>60</v>
      </c>
      <c r="H211" t="s">
        <v>53</v>
      </c>
      <c r="I211">
        <v>0</v>
      </c>
      <c r="J211" s="1">
        <v>406501.929</v>
      </c>
      <c r="K211" s="1">
        <v>281024.24</v>
      </c>
      <c r="L211" s="1">
        <v>406480.86900000001</v>
      </c>
      <c r="M211" s="1">
        <v>281064.82400000002</v>
      </c>
      <c r="N211" t="s">
        <v>40</v>
      </c>
      <c r="P211" t="s">
        <v>40</v>
      </c>
      <c r="Q211">
        <v>0</v>
      </c>
      <c r="R211">
        <v>0</v>
      </c>
      <c r="S211">
        <v>0</v>
      </c>
      <c r="T211">
        <v>6</v>
      </c>
      <c r="U211">
        <v>6</v>
      </c>
      <c r="V211">
        <v>1</v>
      </c>
      <c r="W211">
        <v>1</v>
      </c>
      <c r="X211" t="s">
        <v>40</v>
      </c>
      <c r="Y211">
        <v>3</v>
      </c>
      <c r="Z211">
        <v>52</v>
      </c>
      <c r="AA211">
        <v>1</v>
      </c>
      <c r="AB211">
        <v>0</v>
      </c>
      <c r="AC211">
        <v>48.771999999999998</v>
      </c>
      <c r="AD211">
        <v>5059</v>
      </c>
      <c r="AH211">
        <v>0</v>
      </c>
      <c r="AI211">
        <v>0</v>
      </c>
      <c r="AL211" t="s">
        <v>40</v>
      </c>
      <c r="AM211" t="str">
        <f t="shared" si="15"/>
        <v>52 1</v>
      </c>
      <c r="AN211" t="str">
        <f t="shared" si="16"/>
        <v>406501.929,281024.24</v>
      </c>
      <c r="AO211" t="str">
        <f t="shared" si="17"/>
        <v>406480.869,281064.824</v>
      </c>
      <c r="AQ211" t="s">
        <v>2144</v>
      </c>
      <c r="AR211" t="s">
        <v>2143</v>
      </c>
    </row>
    <row r="212" spans="1:44" x14ac:dyDescent="0.3">
      <c r="A212">
        <v>3869</v>
      </c>
      <c r="B212">
        <v>4</v>
      </c>
      <c r="C212">
        <v>4020306</v>
      </c>
      <c r="D212">
        <v>33009</v>
      </c>
      <c r="E212">
        <v>2</v>
      </c>
      <c r="F212">
        <v>670050</v>
      </c>
      <c r="G212" t="s">
        <v>60</v>
      </c>
      <c r="H212" t="s">
        <v>53</v>
      </c>
      <c r="I212">
        <v>0</v>
      </c>
      <c r="J212" s="1">
        <v>406501.929</v>
      </c>
      <c r="K212" s="1">
        <v>281024.24</v>
      </c>
      <c r="L212" s="1">
        <v>406501.32699999999</v>
      </c>
      <c r="M212" s="1">
        <v>281022.94099999999</v>
      </c>
      <c r="N212" t="s">
        <v>40</v>
      </c>
      <c r="P212" t="s">
        <v>40</v>
      </c>
      <c r="Q212">
        <v>0</v>
      </c>
      <c r="R212">
        <v>0</v>
      </c>
      <c r="S212">
        <v>0</v>
      </c>
      <c r="T212">
        <v>6</v>
      </c>
      <c r="U212">
        <v>6</v>
      </c>
      <c r="V212">
        <v>1</v>
      </c>
      <c r="W212">
        <v>1</v>
      </c>
      <c r="X212" t="s">
        <v>40</v>
      </c>
      <c r="Y212">
        <v>3</v>
      </c>
      <c r="Z212">
        <v>50</v>
      </c>
      <c r="AA212">
        <v>1</v>
      </c>
      <c r="AB212">
        <v>0</v>
      </c>
      <c r="AC212">
        <v>3.1320000000000001</v>
      </c>
      <c r="AD212">
        <v>5059</v>
      </c>
      <c r="AH212">
        <v>0</v>
      </c>
      <c r="AI212">
        <v>0</v>
      </c>
      <c r="AL212" t="s">
        <v>40</v>
      </c>
      <c r="AM212" t="str">
        <f t="shared" si="15"/>
        <v>50 1</v>
      </c>
      <c r="AN212" t="str">
        <f t="shared" si="16"/>
        <v>406501.929,281024.24</v>
      </c>
      <c r="AO212" t="str">
        <f t="shared" si="17"/>
        <v>406501.327,281022.941</v>
      </c>
      <c r="AQ212" t="s">
        <v>2144</v>
      </c>
      <c r="AR212" t="s">
        <v>675</v>
      </c>
    </row>
    <row r="213" spans="1:44" x14ac:dyDescent="0.3">
      <c r="A213">
        <v>3869</v>
      </c>
      <c r="B213">
        <v>4</v>
      </c>
      <c r="C213">
        <v>4022947</v>
      </c>
      <c r="D213">
        <v>23207</v>
      </c>
      <c r="E213">
        <v>2</v>
      </c>
      <c r="F213">
        <v>670050</v>
      </c>
      <c r="G213" t="s">
        <v>60</v>
      </c>
      <c r="H213" t="s">
        <v>43</v>
      </c>
      <c r="I213">
        <v>0</v>
      </c>
      <c r="J213" s="1">
        <v>405431.60700000002</v>
      </c>
      <c r="K213" s="1">
        <v>280888.71799999999</v>
      </c>
      <c r="L213" s="1">
        <v>405431.772</v>
      </c>
      <c r="M213" s="1">
        <v>280889.65100000001</v>
      </c>
      <c r="N213" t="s">
        <v>40</v>
      </c>
      <c r="P213" t="s">
        <v>40</v>
      </c>
      <c r="Q213">
        <v>0</v>
      </c>
      <c r="R213">
        <v>0</v>
      </c>
      <c r="S213">
        <v>0</v>
      </c>
      <c r="T213">
        <v>6</v>
      </c>
      <c r="U213">
        <v>6</v>
      </c>
      <c r="V213">
        <v>1</v>
      </c>
      <c r="W213">
        <v>1</v>
      </c>
      <c r="X213" t="s">
        <v>40</v>
      </c>
      <c r="Y213">
        <v>3</v>
      </c>
      <c r="Z213">
        <v>52</v>
      </c>
      <c r="AA213">
        <v>1</v>
      </c>
      <c r="AB213">
        <v>0</v>
      </c>
      <c r="AC213">
        <v>0.94699999999999995</v>
      </c>
      <c r="AD213">
        <v>5059</v>
      </c>
      <c r="AH213">
        <v>0</v>
      </c>
      <c r="AI213">
        <v>0</v>
      </c>
      <c r="AL213" t="s">
        <v>40</v>
      </c>
      <c r="AM213" t="str">
        <f t="shared" si="15"/>
        <v>52 1</v>
      </c>
      <c r="AN213" t="str">
        <f t="shared" si="16"/>
        <v>405431.607,280888.718</v>
      </c>
      <c r="AO213" t="str">
        <f t="shared" si="17"/>
        <v>405431.772,280889.651</v>
      </c>
      <c r="AQ213" t="s">
        <v>2130</v>
      </c>
      <c r="AR213" t="s">
        <v>2114</v>
      </c>
    </row>
    <row r="214" spans="1:44" x14ac:dyDescent="0.3">
      <c r="A214">
        <v>3869</v>
      </c>
      <c r="B214">
        <v>4</v>
      </c>
      <c r="C214">
        <v>4022960</v>
      </c>
      <c r="D214">
        <v>57851</v>
      </c>
      <c r="E214">
        <v>2</v>
      </c>
      <c r="F214">
        <v>670050</v>
      </c>
      <c r="G214" t="s">
        <v>60</v>
      </c>
      <c r="H214" t="s">
        <v>43</v>
      </c>
      <c r="I214">
        <v>0</v>
      </c>
      <c r="J214" s="1">
        <v>405434.516</v>
      </c>
      <c r="K214" s="1">
        <v>280888.07500000001</v>
      </c>
      <c r="L214" s="1">
        <v>405433.23200000002</v>
      </c>
      <c r="M214" s="1">
        <v>280886.13900000002</v>
      </c>
      <c r="N214" t="s">
        <v>40</v>
      </c>
      <c r="P214" t="s">
        <v>40</v>
      </c>
      <c r="Q214">
        <v>0</v>
      </c>
      <c r="R214">
        <v>0</v>
      </c>
      <c r="S214">
        <v>0</v>
      </c>
      <c r="T214">
        <v>6</v>
      </c>
      <c r="U214">
        <v>6</v>
      </c>
      <c r="V214">
        <v>1</v>
      </c>
      <c r="W214">
        <v>3</v>
      </c>
      <c r="X214" t="s">
        <v>40</v>
      </c>
      <c r="Y214">
        <v>3</v>
      </c>
      <c r="Z214">
        <v>36</v>
      </c>
      <c r="AA214">
        <v>5001</v>
      </c>
      <c r="AB214">
        <v>0</v>
      </c>
      <c r="AC214">
        <v>2.835</v>
      </c>
      <c r="AD214">
        <v>5059</v>
      </c>
      <c r="AH214">
        <v>0</v>
      </c>
      <c r="AI214">
        <v>0</v>
      </c>
      <c r="AL214" t="s">
        <v>40</v>
      </c>
      <c r="AM214" t="str">
        <f t="shared" si="15"/>
        <v>36 5001</v>
      </c>
      <c r="AN214" t="str">
        <f t="shared" si="16"/>
        <v>405434.516,280888.075</v>
      </c>
      <c r="AO214" t="str">
        <f t="shared" si="17"/>
        <v>405433.232,280886.139</v>
      </c>
      <c r="AQ214" t="s">
        <v>2145</v>
      </c>
      <c r="AR214" t="s">
        <v>697</v>
      </c>
    </row>
    <row r="215" spans="1:44" x14ac:dyDescent="0.3">
      <c r="A215">
        <v>3869</v>
      </c>
      <c r="B215">
        <v>4</v>
      </c>
      <c r="C215">
        <v>4020323</v>
      </c>
      <c r="D215">
        <v>33010</v>
      </c>
      <c r="E215">
        <v>2</v>
      </c>
      <c r="F215">
        <v>670050</v>
      </c>
      <c r="G215" t="s">
        <v>60</v>
      </c>
      <c r="H215" t="s">
        <v>53</v>
      </c>
      <c r="I215">
        <v>0</v>
      </c>
      <c r="J215" s="1">
        <v>406500.70199999999</v>
      </c>
      <c r="K215" s="1">
        <v>281028.33100000001</v>
      </c>
      <c r="L215" s="1">
        <v>406500.99400000001</v>
      </c>
      <c r="M215" s="1">
        <v>281022.86700000003</v>
      </c>
      <c r="N215" t="s">
        <v>40</v>
      </c>
      <c r="P215" t="s">
        <v>40</v>
      </c>
      <c r="Q215">
        <v>0</v>
      </c>
      <c r="R215">
        <v>0</v>
      </c>
      <c r="S215">
        <v>0</v>
      </c>
      <c r="T215">
        <v>6</v>
      </c>
      <c r="U215">
        <v>6</v>
      </c>
      <c r="V215">
        <v>1</v>
      </c>
      <c r="W215">
        <v>1</v>
      </c>
      <c r="X215" t="s">
        <v>40</v>
      </c>
      <c r="Y215">
        <v>3</v>
      </c>
      <c r="Z215">
        <v>52</v>
      </c>
      <c r="AA215">
        <v>1</v>
      </c>
      <c r="AB215">
        <v>0</v>
      </c>
      <c r="AC215">
        <v>51.967999999999996</v>
      </c>
      <c r="AD215">
        <v>5059</v>
      </c>
      <c r="AH215">
        <v>0</v>
      </c>
      <c r="AI215">
        <v>0</v>
      </c>
      <c r="AL215" t="s">
        <v>40</v>
      </c>
      <c r="AM215" t="str">
        <f t="shared" si="15"/>
        <v>52 1</v>
      </c>
      <c r="AN215" s="6" t="s">
        <v>220</v>
      </c>
      <c r="AO215" s="6" t="s">
        <v>1641</v>
      </c>
      <c r="AQ215" t="s">
        <v>691</v>
      </c>
      <c r="AR215" t="s">
        <v>2146</v>
      </c>
    </row>
    <row r="216" spans="1:44" x14ac:dyDescent="0.3">
      <c r="A216">
        <v>3869</v>
      </c>
      <c r="B216">
        <v>4</v>
      </c>
      <c r="C216">
        <v>4023013</v>
      </c>
      <c r="D216">
        <v>57871</v>
      </c>
      <c r="E216">
        <v>2</v>
      </c>
      <c r="F216">
        <v>670050</v>
      </c>
      <c r="G216" t="s">
        <v>60</v>
      </c>
      <c r="H216" t="s">
        <v>43</v>
      </c>
      <c r="I216">
        <v>0</v>
      </c>
      <c r="J216" s="1">
        <v>405672.11300000001</v>
      </c>
      <c r="K216" s="1">
        <v>280977.38199999998</v>
      </c>
      <c r="L216" s="1">
        <v>405696.23100000003</v>
      </c>
      <c r="M216" s="1">
        <v>280956.38099999999</v>
      </c>
      <c r="N216" t="s">
        <v>40</v>
      </c>
      <c r="P216" t="s">
        <v>40</v>
      </c>
      <c r="Q216">
        <v>0</v>
      </c>
      <c r="R216">
        <v>0</v>
      </c>
      <c r="S216">
        <v>0</v>
      </c>
      <c r="T216">
        <v>6</v>
      </c>
      <c r="U216">
        <v>6</v>
      </c>
      <c r="V216">
        <v>1</v>
      </c>
      <c r="W216">
        <v>1</v>
      </c>
      <c r="X216" t="s">
        <v>40</v>
      </c>
      <c r="Y216">
        <v>3</v>
      </c>
      <c r="Z216">
        <v>38</v>
      </c>
      <c r="AA216">
        <v>5001</v>
      </c>
      <c r="AB216">
        <v>0</v>
      </c>
      <c r="AC216">
        <v>53.88</v>
      </c>
      <c r="AD216">
        <v>5059</v>
      </c>
      <c r="AH216">
        <v>0</v>
      </c>
      <c r="AI216">
        <v>0</v>
      </c>
      <c r="AL216" t="s">
        <v>40</v>
      </c>
      <c r="AM216" t="str">
        <f t="shared" si="15"/>
        <v>38 5001</v>
      </c>
      <c r="AN216" t="str">
        <f t="shared" si="16"/>
        <v>405672.113,280977.382</v>
      </c>
      <c r="AO216" t="str">
        <f t="shared" si="17"/>
        <v>405696.231,280956.381</v>
      </c>
      <c r="AQ216" t="s">
        <v>2147</v>
      </c>
      <c r="AR216" t="s">
        <v>695</v>
      </c>
    </row>
    <row r="217" spans="1:44" x14ac:dyDescent="0.3">
      <c r="A217">
        <v>3869</v>
      </c>
      <c r="B217">
        <v>4</v>
      </c>
      <c r="C217">
        <v>4020339</v>
      </c>
      <c r="D217">
        <v>17276</v>
      </c>
      <c r="E217">
        <v>2</v>
      </c>
      <c r="F217">
        <v>670050</v>
      </c>
      <c r="G217" t="s">
        <v>60</v>
      </c>
      <c r="H217" t="s">
        <v>53</v>
      </c>
      <c r="I217">
        <v>0</v>
      </c>
      <c r="J217" s="1">
        <v>406632.054</v>
      </c>
      <c r="K217" s="1">
        <v>281161.20400000003</v>
      </c>
      <c r="L217" s="1">
        <v>406486.266</v>
      </c>
      <c r="M217" s="1">
        <v>281067.58199999999</v>
      </c>
      <c r="N217" t="s">
        <v>40</v>
      </c>
      <c r="P217" t="s">
        <v>40</v>
      </c>
      <c r="Q217">
        <v>0</v>
      </c>
      <c r="R217">
        <v>0</v>
      </c>
      <c r="S217">
        <v>0</v>
      </c>
      <c r="T217">
        <v>6</v>
      </c>
      <c r="U217">
        <v>6</v>
      </c>
      <c r="V217">
        <v>1</v>
      </c>
      <c r="W217">
        <v>1</v>
      </c>
      <c r="X217" t="s">
        <v>40</v>
      </c>
      <c r="Y217">
        <v>3</v>
      </c>
      <c r="Z217">
        <v>88</v>
      </c>
      <c r="AA217">
        <v>1</v>
      </c>
      <c r="AB217">
        <v>0</v>
      </c>
      <c r="AC217">
        <v>441.28999999999996</v>
      </c>
      <c r="AD217">
        <v>5059</v>
      </c>
      <c r="AH217">
        <v>0</v>
      </c>
      <c r="AI217">
        <v>0</v>
      </c>
      <c r="AL217" t="s">
        <v>40</v>
      </c>
      <c r="AM217" t="str">
        <f t="shared" si="15"/>
        <v>88 1</v>
      </c>
      <c r="AN217" s="6" t="s">
        <v>989</v>
      </c>
      <c r="AO217" s="6" t="s">
        <v>1641</v>
      </c>
      <c r="AQ217" t="s">
        <v>2136</v>
      </c>
      <c r="AR217" t="s">
        <v>2146</v>
      </c>
    </row>
    <row r="218" spans="1:44" x14ac:dyDescent="0.3">
      <c r="A218">
        <v>3869</v>
      </c>
      <c r="B218">
        <v>4</v>
      </c>
      <c r="C218">
        <v>4022912</v>
      </c>
      <c r="D218">
        <v>57802</v>
      </c>
      <c r="E218">
        <v>2</v>
      </c>
      <c r="F218">
        <v>670050</v>
      </c>
      <c r="G218" t="s">
        <v>60</v>
      </c>
      <c r="H218" t="s">
        <v>43</v>
      </c>
      <c r="I218">
        <v>0</v>
      </c>
      <c r="J218" s="1">
        <v>405428.73100000003</v>
      </c>
      <c r="K218" s="1">
        <v>280613.73499999999</v>
      </c>
      <c r="L218" s="1">
        <v>405440.29499999998</v>
      </c>
      <c r="M218" s="1">
        <v>280452.14</v>
      </c>
      <c r="N218" t="s">
        <v>40</v>
      </c>
      <c r="P218" t="s">
        <v>40</v>
      </c>
      <c r="Q218">
        <v>0</v>
      </c>
      <c r="R218">
        <v>0</v>
      </c>
      <c r="S218">
        <v>0</v>
      </c>
      <c r="T218">
        <v>6</v>
      </c>
      <c r="U218">
        <v>6</v>
      </c>
      <c r="V218">
        <v>1</v>
      </c>
      <c r="W218">
        <v>2</v>
      </c>
      <c r="X218" t="s">
        <v>40</v>
      </c>
      <c r="Y218">
        <v>3</v>
      </c>
      <c r="Z218">
        <v>89</v>
      </c>
      <c r="AA218">
        <v>1</v>
      </c>
      <c r="AB218">
        <v>0</v>
      </c>
      <c r="AC218">
        <v>261.36699999999996</v>
      </c>
      <c r="AD218">
        <v>5059</v>
      </c>
      <c r="AH218">
        <v>0</v>
      </c>
      <c r="AI218">
        <v>0</v>
      </c>
      <c r="AL218" t="s">
        <v>40</v>
      </c>
      <c r="AM218" t="str">
        <f t="shared" si="15"/>
        <v>89 1</v>
      </c>
      <c r="AN218" s="6" t="s">
        <v>231</v>
      </c>
      <c r="AO218" s="6" t="s">
        <v>984</v>
      </c>
      <c r="AQ218" t="s">
        <v>694</v>
      </c>
      <c r="AR218" t="s">
        <v>2128</v>
      </c>
    </row>
    <row r="219" spans="1:44" x14ac:dyDescent="0.3">
      <c r="A219">
        <v>3869</v>
      </c>
      <c r="B219">
        <v>4</v>
      </c>
      <c r="C219">
        <v>4023003</v>
      </c>
      <c r="D219">
        <v>23404</v>
      </c>
      <c r="E219">
        <v>2</v>
      </c>
      <c r="F219">
        <v>670050</v>
      </c>
      <c r="G219" t="s">
        <v>60</v>
      </c>
      <c r="H219" t="s">
        <v>43</v>
      </c>
      <c r="I219">
        <v>0</v>
      </c>
      <c r="J219" s="1">
        <v>405624.94099999999</v>
      </c>
      <c r="K219" s="1">
        <v>280970.989</v>
      </c>
      <c r="L219" s="1">
        <v>405672.11300000001</v>
      </c>
      <c r="M219" s="1">
        <v>280977.38199999998</v>
      </c>
      <c r="N219" t="s">
        <v>40</v>
      </c>
      <c r="P219" t="s">
        <v>40</v>
      </c>
      <c r="Q219">
        <v>0</v>
      </c>
      <c r="R219">
        <v>0</v>
      </c>
      <c r="S219">
        <v>0</v>
      </c>
      <c r="T219">
        <v>6</v>
      </c>
      <c r="U219">
        <v>6</v>
      </c>
      <c r="V219">
        <v>1</v>
      </c>
      <c r="W219">
        <v>1</v>
      </c>
      <c r="X219" t="s">
        <v>40</v>
      </c>
      <c r="Y219">
        <v>3</v>
      </c>
      <c r="Z219">
        <v>38</v>
      </c>
      <c r="AA219">
        <v>1</v>
      </c>
      <c r="AB219">
        <v>0</v>
      </c>
      <c r="AC219">
        <v>77.134</v>
      </c>
      <c r="AD219">
        <v>5059</v>
      </c>
      <c r="AH219">
        <v>0</v>
      </c>
      <c r="AI219">
        <v>0</v>
      </c>
      <c r="AL219" t="s">
        <v>40</v>
      </c>
      <c r="AM219" t="str">
        <f t="shared" si="15"/>
        <v>38 1</v>
      </c>
      <c r="AN219" s="6" t="s">
        <v>1001</v>
      </c>
      <c r="AO219" s="6" t="s">
        <v>1000</v>
      </c>
      <c r="AQ219" t="s">
        <v>2147</v>
      </c>
      <c r="AR219" t="s">
        <v>2133</v>
      </c>
    </row>
    <row r="220" spans="1:44" x14ac:dyDescent="0.3">
      <c r="A220">
        <v>3869</v>
      </c>
      <c r="B220">
        <v>4</v>
      </c>
      <c r="C220">
        <v>4014986</v>
      </c>
      <c r="D220">
        <v>77176</v>
      </c>
      <c r="E220">
        <v>2</v>
      </c>
      <c r="F220">
        <v>670050</v>
      </c>
      <c r="G220" t="s">
        <v>62</v>
      </c>
      <c r="H220" t="s">
        <v>42</v>
      </c>
      <c r="I220">
        <v>0</v>
      </c>
      <c r="J220" s="1">
        <v>404680.36099999998</v>
      </c>
      <c r="K220" s="1">
        <v>281544.55</v>
      </c>
      <c r="L220" s="1">
        <v>404747.09700000001</v>
      </c>
      <c r="M220" s="1">
        <v>281561.45699999999</v>
      </c>
      <c r="N220" t="s">
        <v>40</v>
      </c>
      <c r="P220" t="s">
        <v>40</v>
      </c>
      <c r="Q220">
        <v>0</v>
      </c>
      <c r="R220">
        <v>0</v>
      </c>
      <c r="S220">
        <v>0</v>
      </c>
      <c r="T220">
        <v>6</v>
      </c>
      <c r="U220">
        <v>6</v>
      </c>
      <c r="V220">
        <v>1</v>
      </c>
      <c r="W220">
        <v>2</v>
      </c>
      <c r="X220" t="s">
        <v>40</v>
      </c>
      <c r="Y220">
        <v>3</v>
      </c>
      <c r="Z220">
        <v>90</v>
      </c>
      <c r="AA220">
        <v>1</v>
      </c>
      <c r="AB220">
        <v>0</v>
      </c>
      <c r="AC220">
        <v>489.68700000000001</v>
      </c>
      <c r="AD220">
        <v>5059</v>
      </c>
      <c r="AH220">
        <v>0</v>
      </c>
      <c r="AI220">
        <v>0</v>
      </c>
      <c r="AL220" t="s">
        <v>40</v>
      </c>
      <c r="AM220" t="str">
        <f t="shared" si="15"/>
        <v>90 1</v>
      </c>
      <c r="AN220" s="6" t="s">
        <v>1644</v>
      </c>
      <c r="AO220" s="6" t="s">
        <v>1643</v>
      </c>
      <c r="AQ220" t="s">
        <v>2148</v>
      </c>
      <c r="AR220" t="s">
        <v>1954</v>
      </c>
    </row>
    <row r="221" spans="1:44" x14ac:dyDescent="0.3">
      <c r="A221">
        <v>3869</v>
      </c>
      <c r="B221">
        <v>4</v>
      </c>
      <c r="C221">
        <v>4014948</v>
      </c>
      <c r="D221">
        <v>14354</v>
      </c>
      <c r="E221">
        <v>2</v>
      </c>
      <c r="F221">
        <v>670050</v>
      </c>
      <c r="G221" t="s">
        <v>62</v>
      </c>
      <c r="H221" t="s">
        <v>42</v>
      </c>
      <c r="I221">
        <v>0</v>
      </c>
      <c r="J221" s="1">
        <v>404471.859</v>
      </c>
      <c r="K221" s="1">
        <v>281125.54300000001</v>
      </c>
      <c r="L221" s="1">
        <v>404462.77399999998</v>
      </c>
      <c r="M221" s="1">
        <v>281202.12900000002</v>
      </c>
      <c r="N221" t="s">
        <v>40</v>
      </c>
      <c r="P221" t="s">
        <v>40</v>
      </c>
      <c r="Q221">
        <v>0</v>
      </c>
      <c r="R221">
        <v>0</v>
      </c>
      <c r="S221">
        <v>0</v>
      </c>
      <c r="T221">
        <v>6</v>
      </c>
      <c r="U221">
        <v>6</v>
      </c>
      <c r="V221">
        <v>1</v>
      </c>
      <c r="W221">
        <v>1</v>
      </c>
      <c r="X221" t="s">
        <v>40</v>
      </c>
      <c r="Y221">
        <v>3</v>
      </c>
      <c r="Z221">
        <v>38</v>
      </c>
      <c r="AA221">
        <v>5001</v>
      </c>
      <c r="AB221">
        <v>0</v>
      </c>
      <c r="AC221">
        <v>77.396000000000001</v>
      </c>
      <c r="AD221">
        <v>5059</v>
      </c>
      <c r="AH221">
        <v>0</v>
      </c>
      <c r="AI221">
        <v>0</v>
      </c>
      <c r="AL221" t="s">
        <v>40</v>
      </c>
      <c r="AM221" t="str">
        <f t="shared" si="15"/>
        <v>38 5001</v>
      </c>
      <c r="AN221" t="str">
        <f t="shared" si="16"/>
        <v>404471.859,281125.543</v>
      </c>
      <c r="AO221" t="str">
        <f t="shared" si="17"/>
        <v>404462.774,281202.129</v>
      </c>
      <c r="AQ221" t="s">
        <v>2149</v>
      </c>
      <c r="AR221" t="s">
        <v>2150</v>
      </c>
    </row>
    <row r="222" spans="1:44" x14ac:dyDescent="0.3">
      <c r="A222">
        <v>3869</v>
      </c>
      <c r="B222">
        <v>4</v>
      </c>
      <c r="C222">
        <v>4014971</v>
      </c>
      <c r="D222">
        <v>13272</v>
      </c>
      <c r="E222">
        <v>2</v>
      </c>
      <c r="F222">
        <v>670050</v>
      </c>
      <c r="G222" t="s">
        <v>62</v>
      </c>
      <c r="H222" t="s">
        <v>42</v>
      </c>
      <c r="I222">
        <v>0</v>
      </c>
      <c r="J222" s="1">
        <v>404462.77399999998</v>
      </c>
      <c r="K222" s="1">
        <v>281202.12900000002</v>
      </c>
      <c r="L222" s="1">
        <v>404461.07</v>
      </c>
      <c r="M222" s="1">
        <v>281222.962</v>
      </c>
      <c r="N222" t="s">
        <v>40</v>
      </c>
      <c r="P222" t="s">
        <v>40</v>
      </c>
      <c r="Q222">
        <v>0</v>
      </c>
      <c r="R222">
        <v>0</v>
      </c>
      <c r="S222">
        <v>0</v>
      </c>
      <c r="T222">
        <v>6</v>
      </c>
      <c r="U222">
        <v>6</v>
      </c>
      <c r="V222">
        <v>1</v>
      </c>
      <c r="W222">
        <v>1</v>
      </c>
      <c r="X222" t="s">
        <v>40</v>
      </c>
      <c r="Y222">
        <v>3</v>
      </c>
      <c r="Z222">
        <v>88</v>
      </c>
      <c r="AA222">
        <v>1</v>
      </c>
      <c r="AB222">
        <v>0</v>
      </c>
      <c r="AC222">
        <v>20.905999999999999</v>
      </c>
      <c r="AD222">
        <v>5059</v>
      </c>
      <c r="AH222">
        <v>0</v>
      </c>
      <c r="AI222">
        <v>0</v>
      </c>
      <c r="AL222" t="s">
        <v>40</v>
      </c>
      <c r="AM222" t="str">
        <f t="shared" si="15"/>
        <v>88 1</v>
      </c>
      <c r="AN222" t="str">
        <f t="shared" si="16"/>
        <v>404462.774,281202.129</v>
      </c>
      <c r="AO222" t="str">
        <f t="shared" si="17"/>
        <v>404461.07,281222.962</v>
      </c>
      <c r="AQ222" t="s">
        <v>2150</v>
      </c>
      <c r="AR222" t="s">
        <v>2148</v>
      </c>
    </row>
    <row r="223" spans="1:44" x14ac:dyDescent="0.3">
      <c r="A223">
        <v>3869</v>
      </c>
      <c r="B223">
        <v>4</v>
      </c>
      <c r="C223">
        <v>4026571</v>
      </c>
      <c r="D223">
        <v>22616</v>
      </c>
      <c r="E223">
        <v>2</v>
      </c>
      <c r="F223">
        <v>670050</v>
      </c>
      <c r="G223" t="s">
        <v>62</v>
      </c>
      <c r="H223" t="s">
        <v>41</v>
      </c>
      <c r="I223">
        <v>0</v>
      </c>
      <c r="J223" s="1">
        <v>405154.64799999999</v>
      </c>
      <c r="K223" s="1">
        <v>281143.26400000002</v>
      </c>
      <c r="L223" s="1">
        <v>405145.99</v>
      </c>
      <c r="M223" s="1">
        <v>281000</v>
      </c>
      <c r="N223" t="s">
        <v>40</v>
      </c>
      <c r="P223" t="s">
        <v>40</v>
      </c>
      <c r="Q223">
        <v>0</v>
      </c>
      <c r="R223">
        <v>0</v>
      </c>
      <c r="S223">
        <v>0</v>
      </c>
      <c r="T223">
        <v>6</v>
      </c>
      <c r="U223">
        <v>6</v>
      </c>
      <c r="V223">
        <v>1</v>
      </c>
      <c r="W223">
        <v>1</v>
      </c>
      <c r="X223" t="s">
        <v>40</v>
      </c>
      <c r="Y223">
        <v>3</v>
      </c>
      <c r="Z223">
        <v>89</v>
      </c>
      <c r="AA223">
        <v>1</v>
      </c>
      <c r="AB223">
        <v>0</v>
      </c>
      <c r="AC223">
        <v>306.42399999999998</v>
      </c>
      <c r="AD223">
        <v>5059</v>
      </c>
      <c r="AH223">
        <v>0</v>
      </c>
      <c r="AI223">
        <v>0</v>
      </c>
      <c r="AL223" t="s">
        <v>40</v>
      </c>
      <c r="AM223" t="str">
        <f t="shared" si="15"/>
        <v>89 1</v>
      </c>
      <c r="AN223" s="6" t="s">
        <v>1006</v>
      </c>
      <c r="AO223" s="6" t="s">
        <v>1642</v>
      </c>
      <c r="AQ223" t="s">
        <v>2151</v>
      </c>
      <c r="AR223" t="s">
        <v>2152</v>
      </c>
    </row>
    <row r="224" spans="1:44" x14ac:dyDescent="0.3">
      <c r="A224">
        <v>3869</v>
      </c>
      <c r="B224">
        <v>4</v>
      </c>
      <c r="C224">
        <v>4023499</v>
      </c>
      <c r="D224">
        <v>22952</v>
      </c>
      <c r="E224">
        <v>2</v>
      </c>
      <c r="F224">
        <v>670050</v>
      </c>
      <c r="G224" t="s">
        <v>62</v>
      </c>
      <c r="H224" t="s">
        <v>43</v>
      </c>
      <c r="I224">
        <v>0</v>
      </c>
      <c r="J224" s="1">
        <v>405146.04100000003</v>
      </c>
      <c r="K224" s="1">
        <v>280999.603</v>
      </c>
      <c r="L224" s="1">
        <v>405147.47899999999</v>
      </c>
      <c r="M224" s="1">
        <v>280983.04200000002</v>
      </c>
      <c r="N224" t="s">
        <v>40</v>
      </c>
      <c r="P224" t="s">
        <v>40</v>
      </c>
      <c r="Q224">
        <v>0</v>
      </c>
      <c r="R224">
        <v>0</v>
      </c>
      <c r="S224">
        <v>0</v>
      </c>
      <c r="T224">
        <v>6</v>
      </c>
      <c r="U224">
        <v>6</v>
      </c>
      <c r="V224">
        <v>1</v>
      </c>
      <c r="W224">
        <v>1</v>
      </c>
      <c r="X224" t="s">
        <v>40</v>
      </c>
      <c r="Y224">
        <v>3</v>
      </c>
      <c r="Z224">
        <v>89</v>
      </c>
      <c r="AA224">
        <v>99</v>
      </c>
      <c r="AB224">
        <v>0</v>
      </c>
      <c r="AC224">
        <v>16.741</v>
      </c>
      <c r="AD224">
        <v>5059</v>
      </c>
      <c r="AH224">
        <v>0</v>
      </c>
      <c r="AI224">
        <v>0</v>
      </c>
      <c r="AL224" t="s">
        <v>40</v>
      </c>
      <c r="AM224" t="str">
        <f t="shared" si="15"/>
        <v>89 99</v>
      </c>
      <c r="AN224" t="str">
        <f t="shared" si="16"/>
        <v>405146.041,280999.603</v>
      </c>
      <c r="AO224" t="str">
        <f t="shared" si="17"/>
        <v>405147.479,280983.042</v>
      </c>
      <c r="AQ224" t="s">
        <v>2151</v>
      </c>
      <c r="AR224" t="s">
        <v>1890</v>
      </c>
    </row>
    <row r="225" spans="1:44" x14ac:dyDescent="0.3">
      <c r="A225">
        <v>3869</v>
      </c>
      <c r="B225">
        <v>4</v>
      </c>
      <c r="C225">
        <v>4017281</v>
      </c>
      <c r="D225">
        <v>17415</v>
      </c>
      <c r="E225">
        <v>2</v>
      </c>
      <c r="F225">
        <v>670050</v>
      </c>
      <c r="G225" t="s">
        <v>62</v>
      </c>
      <c r="H225" t="s">
        <v>63</v>
      </c>
      <c r="I225">
        <v>0</v>
      </c>
      <c r="J225" s="1">
        <v>403885.13400000002</v>
      </c>
      <c r="K225" s="1">
        <v>280894.54300000001</v>
      </c>
      <c r="L225" s="1">
        <v>403888.46899999998</v>
      </c>
      <c r="M225" s="1">
        <v>280987.14899999998</v>
      </c>
      <c r="N225" t="s">
        <v>40</v>
      </c>
      <c r="P225" t="s">
        <v>40</v>
      </c>
      <c r="Q225">
        <v>0</v>
      </c>
      <c r="R225">
        <v>0</v>
      </c>
      <c r="S225">
        <v>0</v>
      </c>
      <c r="T225">
        <v>6</v>
      </c>
      <c r="U225">
        <v>6</v>
      </c>
      <c r="V225">
        <v>1</v>
      </c>
      <c r="W225">
        <v>1</v>
      </c>
      <c r="X225" t="s">
        <v>40</v>
      </c>
      <c r="Y225">
        <v>3</v>
      </c>
      <c r="Z225">
        <v>90</v>
      </c>
      <c r="AA225">
        <v>1</v>
      </c>
      <c r="AB225">
        <v>0</v>
      </c>
      <c r="AC225">
        <v>113.131</v>
      </c>
      <c r="AD225">
        <v>5059</v>
      </c>
      <c r="AH225">
        <v>0</v>
      </c>
      <c r="AI225">
        <v>0</v>
      </c>
      <c r="AL225" t="s">
        <v>40</v>
      </c>
      <c r="AM225" t="str">
        <f t="shared" si="15"/>
        <v>90 1</v>
      </c>
      <c r="AN225" t="str">
        <f t="shared" si="16"/>
        <v>403885.134,280894.543</v>
      </c>
      <c r="AO225" t="str">
        <f t="shared" si="17"/>
        <v>403888.469,280987.149</v>
      </c>
      <c r="AQ225" t="s">
        <v>2153</v>
      </c>
      <c r="AR225" t="s">
        <v>2154</v>
      </c>
    </row>
    <row r="226" spans="1:44" x14ac:dyDescent="0.3">
      <c r="A226">
        <v>3869</v>
      </c>
      <c r="B226">
        <v>4</v>
      </c>
      <c r="C226">
        <v>4017345</v>
      </c>
      <c r="D226">
        <v>46478</v>
      </c>
      <c r="E226">
        <v>2</v>
      </c>
      <c r="F226">
        <v>670050</v>
      </c>
      <c r="G226" t="s">
        <v>62</v>
      </c>
      <c r="H226" t="s">
        <v>63</v>
      </c>
      <c r="I226">
        <v>0</v>
      </c>
      <c r="J226" s="1">
        <v>403457.94300000003</v>
      </c>
      <c r="K226" s="1">
        <v>280924.83399999997</v>
      </c>
      <c r="L226" s="1">
        <v>403520.19199999998</v>
      </c>
      <c r="M226" s="1">
        <v>280805.28999999998</v>
      </c>
      <c r="N226" t="s">
        <v>40</v>
      </c>
      <c r="P226" t="s">
        <v>40</v>
      </c>
      <c r="Q226">
        <v>0</v>
      </c>
      <c r="R226">
        <v>0</v>
      </c>
      <c r="S226">
        <v>0</v>
      </c>
      <c r="T226">
        <v>6</v>
      </c>
      <c r="U226">
        <v>6</v>
      </c>
      <c r="V226">
        <v>1</v>
      </c>
      <c r="W226">
        <v>1</v>
      </c>
      <c r="X226" t="s">
        <v>40</v>
      </c>
      <c r="Y226">
        <v>3</v>
      </c>
      <c r="Z226">
        <v>52</v>
      </c>
      <c r="AA226">
        <v>1</v>
      </c>
      <c r="AB226">
        <v>0</v>
      </c>
      <c r="AC226">
        <v>192.81899999999999</v>
      </c>
      <c r="AD226">
        <v>5059</v>
      </c>
      <c r="AH226">
        <v>0</v>
      </c>
      <c r="AI226">
        <v>0</v>
      </c>
      <c r="AL226" t="s">
        <v>40</v>
      </c>
      <c r="AM226" t="str">
        <f t="shared" si="15"/>
        <v>52 1</v>
      </c>
      <c r="AN226" t="str">
        <f t="shared" si="16"/>
        <v>403457.943,280924.834</v>
      </c>
      <c r="AO226" t="str">
        <f t="shared" si="17"/>
        <v>403520.192,280805.29</v>
      </c>
      <c r="AQ226" t="s">
        <v>2155</v>
      </c>
      <c r="AR226" t="s">
        <v>829</v>
      </c>
    </row>
    <row r="227" spans="1:44" x14ac:dyDescent="0.3">
      <c r="A227">
        <v>3869</v>
      </c>
      <c r="B227">
        <v>4</v>
      </c>
      <c r="C227">
        <v>4017296</v>
      </c>
      <c r="D227">
        <v>51668</v>
      </c>
      <c r="E227">
        <v>2</v>
      </c>
      <c r="F227">
        <v>670050</v>
      </c>
      <c r="G227" t="s">
        <v>62</v>
      </c>
      <c r="H227" t="s">
        <v>63</v>
      </c>
      <c r="I227">
        <v>0</v>
      </c>
      <c r="J227" s="1">
        <v>403885.13400000002</v>
      </c>
      <c r="K227" s="1">
        <v>280894.54300000001</v>
      </c>
      <c r="L227" s="1">
        <v>403881.11</v>
      </c>
      <c r="M227" s="1">
        <v>280897.10800000001</v>
      </c>
      <c r="N227" t="s">
        <v>40</v>
      </c>
      <c r="P227" t="s">
        <v>40</v>
      </c>
      <c r="Q227">
        <v>0</v>
      </c>
      <c r="R227">
        <v>0</v>
      </c>
      <c r="S227">
        <v>199712</v>
      </c>
      <c r="T227">
        <v>6</v>
      </c>
      <c r="U227">
        <v>6</v>
      </c>
      <c r="V227">
        <v>1</v>
      </c>
      <c r="W227">
        <v>1</v>
      </c>
      <c r="X227" t="s">
        <v>40</v>
      </c>
      <c r="Y227">
        <v>3</v>
      </c>
      <c r="Z227">
        <v>5017</v>
      </c>
      <c r="AA227">
        <v>1</v>
      </c>
      <c r="AB227">
        <v>0</v>
      </c>
      <c r="AC227">
        <v>6.431</v>
      </c>
      <c r="AD227">
        <v>5059</v>
      </c>
      <c r="AH227">
        <v>0</v>
      </c>
      <c r="AI227">
        <v>0</v>
      </c>
      <c r="AL227" t="s">
        <v>40</v>
      </c>
      <c r="AM227" t="str">
        <f t="shared" si="15"/>
        <v>5017 1</v>
      </c>
      <c r="AN227" t="str">
        <f t="shared" si="16"/>
        <v>403885.134,280894.543</v>
      </c>
      <c r="AO227" t="str">
        <f t="shared" si="17"/>
        <v>403881.11,280897.108</v>
      </c>
      <c r="AQ227" t="s">
        <v>2153</v>
      </c>
      <c r="AR227" t="s">
        <v>699</v>
      </c>
    </row>
    <row r="228" spans="1:44" x14ac:dyDescent="0.3">
      <c r="A228">
        <v>3869</v>
      </c>
      <c r="B228">
        <v>4</v>
      </c>
      <c r="C228">
        <v>4017280</v>
      </c>
      <c r="D228">
        <v>17401</v>
      </c>
      <c r="E228">
        <v>2</v>
      </c>
      <c r="F228">
        <v>670050</v>
      </c>
      <c r="G228" t="s">
        <v>62</v>
      </c>
      <c r="H228" t="s">
        <v>63</v>
      </c>
      <c r="I228">
        <v>0</v>
      </c>
      <c r="J228" s="1">
        <v>403888.46899999998</v>
      </c>
      <c r="K228" s="1">
        <v>280987.14899999998</v>
      </c>
      <c r="L228" s="1">
        <v>403912.05099999998</v>
      </c>
      <c r="M228" s="1">
        <v>281000</v>
      </c>
      <c r="N228" t="s">
        <v>40</v>
      </c>
      <c r="P228" t="s">
        <v>40</v>
      </c>
      <c r="Q228">
        <v>0</v>
      </c>
      <c r="R228">
        <v>0</v>
      </c>
      <c r="S228">
        <v>0</v>
      </c>
      <c r="T228">
        <v>6</v>
      </c>
      <c r="U228">
        <v>6</v>
      </c>
      <c r="V228">
        <v>1</v>
      </c>
      <c r="W228">
        <v>1</v>
      </c>
      <c r="X228" t="s">
        <v>40</v>
      </c>
      <c r="Y228">
        <v>3</v>
      </c>
      <c r="Z228">
        <v>88</v>
      </c>
      <c r="AA228">
        <v>1</v>
      </c>
      <c r="AB228">
        <v>0</v>
      </c>
      <c r="AC228">
        <v>658.27099999999996</v>
      </c>
      <c r="AD228">
        <v>5059</v>
      </c>
      <c r="AH228">
        <v>0</v>
      </c>
      <c r="AI228">
        <v>0</v>
      </c>
      <c r="AL228" t="s">
        <v>40</v>
      </c>
      <c r="AM228" t="str">
        <f t="shared" si="15"/>
        <v>88 1</v>
      </c>
      <c r="AN228" s="6" t="s">
        <v>1009</v>
      </c>
      <c r="AO228" s="6" t="s">
        <v>1014</v>
      </c>
      <c r="AQ228" t="s">
        <v>2154</v>
      </c>
      <c r="AR228" t="s">
        <v>2156</v>
      </c>
    </row>
    <row r="229" spans="1:44" x14ac:dyDescent="0.3">
      <c r="A229">
        <v>3869</v>
      </c>
      <c r="B229">
        <v>4</v>
      </c>
      <c r="C229">
        <v>4017324</v>
      </c>
      <c r="D229">
        <v>17359</v>
      </c>
      <c r="E229">
        <v>2</v>
      </c>
      <c r="F229">
        <v>670050</v>
      </c>
      <c r="G229" t="s">
        <v>62</v>
      </c>
      <c r="H229" t="s">
        <v>63</v>
      </c>
      <c r="I229">
        <v>0</v>
      </c>
      <c r="J229" s="1">
        <v>403886.01199999999</v>
      </c>
      <c r="K229" s="1">
        <v>280984.80099999998</v>
      </c>
      <c r="L229" s="1">
        <v>403776.23200000002</v>
      </c>
      <c r="M229" s="1">
        <v>280938.16899999999</v>
      </c>
      <c r="N229" t="s">
        <v>40</v>
      </c>
      <c r="P229" t="s">
        <v>40</v>
      </c>
      <c r="Q229">
        <v>0</v>
      </c>
      <c r="R229">
        <v>0</v>
      </c>
      <c r="S229">
        <v>0</v>
      </c>
      <c r="T229">
        <v>6</v>
      </c>
      <c r="U229">
        <v>6</v>
      </c>
      <c r="V229">
        <v>1</v>
      </c>
      <c r="W229">
        <v>1</v>
      </c>
      <c r="X229" t="s">
        <v>40</v>
      </c>
      <c r="Y229">
        <v>3</v>
      </c>
      <c r="Z229">
        <v>88</v>
      </c>
      <c r="AA229">
        <v>1</v>
      </c>
      <c r="AB229">
        <v>0</v>
      </c>
      <c r="AC229">
        <v>489.32500000000005</v>
      </c>
      <c r="AD229">
        <v>5059</v>
      </c>
      <c r="AH229">
        <v>0</v>
      </c>
      <c r="AI229">
        <v>0</v>
      </c>
      <c r="AL229" t="s">
        <v>40</v>
      </c>
      <c r="AM229" t="str">
        <f t="shared" si="15"/>
        <v>88 1</v>
      </c>
      <c r="AN229" s="6" t="s">
        <v>1008</v>
      </c>
      <c r="AO229" s="6" t="s">
        <v>1010</v>
      </c>
      <c r="AQ229" t="s">
        <v>2155</v>
      </c>
      <c r="AR229" t="s">
        <v>2157</v>
      </c>
    </row>
    <row r="230" spans="1:44" x14ac:dyDescent="0.3">
      <c r="A230">
        <v>3869</v>
      </c>
      <c r="B230">
        <v>4</v>
      </c>
      <c r="C230">
        <v>4017307</v>
      </c>
      <c r="D230">
        <v>17363</v>
      </c>
      <c r="E230">
        <v>2</v>
      </c>
      <c r="F230">
        <v>670050</v>
      </c>
      <c r="G230" t="s">
        <v>62</v>
      </c>
      <c r="H230" t="s">
        <v>63</v>
      </c>
      <c r="I230">
        <v>0</v>
      </c>
      <c r="J230" s="1">
        <v>403880.739</v>
      </c>
      <c r="K230" s="1">
        <v>280897.3</v>
      </c>
      <c r="L230" s="1">
        <v>403879.88699999999</v>
      </c>
      <c r="M230" s="1">
        <v>280896.15700000001</v>
      </c>
      <c r="N230" t="s">
        <v>40</v>
      </c>
      <c r="P230" t="s">
        <v>40</v>
      </c>
      <c r="Q230">
        <v>0</v>
      </c>
      <c r="R230">
        <v>0</v>
      </c>
      <c r="S230">
        <v>0</v>
      </c>
      <c r="T230">
        <v>6</v>
      </c>
      <c r="U230">
        <v>6</v>
      </c>
      <c r="V230">
        <v>1</v>
      </c>
      <c r="W230">
        <v>3</v>
      </c>
      <c r="X230" t="s">
        <v>40</v>
      </c>
      <c r="Y230">
        <v>3</v>
      </c>
      <c r="Z230">
        <v>5017</v>
      </c>
      <c r="AA230">
        <v>1</v>
      </c>
      <c r="AB230">
        <v>0</v>
      </c>
      <c r="AC230">
        <v>3.637</v>
      </c>
      <c r="AD230">
        <v>5059</v>
      </c>
      <c r="AH230">
        <v>0</v>
      </c>
      <c r="AI230">
        <v>0</v>
      </c>
      <c r="AL230" t="s">
        <v>40</v>
      </c>
      <c r="AM230" t="str">
        <f t="shared" si="15"/>
        <v>5017 1</v>
      </c>
      <c r="AN230" s="6" t="s">
        <v>246</v>
      </c>
      <c r="AO230" s="6" t="s">
        <v>1011</v>
      </c>
      <c r="AQ230" t="s">
        <v>700</v>
      </c>
      <c r="AR230" t="s">
        <v>2158</v>
      </c>
    </row>
    <row r="231" spans="1:44" x14ac:dyDescent="0.3">
      <c r="A231">
        <v>3869</v>
      </c>
      <c r="B231">
        <v>4</v>
      </c>
      <c r="C231">
        <v>4017323</v>
      </c>
      <c r="D231">
        <v>17416</v>
      </c>
      <c r="E231">
        <v>2</v>
      </c>
      <c r="F231">
        <v>670050</v>
      </c>
      <c r="G231" t="s">
        <v>62</v>
      </c>
      <c r="H231" t="s">
        <v>63</v>
      </c>
      <c r="I231">
        <v>0</v>
      </c>
      <c r="J231" s="1">
        <v>403885.99599999998</v>
      </c>
      <c r="K231" s="1">
        <v>280896.75900000002</v>
      </c>
      <c r="L231" s="1">
        <v>403886.01199999999</v>
      </c>
      <c r="M231" s="1">
        <v>280984.80099999998</v>
      </c>
      <c r="N231" t="s">
        <v>40</v>
      </c>
      <c r="P231" t="s">
        <v>40</v>
      </c>
      <c r="Q231">
        <v>0</v>
      </c>
      <c r="R231">
        <v>0</v>
      </c>
      <c r="S231">
        <v>0</v>
      </c>
      <c r="T231">
        <v>6</v>
      </c>
      <c r="U231">
        <v>6</v>
      </c>
      <c r="V231">
        <v>1</v>
      </c>
      <c r="W231">
        <v>1</v>
      </c>
      <c r="X231" t="s">
        <v>40</v>
      </c>
      <c r="Y231">
        <v>3</v>
      </c>
      <c r="Z231">
        <v>90</v>
      </c>
      <c r="AA231">
        <v>1</v>
      </c>
      <c r="AB231">
        <v>0</v>
      </c>
      <c r="AC231">
        <v>106.66500000000001</v>
      </c>
      <c r="AD231">
        <v>5059</v>
      </c>
      <c r="AH231">
        <v>0</v>
      </c>
      <c r="AI231">
        <v>0</v>
      </c>
      <c r="AL231" t="s">
        <v>40</v>
      </c>
      <c r="AM231" t="str">
        <f t="shared" si="15"/>
        <v>90 1</v>
      </c>
      <c r="AN231" t="str">
        <f t="shared" si="16"/>
        <v>403885.996,280896.759</v>
      </c>
      <c r="AO231" t="str">
        <f t="shared" si="17"/>
        <v>403886.012,280984.801</v>
      </c>
      <c r="AQ231" t="s">
        <v>2159</v>
      </c>
      <c r="AR231" t="s">
        <v>2157</v>
      </c>
    </row>
    <row r="232" spans="1:44" x14ac:dyDescent="0.3">
      <c r="A232">
        <v>3869</v>
      </c>
      <c r="B232">
        <v>4</v>
      </c>
      <c r="C232">
        <v>4017314</v>
      </c>
      <c r="D232">
        <v>51669</v>
      </c>
      <c r="E232">
        <v>2</v>
      </c>
      <c r="F232">
        <v>670050</v>
      </c>
      <c r="G232" t="s">
        <v>62</v>
      </c>
      <c r="H232" t="s">
        <v>63</v>
      </c>
      <c r="I232">
        <v>0</v>
      </c>
      <c r="J232" s="1">
        <v>403885.99599999998</v>
      </c>
      <c r="K232" s="1">
        <v>280896.75900000002</v>
      </c>
      <c r="L232" s="1">
        <v>403880.88299999997</v>
      </c>
      <c r="M232" s="1">
        <v>280896.82900000003</v>
      </c>
      <c r="N232" t="s">
        <v>40</v>
      </c>
      <c r="P232" t="s">
        <v>40</v>
      </c>
      <c r="Q232">
        <v>0</v>
      </c>
      <c r="R232">
        <v>0</v>
      </c>
      <c r="S232">
        <v>201103</v>
      </c>
      <c r="T232">
        <v>6</v>
      </c>
      <c r="U232">
        <v>6</v>
      </c>
      <c r="V232">
        <v>1</v>
      </c>
      <c r="W232">
        <v>1</v>
      </c>
      <c r="X232" t="s">
        <v>40</v>
      </c>
      <c r="Y232">
        <v>3</v>
      </c>
      <c r="Z232">
        <v>5023</v>
      </c>
      <c r="AA232">
        <v>1</v>
      </c>
      <c r="AB232">
        <v>0</v>
      </c>
      <c r="AC232">
        <v>7.6260000000000003</v>
      </c>
      <c r="AD232">
        <v>5059</v>
      </c>
      <c r="AE232" t="s">
        <v>64</v>
      </c>
      <c r="AH232">
        <v>0</v>
      </c>
      <c r="AI232">
        <v>0</v>
      </c>
      <c r="AL232" t="s">
        <v>40</v>
      </c>
      <c r="AM232" t="str">
        <f t="shared" si="15"/>
        <v>5023 1</v>
      </c>
      <c r="AN232" t="str">
        <f t="shared" si="16"/>
        <v>403885.996,280896.759</v>
      </c>
      <c r="AO232" t="str">
        <f t="shared" si="17"/>
        <v>403880.883,280896.829</v>
      </c>
      <c r="AQ232" t="s">
        <v>2159</v>
      </c>
      <c r="AR232" t="s">
        <v>699</v>
      </c>
    </row>
    <row r="233" spans="1:44" x14ac:dyDescent="0.3">
      <c r="A233">
        <v>3869</v>
      </c>
      <c r="B233">
        <v>4</v>
      </c>
      <c r="C233">
        <v>4026593</v>
      </c>
      <c r="D233">
        <v>22498</v>
      </c>
      <c r="E233">
        <v>2</v>
      </c>
      <c r="F233">
        <v>670050</v>
      </c>
      <c r="G233" t="s">
        <v>62</v>
      </c>
      <c r="H233" t="s">
        <v>41</v>
      </c>
      <c r="I233">
        <v>0</v>
      </c>
      <c r="J233" s="1">
        <v>405054.815</v>
      </c>
      <c r="K233" s="1">
        <v>281117.39</v>
      </c>
      <c r="L233" s="1">
        <v>405028.49900000001</v>
      </c>
      <c r="M233" s="1">
        <v>281103.65700000001</v>
      </c>
      <c r="N233" t="s">
        <v>40</v>
      </c>
      <c r="P233" t="s">
        <v>40</v>
      </c>
      <c r="Q233">
        <v>0</v>
      </c>
      <c r="R233">
        <v>0</v>
      </c>
      <c r="S233">
        <v>0</v>
      </c>
      <c r="T233">
        <v>6</v>
      </c>
      <c r="U233">
        <v>6</v>
      </c>
      <c r="V233">
        <v>1</v>
      </c>
      <c r="W233">
        <v>1</v>
      </c>
      <c r="X233" t="s">
        <v>40</v>
      </c>
      <c r="Y233">
        <v>3</v>
      </c>
      <c r="Z233">
        <v>89</v>
      </c>
      <c r="AA233">
        <v>1</v>
      </c>
      <c r="AB233">
        <v>0</v>
      </c>
      <c r="AC233">
        <v>38.298000000000002</v>
      </c>
      <c r="AD233">
        <v>5059</v>
      </c>
      <c r="AH233">
        <v>0</v>
      </c>
      <c r="AI233">
        <v>0</v>
      </c>
      <c r="AL233" t="s">
        <v>40</v>
      </c>
      <c r="AM233" t="str">
        <f t="shared" si="15"/>
        <v>89 1</v>
      </c>
      <c r="AN233" t="str">
        <f t="shared" si="16"/>
        <v>405054.815,281117.39</v>
      </c>
      <c r="AO233" t="str">
        <f t="shared" si="17"/>
        <v>405028.499,281103.657</v>
      </c>
      <c r="AQ233" t="s">
        <v>1955</v>
      </c>
      <c r="AR233" t="s">
        <v>2160</v>
      </c>
    </row>
    <row r="234" spans="1:44" x14ac:dyDescent="0.3">
      <c r="A234">
        <v>3869</v>
      </c>
      <c r="B234">
        <v>4</v>
      </c>
      <c r="C234">
        <v>4014908</v>
      </c>
      <c r="D234">
        <v>14382</v>
      </c>
      <c r="E234">
        <v>2</v>
      </c>
      <c r="F234">
        <v>670050</v>
      </c>
      <c r="G234" t="s">
        <v>62</v>
      </c>
      <c r="H234" t="s">
        <v>42</v>
      </c>
      <c r="I234">
        <v>0</v>
      </c>
      <c r="J234" s="1">
        <v>404802.141</v>
      </c>
      <c r="K234" s="1">
        <v>281022.663</v>
      </c>
      <c r="L234" s="1">
        <v>404877.70299999998</v>
      </c>
      <c r="M234" s="1">
        <v>281032.103</v>
      </c>
      <c r="N234" t="s">
        <v>40</v>
      </c>
      <c r="P234" t="s">
        <v>40</v>
      </c>
      <c r="Q234">
        <v>0</v>
      </c>
      <c r="R234">
        <v>0</v>
      </c>
      <c r="S234">
        <v>0</v>
      </c>
      <c r="T234">
        <v>6</v>
      </c>
      <c r="U234">
        <v>6</v>
      </c>
      <c r="V234">
        <v>1</v>
      </c>
      <c r="W234">
        <v>1</v>
      </c>
      <c r="X234" t="s">
        <v>40</v>
      </c>
      <c r="Y234">
        <v>3</v>
      </c>
      <c r="Z234">
        <v>88</v>
      </c>
      <c r="AA234">
        <v>1</v>
      </c>
      <c r="AB234">
        <v>0</v>
      </c>
      <c r="AC234">
        <v>77.286000000000001</v>
      </c>
      <c r="AD234">
        <v>5059</v>
      </c>
      <c r="AH234">
        <v>0</v>
      </c>
      <c r="AI234">
        <v>0</v>
      </c>
      <c r="AL234" t="s">
        <v>40</v>
      </c>
      <c r="AM234" t="str">
        <f t="shared" si="15"/>
        <v>88 1</v>
      </c>
      <c r="AN234" t="str">
        <f t="shared" si="16"/>
        <v>404802.141,281022.663</v>
      </c>
      <c r="AO234" t="str">
        <f t="shared" si="17"/>
        <v>404877.703,281032.103</v>
      </c>
      <c r="AQ234" t="s">
        <v>2161</v>
      </c>
      <c r="AR234" t="s">
        <v>2162</v>
      </c>
    </row>
    <row r="235" spans="1:44" x14ac:dyDescent="0.3">
      <c r="A235">
        <v>3869</v>
      </c>
      <c r="B235">
        <v>4</v>
      </c>
      <c r="C235">
        <v>4014992</v>
      </c>
      <c r="D235">
        <v>13269</v>
      </c>
      <c r="E235">
        <v>2</v>
      </c>
      <c r="F235">
        <v>670050</v>
      </c>
      <c r="G235" t="s">
        <v>62</v>
      </c>
      <c r="H235" t="s">
        <v>42</v>
      </c>
      <c r="I235">
        <v>0</v>
      </c>
      <c r="J235" s="1">
        <v>404461.076</v>
      </c>
      <c r="K235" s="1">
        <v>281226.68</v>
      </c>
      <c r="L235" s="1">
        <v>404461.07</v>
      </c>
      <c r="M235" s="1">
        <v>281222.962</v>
      </c>
      <c r="N235" t="s">
        <v>40</v>
      </c>
      <c r="P235" t="s">
        <v>40</v>
      </c>
      <c r="Q235">
        <v>0</v>
      </c>
      <c r="R235">
        <v>0</v>
      </c>
      <c r="S235">
        <v>0</v>
      </c>
      <c r="T235">
        <v>6</v>
      </c>
      <c r="U235">
        <v>6</v>
      </c>
      <c r="V235">
        <v>1</v>
      </c>
      <c r="W235">
        <v>1</v>
      </c>
      <c r="X235" t="s">
        <v>40</v>
      </c>
      <c r="Y235">
        <v>3</v>
      </c>
      <c r="Z235">
        <v>88</v>
      </c>
      <c r="AA235">
        <v>1</v>
      </c>
      <c r="AB235">
        <v>0</v>
      </c>
      <c r="AC235">
        <v>218.79300000000001</v>
      </c>
      <c r="AD235">
        <v>5059</v>
      </c>
      <c r="AH235">
        <v>0</v>
      </c>
      <c r="AI235">
        <v>0</v>
      </c>
      <c r="AL235" t="s">
        <v>40</v>
      </c>
      <c r="AM235" t="str">
        <f t="shared" si="15"/>
        <v>88 1</v>
      </c>
      <c r="AN235" s="6" t="s">
        <v>1644</v>
      </c>
      <c r="AO235" s="6" t="s">
        <v>1017</v>
      </c>
      <c r="AQ235" t="s">
        <v>2148</v>
      </c>
      <c r="AR235" t="s">
        <v>2163</v>
      </c>
    </row>
    <row r="236" spans="1:44" x14ac:dyDescent="0.3">
      <c r="A236">
        <v>3869</v>
      </c>
      <c r="B236">
        <v>4</v>
      </c>
      <c r="C236">
        <v>4014901</v>
      </c>
      <c r="D236">
        <v>14355</v>
      </c>
      <c r="E236">
        <v>2</v>
      </c>
      <c r="F236">
        <v>670050</v>
      </c>
      <c r="G236" t="s">
        <v>62</v>
      </c>
      <c r="H236" t="s">
        <v>42</v>
      </c>
      <c r="I236">
        <v>0</v>
      </c>
      <c r="J236" s="1">
        <v>404881.24699999997</v>
      </c>
      <c r="K236" s="1">
        <v>281000</v>
      </c>
      <c r="L236" s="1">
        <v>404874.82799999998</v>
      </c>
      <c r="M236" s="1">
        <v>281014.52500000002</v>
      </c>
      <c r="N236" t="s">
        <v>40</v>
      </c>
      <c r="P236" t="s">
        <v>40</v>
      </c>
      <c r="Q236">
        <v>0</v>
      </c>
      <c r="R236">
        <v>0</v>
      </c>
      <c r="S236">
        <v>0</v>
      </c>
      <c r="T236">
        <v>6</v>
      </c>
      <c r="U236">
        <v>6</v>
      </c>
      <c r="V236">
        <v>1</v>
      </c>
      <c r="W236">
        <v>1</v>
      </c>
      <c r="X236" t="s">
        <v>40</v>
      </c>
      <c r="Y236">
        <v>3</v>
      </c>
      <c r="Z236">
        <v>89</v>
      </c>
      <c r="AA236">
        <v>1</v>
      </c>
      <c r="AB236">
        <v>0</v>
      </c>
      <c r="AC236">
        <v>34.400000000000006</v>
      </c>
      <c r="AD236">
        <v>5059</v>
      </c>
      <c r="AH236">
        <v>0</v>
      </c>
      <c r="AI236">
        <v>0</v>
      </c>
      <c r="AL236" t="s">
        <v>40</v>
      </c>
      <c r="AM236" t="str">
        <f t="shared" si="15"/>
        <v>89 1</v>
      </c>
      <c r="AN236" s="6" t="s">
        <v>1019</v>
      </c>
      <c r="AO236" s="6" t="s">
        <v>254</v>
      </c>
      <c r="AQ236" t="s">
        <v>2164</v>
      </c>
      <c r="AR236" t="s">
        <v>702</v>
      </c>
    </row>
    <row r="237" spans="1:44" x14ac:dyDescent="0.3">
      <c r="A237">
        <v>3869</v>
      </c>
      <c r="B237">
        <v>4</v>
      </c>
      <c r="C237">
        <v>4014894</v>
      </c>
      <c r="D237">
        <v>14356</v>
      </c>
      <c r="E237">
        <v>2</v>
      </c>
      <c r="F237">
        <v>670050</v>
      </c>
      <c r="G237" t="s">
        <v>62</v>
      </c>
      <c r="H237" t="s">
        <v>42</v>
      </c>
      <c r="I237">
        <v>0</v>
      </c>
      <c r="J237" s="1">
        <v>404880.842</v>
      </c>
      <c r="K237" s="1">
        <v>281000</v>
      </c>
      <c r="L237" s="1">
        <v>404874.64199999999</v>
      </c>
      <c r="M237" s="1">
        <v>281014.16800000001</v>
      </c>
      <c r="N237" t="s">
        <v>40</v>
      </c>
      <c r="P237" t="s">
        <v>40</v>
      </c>
      <c r="Q237">
        <v>0</v>
      </c>
      <c r="R237">
        <v>0</v>
      </c>
      <c r="S237">
        <v>0</v>
      </c>
      <c r="T237">
        <v>6</v>
      </c>
      <c r="U237">
        <v>6</v>
      </c>
      <c r="V237">
        <v>1</v>
      </c>
      <c r="W237">
        <v>1</v>
      </c>
      <c r="X237" t="s">
        <v>40</v>
      </c>
      <c r="Y237">
        <v>3</v>
      </c>
      <c r="Z237">
        <v>89</v>
      </c>
      <c r="AA237">
        <v>1</v>
      </c>
      <c r="AB237">
        <v>0</v>
      </c>
      <c r="AC237">
        <v>34.620000000000005</v>
      </c>
      <c r="AD237">
        <v>5059</v>
      </c>
      <c r="AH237">
        <v>0</v>
      </c>
      <c r="AI237">
        <v>0</v>
      </c>
      <c r="AL237" t="s">
        <v>40</v>
      </c>
      <c r="AM237" t="str">
        <f t="shared" si="15"/>
        <v>89 1</v>
      </c>
      <c r="AN237" s="6" t="s">
        <v>1647</v>
      </c>
      <c r="AO237" s="6" t="s">
        <v>255</v>
      </c>
      <c r="AQ237" t="s">
        <v>2165</v>
      </c>
      <c r="AR237" t="s">
        <v>703</v>
      </c>
    </row>
    <row r="238" spans="1:44" x14ac:dyDescent="0.3">
      <c r="A238">
        <v>3869</v>
      </c>
      <c r="B238">
        <v>4</v>
      </c>
      <c r="C238">
        <v>4015045</v>
      </c>
      <c r="D238">
        <v>77182</v>
      </c>
      <c r="E238">
        <v>2</v>
      </c>
      <c r="F238">
        <v>670050</v>
      </c>
      <c r="G238" t="s">
        <v>62</v>
      </c>
      <c r="H238" t="s">
        <v>42</v>
      </c>
      <c r="I238">
        <v>0</v>
      </c>
      <c r="J238" s="1">
        <v>404370.261</v>
      </c>
      <c r="K238" s="1">
        <v>281302.984</v>
      </c>
      <c r="L238" s="1">
        <v>404370.57199999999</v>
      </c>
      <c r="M238" s="1">
        <v>281300.81</v>
      </c>
      <c r="N238" t="s">
        <v>40</v>
      </c>
      <c r="P238" t="s">
        <v>40</v>
      </c>
      <c r="Q238">
        <v>0</v>
      </c>
      <c r="R238">
        <v>0</v>
      </c>
      <c r="S238">
        <v>0</v>
      </c>
      <c r="T238">
        <v>6</v>
      </c>
      <c r="U238">
        <v>6</v>
      </c>
      <c r="V238">
        <v>1</v>
      </c>
      <c r="W238">
        <v>1</v>
      </c>
      <c r="X238" t="s">
        <v>40</v>
      </c>
      <c r="Y238">
        <v>3</v>
      </c>
      <c r="Z238">
        <v>38</v>
      </c>
      <c r="AA238">
        <v>1</v>
      </c>
      <c r="AB238">
        <v>0</v>
      </c>
      <c r="AC238">
        <v>2.1970000000000001</v>
      </c>
      <c r="AD238">
        <v>5059</v>
      </c>
      <c r="AH238">
        <v>0</v>
      </c>
      <c r="AI238">
        <v>0</v>
      </c>
      <c r="AL238" t="s">
        <v>40</v>
      </c>
      <c r="AM238" t="str">
        <f t="shared" si="15"/>
        <v>38 1</v>
      </c>
      <c r="AN238" t="str">
        <f t="shared" si="16"/>
        <v>404370.261,281302.984</v>
      </c>
      <c r="AO238" t="str">
        <f t="shared" si="17"/>
        <v>404370.572,281300.81</v>
      </c>
      <c r="AQ238" t="s">
        <v>2156</v>
      </c>
      <c r="AR238" t="s">
        <v>701</v>
      </c>
    </row>
    <row r="239" spans="1:44" x14ac:dyDescent="0.3">
      <c r="A239">
        <v>3869</v>
      </c>
      <c r="B239">
        <v>4</v>
      </c>
      <c r="C239">
        <v>4015089</v>
      </c>
      <c r="D239">
        <v>77203</v>
      </c>
      <c r="E239">
        <v>2</v>
      </c>
      <c r="F239">
        <v>670050</v>
      </c>
      <c r="G239" t="s">
        <v>62</v>
      </c>
      <c r="H239" t="s">
        <v>42</v>
      </c>
      <c r="I239">
        <v>0</v>
      </c>
      <c r="J239" s="1">
        <v>404062.728</v>
      </c>
      <c r="K239" s="1">
        <v>281090.68199999997</v>
      </c>
      <c r="L239" s="1">
        <v>404009.07299999997</v>
      </c>
      <c r="M239" s="1">
        <v>281094.88699999999</v>
      </c>
      <c r="N239" t="s">
        <v>40</v>
      </c>
      <c r="P239" t="s">
        <v>40</v>
      </c>
      <c r="Q239">
        <v>0</v>
      </c>
      <c r="R239">
        <v>0</v>
      </c>
      <c r="S239">
        <v>0</v>
      </c>
      <c r="T239">
        <v>6</v>
      </c>
      <c r="U239">
        <v>6</v>
      </c>
      <c r="V239">
        <v>1</v>
      </c>
      <c r="W239">
        <v>3</v>
      </c>
      <c r="X239" t="s">
        <v>40</v>
      </c>
      <c r="Y239">
        <v>3</v>
      </c>
      <c r="Z239">
        <v>86</v>
      </c>
      <c r="AA239">
        <v>1</v>
      </c>
      <c r="AB239">
        <v>0</v>
      </c>
      <c r="AC239">
        <v>78.870999999999995</v>
      </c>
      <c r="AD239">
        <v>5059</v>
      </c>
      <c r="AH239">
        <v>0</v>
      </c>
      <c r="AI239">
        <v>0</v>
      </c>
      <c r="AL239" t="s">
        <v>40</v>
      </c>
      <c r="AM239" t="str">
        <f t="shared" si="15"/>
        <v>86 1</v>
      </c>
      <c r="AN239" t="str">
        <f t="shared" si="16"/>
        <v>404062.728,281090.682</v>
      </c>
      <c r="AO239" t="str">
        <f t="shared" si="17"/>
        <v>404009.073,281094.887</v>
      </c>
      <c r="AQ239" t="s">
        <v>2166</v>
      </c>
      <c r="AR239" t="s">
        <v>700</v>
      </c>
    </row>
    <row r="240" spans="1:44" x14ac:dyDescent="0.3">
      <c r="A240">
        <v>3869</v>
      </c>
      <c r="B240">
        <v>4</v>
      </c>
      <c r="C240">
        <v>4017309</v>
      </c>
      <c r="D240">
        <v>51666</v>
      </c>
      <c r="E240">
        <v>2</v>
      </c>
      <c r="F240">
        <v>670050</v>
      </c>
      <c r="G240" t="s">
        <v>62</v>
      </c>
      <c r="H240" t="s">
        <v>63</v>
      </c>
      <c r="I240">
        <v>0</v>
      </c>
      <c r="J240" s="1">
        <v>403882.03499999997</v>
      </c>
      <c r="K240" s="1">
        <v>280895.01400000002</v>
      </c>
      <c r="L240" s="1">
        <v>403879.90399999998</v>
      </c>
      <c r="M240" s="1">
        <v>280894.29499999998</v>
      </c>
      <c r="N240" t="s">
        <v>40</v>
      </c>
      <c r="P240" t="s">
        <v>40</v>
      </c>
      <c r="Q240">
        <v>0</v>
      </c>
      <c r="R240">
        <v>0</v>
      </c>
      <c r="S240">
        <v>0</v>
      </c>
      <c r="T240">
        <v>6</v>
      </c>
      <c r="U240">
        <v>6</v>
      </c>
      <c r="V240">
        <v>1</v>
      </c>
      <c r="W240">
        <v>3</v>
      </c>
      <c r="X240" t="s">
        <v>40</v>
      </c>
      <c r="Y240">
        <v>3</v>
      </c>
      <c r="Z240">
        <v>5017</v>
      </c>
      <c r="AA240">
        <v>1</v>
      </c>
      <c r="AB240">
        <v>0</v>
      </c>
      <c r="AC240">
        <v>2.8639999999999999</v>
      </c>
      <c r="AD240">
        <v>5059</v>
      </c>
      <c r="AH240">
        <v>0</v>
      </c>
      <c r="AI240">
        <v>0</v>
      </c>
      <c r="AL240" t="s">
        <v>40</v>
      </c>
      <c r="AM240" t="str">
        <f t="shared" si="15"/>
        <v>5017 1</v>
      </c>
      <c r="AN240" t="str">
        <f t="shared" si="16"/>
        <v>403882.035,280895.014</v>
      </c>
      <c r="AO240" t="str">
        <f t="shared" si="17"/>
        <v>403879.904,280894.295</v>
      </c>
      <c r="AQ240" t="s">
        <v>2167</v>
      </c>
      <c r="AR240" t="s">
        <v>700</v>
      </c>
    </row>
    <row r="241" spans="1:44" x14ac:dyDescent="0.3">
      <c r="A241">
        <v>3869</v>
      </c>
      <c r="B241">
        <v>4</v>
      </c>
      <c r="C241">
        <v>4014932</v>
      </c>
      <c r="D241">
        <v>14350</v>
      </c>
      <c r="E241">
        <v>2</v>
      </c>
      <c r="F241">
        <v>670050</v>
      </c>
      <c r="G241" t="s">
        <v>62</v>
      </c>
      <c r="H241" t="s">
        <v>42</v>
      </c>
      <c r="I241">
        <v>0</v>
      </c>
      <c r="J241" s="1">
        <v>404707.261</v>
      </c>
      <c r="K241" s="1">
        <v>281000</v>
      </c>
      <c r="L241" s="1">
        <v>404799.73700000002</v>
      </c>
      <c r="M241" s="1">
        <v>281022.821</v>
      </c>
      <c r="N241" t="s">
        <v>40</v>
      </c>
      <c r="P241" t="s">
        <v>40</v>
      </c>
      <c r="Q241">
        <v>0</v>
      </c>
      <c r="R241">
        <v>0</v>
      </c>
      <c r="S241">
        <v>0</v>
      </c>
      <c r="T241">
        <v>6</v>
      </c>
      <c r="U241">
        <v>6</v>
      </c>
      <c r="V241">
        <v>1</v>
      </c>
      <c r="W241">
        <v>1</v>
      </c>
      <c r="X241" t="s">
        <v>40</v>
      </c>
      <c r="Y241">
        <v>3</v>
      </c>
      <c r="Z241">
        <v>88</v>
      </c>
      <c r="AA241">
        <v>1</v>
      </c>
      <c r="AB241">
        <v>0</v>
      </c>
      <c r="AC241">
        <v>474.75099999999998</v>
      </c>
      <c r="AD241">
        <v>5059</v>
      </c>
      <c r="AH241">
        <v>0</v>
      </c>
      <c r="AI241">
        <v>0</v>
      </c>
      <c r="AL241" t="s">
        <v>40</v>
      </c>
      <c r="AM241" t="str">
        <f t="shared" si="15"/>
        <v>88 1</v>
      </c>
      <c r="AN241" s="6" t="s">
        <v>1003</v>
      </c>
      <c r="AO241" s="6" t="s">
        <v>1020</v>
      </c>
      <c r="AQ241" t="s">
        <v>2149</v>
      </c>
      <c r="AR241" t="s">
        <v>2168</v>
      </c>
    </row>
    <row r="242" spans="1:44" x14ac:dyDescent="0.3">
      <c r="A242">
        <v>3869</v>
      </c>
      <c r="B242">
        <v>4</v>
      </c>
      <c r="C242">
        <v>4015028</v>
      </c>
      <c r="D242">
        <v>77181</v>
      </c>
      <c r="E242">
        <v>2</v>
      </c>
      <c r="F242">
        <v>670050</v>
      </c>
      <c r="G242" t="s">
        <v>62</v>
      </c>
      <c r="H242" t="s">
        <v>42</v>
      </c>
      <c r="I242">
        <v>0</v>
      </c>
      <c r="J242" s="1">
        <v>404370.65399999998</v>
      </c>
      <c r="K242" s="1">
        <v>281303.05900000001</v>
      </c>
      <c r="L242" s="1">
        <v>404371.016</v>
      </c>
      <c r="M242" s="1">
        <v>281300.91800000001</v>
      </c>
      <c r="N242" t="s">
        <v>40</v>
      </c>
      <c r="P242" t="s">
        <v>40</v>
      </c>
      <c r="Q242">
        <v>0</v>
      </c>
      <c r="R242">
        <v>0</v>
      </c>
      <c r="S242">
        <v>0</v>
      </c>
      <c r="T242">
        <v>6</v>
      </c>
      <c r="U242">
        <v>6</v>
      </c>
      <c r="V242">
        <v>1</v>
      </c>
      <c r="W242">
        <v>1</v>
      </c>
      <c r="X242" t="s">
        <v>40</v>
      </c>
      <c r="Y242">
        <v>3</v>
      </c>
      <c r="Z242">
        <v>38</v>
      </c>
      <c r="AA242">
        <v>1</v>
      </c>
      <c r="AB242">
        <v>0</v>
      </c>
      <c r="AC242">
        <v>2.1709999999999998</v>
      </c>
      <c r="AD242">
        <v>5059</v>
      </c>
      <c r="AH242">
        <v>0</v>
      </c>
      <c r="AI242">
        <v>0</v>
      </c>
      <c r="AL242" t="s">
        <v>40</v>
      </c>
      <c r="AM242" t="str">
        <f t="shared" si="15"/>
        <v>38 1</v>
      </c>
      <c r="AN242" t="str">
        <f t="shared" si="16"/>
        <v>404370.654,281303.059</v>
      </c>
      <c r="AO242" t="str">
        <f t="shared" si="17"/>
        <v>404371.016,281300.918</v>
      </c>
      <c r="AQ242" t="s">
        <v>2163</v>
      </c>
      <c r="AR242" t="s">
        <v>700</v>
      </c>
    </row>
    <row r="243" spans="1:44" x14ac:dyDescent="0.3">
      <c r="A243">
        <v>3869</v>
      </c>
      <c r="B243">
        <v>4</v>
      </c>
      <c r="C243">
        <v>4014887</v>
      </c>
      <c r="D243">
        <v>14385</v>
      </c>
      <c r="E243">
        <v>2</v>
      </c>
      <c r="F243">
        <v>670050</v>
      </c>
      <c r="G243" t="s">
        <v>62</v>
      </c>
      <c r="H243" t="s">
        <v>42</v>
      </c>
      <c r="I243">
        <v>0</v>
      </c>
      <c r="J243" s="1">
        <v>404894.598</v>
      </c>
      <c r="K243" s="1">
        <v>281030.78999999998</v>
      </c>
      <c r="L243" s="1">
        <v>404882.38699999999</v>
      </c>
      <c r="M243" s="1">
        <v>281031.5</v>
      </c>
      <c r="N243" t="s">
        <v>40</v>
      </c>
      <c r="P243" t="s">
        <v>40</v>
      </c>
      <c r="Q243">
        <v>0</v>
      </c>
      <c r="R243">
        <v>0</v>
      </c>
      <c r="S243">
        <v>0</v>
      </c>
      <c r="T243">
        <v>6</v>
      </c>
      <c r="U243">
        <v>6</v>
      </c>
      <c r="V243">
        <v>1</v>
      </c>
      <c r="W243">
        <v>1</v>
      </c>
      <c r="X243" t="s">
        <v>40</v>
      </c>
      <c r="Y243">
        <v>3</v>
      </c>
      <c r="Z243">
        <v>88</v>
      </c>
      <c r="AA243">
        <v>1</v>
      </c>
      <c r="AB243">
        <v>0</v>
      </c>
      <c r="AC243">
        <v>169.35700000000003</v>
      </c>
      <c r="AD243">
        <v>5059</v>
      </c>
      <c r="AH243">
        <v>0</v>
      </c>
      <c r="AI243">
        <v>0</v>
      </c>
      <c r="AL243" t="s">
        <v>40</v>
      </c>
      <c r="AM243" t="str">
        <f t="shared" ref="AM243:AM273" si="18">_xlfn.CONCAT(Z243, " ",AA243)</f>
        <v>88 1</v>
      </c>
      <c r="AN243" s="6" t="s">
        <v>1018</v>
      </c>
      <c r="AO243" s="6" t="s">
        <v>1005</v>
      </c>
      <c r="AQ243" t="s">
        <v>2169</v>
      </c>
      <c r="AR243" t="s">
        <v>2160</v>
      </c>
    </row>
    <row r="244" spans="1:44" x14ac:dyDescent="0.3">
      <c r="A244">
        <v>3869</v>
      </c>
      <c r="B244">
        <v>4</v>
      </c>
      <c r="C244">
        <v>4014888</v>
      </c>
      <c r="D244">
        <v>14372</v>
      </c>
      <c r="E244">
        <v>2</v>
      </c>
      <c r="F244">
        <v>670050</v>
      </c>
      <c r="G244" t="s">
        <v>62</v>
      </c>
      <c r="H244" t="s">
        <v>42</v>
      </c>
      <c r="I244">
        <v>0</v>
      </c>
      <c r="J244" s="1">
        <v>404882.38699999999</v>
      </c>
      <c r="K244" s="1">
        <v>281031.5</v>
      </c>
      <c r="L244" s="1">
        <v>404874.64199999999</v>
      </c>
      <c r="M244" s="1">
        <v>281014.16800000001</v>
      </c>
      <c r="N244" t="s">
        <v>40</v>
      </c>
      <c r="P244" t="s">
        <v>40</v>
      </c>
      <c r="Q244">
        <v>0</v>
      </c>
      <c r="R244">
        <v>0</v>
      </c>
      <c r="S244">
        <v>0</v>
      </c>
      <c r="T244">
        <v>6</v>
      </c>
      <c r="U244">
        <v>6</v>
      </c>
      <c r="V244">
        <v>1</v>
      </c>
      <c r="W244">
        <v>1</v>
      </c>
      <c r="X244" t="s">
        <v>40</v>
      </c>
      <c r="Y244">
        <v>3</v>
      </c>
      <c r="Z244">
        <v>38</v>
      </c>
      <c r="AA244">
        <v>5001</v>
      </c>
      <c r="AB244">
        <v>0</v>
      </c>
      <c r="AC244">
        <v>25.279</v>
      </c>
      <c r="AD244">
        <v>5059</v>
      </c>
      <c r="AH244">
        <v>0</v>
      </c>
      <c r="AI244">
        <v>0</v>
      </c>
      <c r="AL244" t="s">
        <v>40</v>
      </c>
      <c r="AM244" t="str">
        <f t="shared" si="18"/>
        <v>38 5001</v>
      </c>
      <c r="AN244" t="str">
        <f t="shared" ref="AN244:AN274" si="19">ROUND(J244,3)&amp;","&amp;ROUND(K244,3)</f>
        <v>404882.387,281031.5</v>
      </c>
      <c r="AO244" t="str">
        <f t="shared" ref="AO244:AO274" si="20">ROUND(L244,3)&amp;","&amp;ROUND(M244,3)</f>
        <v>404874.642,281014.168</v>
      </c>
      <c r="AQ244" t="s">
        <v>2169</v>
      </c>
      <c r="AR244" t="s">
        <v>2165</v>
      </c>
    </row>
    <row r="245" spans="1:44" x14ac:dyDescent="0.3">
      <c r="A245">
        <v>3869</v>
      </c>
      <c r="B245">
        <v>4</v>
      </c>
      <c r="C245">
        <v>4014902</v>
      </c>
      <c r="D245">
        <v>14373</v>
      </c>
      <c r="E245">
        <v>2</v>
      </c>
      <c r="F245">
        <v>670050</v>
      </c>
      <c r="G245" t="s">
        <v>62</v>
      </c>
      <c r="H245" t="s">
        <v>42</v>
      </c>
      <c r="I245">
        <v>0</v>
      </c>
      <c r="J245" s="1">
        <v>404874.82799999998</v>
      </c>
      <c r="K245" s="1">
        <v>281014.52500000002</v>
      </c>
      <c r="L245" s="1">
        <v>404877.70299999998</v>
      </c>
      <c r="M245" s="1">
        <v>281032.103</v>
      </c>
      <c r="N245" t="s">
        <v>40</v>
      </c>
      <c r="P245" t="s">
        <v>40</v>
      </c>
      <c r="Q245">
        <v>0</v>
      </c>
      <c r="R245">
        <v>0</v>
      </c>
      <c r="S245">
        <v>0</v>
      </c>
      <c r="T245">
        <v>6</v>
      </c>
      <c r="U245">
        <v>6</v>
      </c>
      <c r="V245">
        <v>1</v>
      </c>
      <c r="W245">
        <v>1</v>
      </c>
      <c r="X245" t="s">
        <v>40</v>
      </c>
      <c r="Y245">
        <v>3</v>
      </c>
      <c r="Z245">
        <v>38</v>
      </c>
      <c r="AA245">
        <v>5001</v>
      </c>
      <c r="AB245">
        <v>0</v>
      </c>
      <c r="AC245">
        <v>24.207999999999998</v>
      </c>
      <c r="AD245">
        <v>5059</v>
      </c>
      <c r="AH245">
        <v>0</v>
      </c>
      <c r="AI245">
        <v>0</v>
      </c>
      <c r="AL245" t="s">
        <v>40</v>
      </c>
      <c r="AM245" t="str">
        <f t="shared" si="18"/>
        <v>38 5001</v>
      </c>
      <c r="AN245" t="str">
        <f t="shared" si="19"/>
        <v>404874.828,281014.525</v>
      </c>
      <c r="AO245" t="str">
        <f t="shared" si="20"/>
        <v>404877.703,281032.103</v>
      </c>
      <c r="AQ245" t="s">
        <v>2164</v>
      </c>
      <c r="AR245" t="s">
        <v>2162</v>
      </c>
    </row>
    <row r="246" spans="1:44" x14ac:dyDescent="0.3">
      <c r="A246">
        <v>3869</v>
      </c>
      <c r="B246">
        <v>4</v>
      </c>
      <c r="C246">
        <v>4014930</v>
      </c>
      <c r="D246">
        <v>75674</v>
      </c>
      <c r="E246">
        <v>2</v>
      </c>
      <c r="F246">
        <v>670050</v>
      </c>
      <c r="G246" t="s">
        <v>62</v>
      </c>
      <c r="H246" t="s">
        <v>42</v>
      </c>
      <c r="I246">
        <v>0</v>
      </c>
      <c r="J246" s="1">
        <v>404799.73700000002</v>
      </c>
      <c r="K246" s="1">
        <v>281022.821</v>
      </c>
      <c r="L246" s="1">
        <v>404777.31900000002</v>
      </c>
      <c r="M246" s="1">
        <v>281081.446</v>
      </c>
      <c r="N246" t="s">
        <v>40</v>
      </c>
      <c r="P246" t="s">
        <v>40</v>
      </c>
      <c r="Q246">
        <v>0</v>
      </c>
      <c r="R246">
        <v>0</v>
      </c>
      <c r="S246">
        <v>200612</v>
      </c>
      <c r="T246">
        <v>6</v>
      </c>
      <c r="U246">
        <v>6</v>
      </c>
      <c r="V246">
        <v>1</v>
      </c>
      <c r="W246">
        <v>1</v>
      </c>
      <c r="X246" t="s">
        <v>40</v>
      </c>
      <c r="Y246">
        <v>3</v>
      </c>
      <c r="Z246">
        <v>5028</v>
      </c>
      <c r="AA246">
        <v>1</v>
      </c>
      <c r="AB246">
        <v>0</v>
      </c>
      <c r="AC246">
        <v>82.912000000000006</v>
      </c>
      <c r="AD246">
        <v>5059</v>
      </c>
      <c r="AH246">
        <v>0</v>
      </c>
      <c r="AI246">
        <v>0</v>
      </c>
      <c r="AL246" t="s">
        <v>40</v>
      </c>
      <c r="AM246" t="str">
        <f t="shared" si="18"/>
        <v>5028 1</v>
      </c>
      <c r="AN246" t="str">
        <f t="shared" si="19"/>
        <v>404799.737,281022.821</v>
      </c>
      <c r="AO246" t="str">
        <f t="shared" si="20"/>
        <v>404777.319,281081.446</v>
      </c>
      <c r="AQ246" t="s">
        <v>2168</v>
      </c>
      <c r="AR246" t="s">
        <v>701</v>
      </c>
    </row>
    <row r="247" spans="1:44" x14ac:dyDescent="0.3">
      <c r="A247">
        <v>3869</v>
      </c>
      <c r="B247">
        <v>4</v>
      </c>
      <c r="C247">
        <v>4014913</v>
      </c>
      <c r="D247">
        <v>75675</v>
      </c>
      <c r="E247">
        <v>2</v>
      </c>
      <c r="F247">
        <v>670050</v>
      </c>
      <c r="G247" t="s">
        <v>62</v>
      </c>
      <c r="H247" t="s">
        <v>42</v>
      </c>
      <c r="I247">
        <v>0</v>
      </c>
      <c r="J247" s="1">
        <v>404802.141</v>
      </c>
      <c r="K247" s="1">
        <v>281022.663</v>
      </c>
      <c r="L247" s="1">
        <v>404776.99900000001</v>
      </c>
      <c r="M247" s="1">
        <v>281081.37099999998</v>
      </c>
      <c r="N247" t="s">
        <v>40</v>
      </c>
      <c r="P247" t="s">
        <v>40</v>
      </c>
      <c r="Q247">
        <v>0</v>
      </c>
      <c r="R247">
        <v>0</v>
      </c>
      <c r="S247">
        <v>200612</v>
      </c>
      <c r="T247">
        <v>6</v>
      </c>
      <c r="U247">
        <v>6</v>
      </c>
      <c r="V247">
        <v>1</v>
      </c>
      <c r="W247">
        <v>1</v>
      </c>
      <c r="X247" t="s">
        <v>40</v>
      </c>
      <c r="Y247">
        <v>3</v>
      </c>
      <c r="Z247">
        <v>5028</v>
      </c>
      <c r="AA247">
        <v>1</v>
      </c>
      <c r="AB247">
        <v>0</v>
      </c>
      <c r="AC247">
        <v>85.328999999999994</v>
      </c>
      <c r="AD247">
        <v>5059</v>
      </c>
      <c r="AH247">
        <v>0</v>
      </c>
      <c r="AI247">
        <v>0</v>
      </c>
      <c r="AL247" t="s">
        <v>40</v>
      </c>
      <c r="AM247" t="str">
        <f t="shared" si="18"/>
        <v>5028 1</v>
      </c>
      <c r="AN247" t="str">
        <f t="shared" si="19"/>
        <v>404802.141,281022.663</v>
      </c>
      <c r="AO247" t="str">
        <f t="shared" si="20"/>
        <v>404776.999,281081.371</v>
      </c>
      <c r="AQ247" t="s">
        <v>2161</v>
      </c>
      <c r="AR247" t="s">
        <v>702</v>
      </c>
    </row>
    <row r="248" spans="1:44" x14ac:dyDescent="0.3">
      <c r="A248">
        <v>3869</v>
      </c>
      <c r="B248">
        <v>4</v>
      </c>
      <c r="C248">
        <v>4020056</v>
      </c>
      <c r="D248">
        <v>15821</v>
      </c>
      <c r="E248">
        <v>2</v>
      </c>
      <c r="F248">
        <v>670050</v>
      </c>
      <c r="G248" t="s">
        <v>66</v>
      </c>
      <c r="H248" t="s">
        <v>67</v>
      </c>
      <c r="I248">
        <v>0</v>
      </c>
      <c r="J248" s="1">
        <v>406508.41399999999</v>
      </c>
      <c r="K248" s="1">
        <v>284324.69699999999</v>
      </c>
      <c r="L248" s="1">
        <v>406445.88500000001</v>
      </c>
      <c r="M248" s="1">
        <v>284196.37800000003</v>
      </c>
      <c r="N248" t="s">
        <v>40</v>
      </c>
      <c r="P248" t="s">
        <v>40</v>
      </c>
      <c r="Q248">
        <v>0</v>
      </c>
      <c r="R248">
        <v>0</v>
      </c>
      <c r="S248">
        <v>0</v>
      </c>
      <c r="T248">
        <v>7</v>
      </c>
      <c r="U248">
        <v>6</v>
      </c>
      <c r="V248">
        <v>1</v>
      </c>
      <c r="W248">
        <v>1</v>
      </c>
      <c r="X248" t="s">
        <v>40</v>
      </c>
      <c r="Y248">
        <v>3</v>
      </c>
      <c r="Z248">
        <v>255</v>
      </c>
      <c r="AA248">
        <v>18</v>
      </c>
      <c r="AB248">
        <v>0</v>
      </c>
      <c r="AC248">
        <v>164.32499999999999</v>
      </c>
      <c r="AD248">
        <v>5059</v>
      </c>
      <c r="AH248">
        <v>0</v>
      </c>
      <c r="AI248">
        <v>0</v>
      </c>
      <c r="AL248" t="s">
        <v>40</v>
      </c>
      <c r="AM248" t="str">
        <f t="shared" si="18"/>
        <v>255 18</v>
      </c>
      <c r="AN248" s="6" t="s">
        <v>1077</v>
      </c>
      <c r="AO248" s="6" t="s">
        <v>1022</v>
      </c>
      <c r="AQ248" t="s">
        <v>2170</v>
      </c>
      <c r="AR248" t="s">
        <v>1956</v>
      </c>
    </row>
    <row r="249" spans="1:44" x14ac:dyDescent="0.3">
      <c r="A249">
        <v>3869</v>
      </c>
      <c r="B249">
        <v>4</v>
      </c>
      <c r="C249">
        <v>4019568</v>
      </c>
      <c r="D249">
        <v>38713</v>
      </c>
      <c r="E249">
        <v>2</v>
      </c>
      <c r="F249">
        <v>670050</v>
      </c>
      <c r="G249" t="s">
        <v>66</v>
      </c>
      <c r="H249" t="s">
        <v>54</v>
      </c>
      <c r="I249">
        <v>0</v>
      </c>
      <c r="J249" s="1">
        <v>405717.84</v>
      </c>
      <c r="K249" s="1">
        <v>282084.28499999997</v>
      </c>
      <c r="L249" s="1">
        <v>405702.935</v>
      </c>
      <c r="M249" s="1">
        <v>282100.83100000001</v>
      </c>
      <c r="N249" t="s">
        <v>40</v>
      </c>
      <c r="P249" t="s">
        <v>40</v>
      </c>
      <c r="Q249">
        <v>0</v>
      </c>
      <c r="R249">
        <v>0</v>
      </c>
      <c r="S249">
        <v>0</v>
      </c>
      <c r="T249">
        <v>6</v>
      </c>
      <c r="U249">
        <v>6</v>
      </c>
      <c r="V249">
        <v>1</v>
      </c>
      <c r="W249">
        <v>3</v>
      </c>
      <c r="X249" t="s">
        <v>40</v>
      </c>
      <c r="Y249">
        <v>3</v>
      </c>
      <c r="Z249">
        <v>90</v>
      </c>
      <c r="AA249">
        <v>1</v>
      </c>
      <c r="AB249">
        <v>0</v>
      </c>
      <c r="AC249">
        <v>25.827999999999999</v>
      </c>
      <c r="AD249">
        <v>5059</v>
      </c>
      <c r="AH249">
        <v>0</v>
      </c>
      <c r="AI249">
        <v>0</v>
      </c>
      <c r="AL249" t="s">
        <v>40</v>
      </c>
      <c r="AM249" t="str">
        <f t="shared" si="18"/>
        <v>90 1</v>
      </c>
      <c r="AN249" t="str">
        <f t="shared" si="19"/>
        <v>405717.84,282084.285</v>
      </c>
      <c r="AO249" t="str">
        <f t="shared" si="20"/>
        <v>405702.935,282100.831</v>
      </c>
      <c r="AQ249" t="s">
        <v>1891</v>
      </c>
      <c r="AR249" t="s">
        <v>706</v>
      </c>
    </row>
    <row r="250" spans="1:44" x14ac:dyDescent="0.3">
      <c r="A250">
        <v>3869</v>
      </c>
      <c r="B250">
        <v>4</v>
      </c>
      <c r="C250">
        <v>4019962</v>
      </c>
      <c r="D250">
        <v>15824</v>
      </c>
      <c r="E250">
        <v>2</v>
      </c>
      <c r="F250">
        <v>670050</v>
      </c>
      <c r="G250" t="s">
        <v>66</v>
      </c>
      <c r="H250" t="s">
        <v>67</v>
      </c>
      <c r="I250">
        <v>0</v>
      </c>
      <c r="J250" s="1">
        <v>406435.82699999999</v>
      </c>
      <c r="K250" s="1">
        <v>284174.44</v>
      </c>
      <c r="L250" s="1">
        <v>406594.37800000003</v>
      </c>
      <c r="M250" s="1">
        <v>284123.136</v>
      </c>
      <c r="N250" t="s">
        <v>40</v>
      </c>
      <c r="P250" t="s">
        <v>40</v>
      </c>
      <c r="Q250">
        <v>0</v>
      </c>
      <c r="R250">
        <v>0</v>
      </c>
      <c r="S250">
        <v>0</v>
      </c>
      <c r="T250">
        <v>6</v>
      </c>
      <c r="U250">
        <v>6</v>
      </c>
      <c r="V250">
        <v>1</v>
      </c>
      <c r="W250">
        <v>1</v>
      </c>
      <c r="X250" t="s">
        <v>40</v>
      </c>
      <c r="Y250">
        <v>3</v>
      </c>
      <c r="Z250">
        <v>52</v>
      </c>
      <c r="AA250">
        <v>1</v>
      </c>
      <c r="AB250">
        <v>0</v>
      </c>
      <c r="AC250">
        <v>182.22499999999999</v>
      </c>
      <c r="AD250">
        <v>5059</v>
      </c>
      <c r="AH250">
        <v>0</v>
      </c>
      <c r="AI250">
        <v>0</v>
      </c>
      <c r="AL250" t="s">
        <v>40</v>
      </c>
      <c r="AM250" t="str">
        <f t="shared" si="18"/>
        <v>52 1</v>
      </c>
      <c r="AN250" s="6" t="s">
        <v>1073</v>
      </c>
      <c r="AO250" s="6" t="s">
        <v>1078</v>
      </c>
      <c r="AQ250" t="s">
        <v>2171</v>
      </c>
      <c r="AR250" t="s">
        <v>2172</v>
      </c>
    </row>
    <row r="251" spans="1:44" x14ac:dyDescent="0.3">
      <c r="A251">
        <v>3869</v>
      </c>
      <c r="B251">
        <v>4</v>
      </c>
      <c r="C251">
        <v>4019957</v>
      </c>
      <c r="D251">
        <v>68836</v>
      </c>
      <c r="E251">
        <v>2</v>
      </c>
      <c r="F251">
        <v>670050</v>
      </c>
      <c r="G251" t="s">
        <v>66</v>
      </c>
      <c r="H251" t="s">
        <v>67</v>
      </c>
      <c r="I251">
        <v>0</v>
      </c>
      <c r="J251" s="1">
        <v>406441.027</v>
      </c>
      <c r="K251" s="1">
        <v>284185.82500000001</v>
      </c>
      <c r="L251" s="1">
        <v>406389.90299999999</v>
      </c>
      <c r="M251" s="1">
        <v>284218.81</v>
      </c>
      <c r="N251" t="s">
        <v>40</v>
      </c>
      <c r="P251" t="s">
        <v>40</v>
      </c>
      <c r="Q251">
        <v>0</v>
      </c>
      <c r="R251">
        <v>0</v>
      </c>
      <c r="S251">
        <v>0</v>
      </c>
      <c r="T251">
        <v>6</v>
      </c>
      <c r="U251">
        <v>6</v>
      </c>
      <c r="V251">
        <v>1</v>
      </c>
      <c r="W251">
        <v>3</v>
      </c>
      <c r="X251" t="s">
        <v>40</v>
      </c>
      <c r="Y251">
        <v>3</v>
      </c>
      <c r="Z251">
        <v>49</v>
      </c>
      <c r="AA251">
        <v>1</v>
      </c>
      <c r="AB251">
        <v>0</v>
      </c>
      <c r="AC251">
        <v>80.852000000000004</v>
      </c>
      <c r="AD251">
        <v>5059</v>
      </c>
      <c r="AH251">
        <v>0</v>
      </c>
      <c r="AI251">
        <v>0</v>
      </c>
      <c r="AL251" t="s">
        <v>40</v>
      </c>
      <c r="AM251" t="str">
        <f t="shared" si="18"/>
        <v>49 1</v>
      </c>
      <c r="AN251" t="str">
        <f t="shared" si="19"/>
        <v>406441.027,284185.825</v>
      </c>
      <c r="AO251" t="str">
        <f t="shared" si="20"/>
        <v>406389.903,284218.81</v>
      </c>
      <c r="AQ251" t="s">
        <v>1956</v>
      </c>
      <c r="AR251" t="s">
        <v>707</v>
      </c>
    </row>
    <row r="252" spans="1:44" x14ac:dyDescent="0.3">
      <c r="A252">
        <v>3869</v>
      </c>
      <c r="B252">
        <v>4</v>
      </c>
      <c r="C252">
        <v>4010555</v>
      </c>
      <c r="D252">
        <v>10325</v>
      </c>
      <c r="E252">
        <v>2</v>
      </c>
      <c r="F252">
        <v>670050</v>
      </c>
      <c r="G252" t="s">
        <v>66</v>
      </c>
      <c r="H252" t="s">
        <v>68</v>
      </c>
      <c r="I252">
        <v>0</v>
      </c>
      <c r="J252" s="1">
        <v>405896.40700000001</v>
      </c>
      <c r="K252" s="1">
        <v>283107.41399999999</v>
      </c>
      <c r="L252" s="1">
        <v>405895.07799999998</v>
      </c>
      <c r="M252" s="1">
        <v>283107.18800000002</v>
      </c>
      <c r="N252" t="s">
        <v>40</v>
      </c>
      <c r="P252" t="s">
        <v>40</v>
      </c>
      <c r="Q252">
        <v>0</v>
      </c>
      <c r="R252">
        <v>0</v>
      </c>
      <c r="S252">
        <v>0</v>
      </c>
      <c r="T252">
        <v>6</v>
      </c>
      <c r="U252">
        <v>6</v>
      </c>
      <c r="V252">
        <v>1</v>
      </c>
      <c r="W252">
        <v>1</v>
      </c>
      <c r="X252" t="s">
        <v>40</v>
      </c>
      <c r="Y252">
        <v>3</v>
      </c>
      <c r="Z252">
        <v>89</v>
      </c>
      <c r="AA252">
        <v>1</v>
      </c>
      <c r="AB252">
        <v>0</v>
      </c>
      <c r="AC252">
        <v>1.3480000000000001</v>
      </c>
      <c r="AD252">
        <v>5059</v>
      </c>
      <c r="AH252">
        <v>0</v>
      </c>
      <c r="AI252">
        <v>0</v>
      </c>
      <c r="AL252" t="s">
        <v>40</v>
      </c>
      <c r="AM252" t="str">
        <f t="shared" si="18"/>
        <v>89 1</v>
      </c>
      <c r="AN252" t="str">
        <f t="shared" si="19"/>
        <v>405896.407,283107.414</v>
      </c>
      <c r="AO252" t="str">
        <f t="shared" si="20"/>
        <v>405895.078,283107.188</v>
      </c>
      <c r="AQ252" t="s">
        <v>2173</v>
      </c>
      <c r="AR252" t="s">
        <v>712</v>
      </c>
    </row>
    <row r="253" spans="1:44" x14ac:dyDescent="0.3">
      <c r="A253">
        <v>3869</v>
      </c>
      <c r="B253">
        <v>4</v>
      </c>
      <c r="C253">
        <v>4029814</v>
      </c>
      <c r="D253">
        <v>30725</v>
      </c>
      <c r="E253">
        <v>2</v>
      </c>
      <c r="F253">
        <v>670050</v>
      </c>
      <c r="G253" t="s">
        <v>66</v>
      </c>
      <c r="H253" t="s">
        <v>69</v>
      </c>
      <c r="I253">
        <v>0</v>
      </c>
      <c r="J253" s="1">
        <v>406806.24400000001</v>
      </c>
      <c r="K253" s="1">
        <v>285405.24099999998</v>
      </c>
      <c r="L253" s="1">
        <v>406794.41100000002</v>
      </c>
      <c r="M253" s="1">
        <v>285374.37400000001</v>
      </c>
      <c r="N253" t="s">
        <v>40</v>
      </c>
      <c r="P253" t="s">
        <v>40</v>
      </c>
      <c r="Q253">
        <v>0</v>
      </c>
      <c r="R253">
        <v>0</v>
      </c>
      <c r="S253">
        <v>0</v>
      </c>
      <c r="T253">
        <v>6</v>
      </c>
      <c r="U253">
        <v>6</v>
      </c>
      <c r="V253">
        <v>1</v>
      </c>
      <c r="W253">
        <v>1</v>
      </c>
      <c r="X253" t="s">
        <v>40</v>
      </c>
      <c r="Y253">
        <v>3</v>
      </c>
      <c r="Z253">
        <v>38</v>
      </c>
      <c r="AA253">
        <v>1</v>
      </c>
      <c r="AB253">
        <v>0</v>
      </c>
      <c r="AC253">
        <v>263.96299999999997</v>
      </c>
      <c r="AD253">
        <v>5059</v>
      </c>
      <c r="AH253">
        <v>0</v>
      </c>
      <c r="AI253">
        <v>0</v>
      </c>
      <c r="AL253" t="s">
        <v>40</v>
      </c>
      <c r="AM253" t="str">
        <f t="shared" si="18"/>
        <v>38 1</v>
      </c>
      <c r="AN253" s="6" t="s">
        <v>1023</v>
      </c>
      <c r="AO253" s="6" t="s">
        <v>1025</v>
      </c>
      <c r="AQ253" t="s">
        <v>2174</v>
      </c>
      <c r="AR253" t="s">
        <v>2175</v>
      </c>
    </row>
    <row r="254" spans="1:44" x14ac:dyDescent="0.3">
      <c r="A254">
        <v>3869</v>
      </c>
      <c r="B254">
        <v>4</v>
      </c>
      <c r="C254">
        <v>4010589</v>
      </c>
      <c r="D254">
        <v>10387</v>
      </c>
      <c r="E254">
        <v>2</v>
      </c>
      <c r="F254">
        <v>670050</v>
      </c>
      <c r="G254" t="s">
        <v>66</v>
      </c>
      <c r="H254" t="s">
        <v>68</v>
      </c>
      <c r="I254">
        <v>0</v>
      </c>
      <c r="J254" s="1">
        <v>405913.09399999998</v>
      </c>
      <c r="K254" s="1">
        <v>283106.26799999998</v>
      </c>
      <c r="L254" s="1">
        <v>405896.88500000001</v>
      </c>
      <c r="M254" s="1">
        <v>283107.891</v>
      </c>
      <c r="N254" t="s">
        <v>40</v>
      </c>
      <c r="P254" t="s">
        <v>40</v>
      </c>
      <c r="Q254">
        <v>0</v>
      </c>
      <c r="R254">
        <v>0</v>
      </c>
      <c r="S254">
        <v>201107</v>
      </c>
      <c r="T254">
        <v>6</v>
      </c>
      <c r="U254">
        <v>6</v>
      </c>
      <c r="V254">
        <v>1</v>
      </c>
      <c r="W254">
        <v>1</v>
      </c>
      <c r="X254" t="s">
        <v>40</v>
      </c>
      <c r="Y254">
        <v>3</v>
      </c>
      <c r="Z254">
        <v>5028</v>
      </c>
      <c r="AA254">
        <v>1</v>
      </c>
      <c r="AB254">
        <v>0</v>
      </c>
      <c r="AC254">
        <v>17.548999999999999</v>
      </c>
      <c r="AD254">
        <v>5059</v>
      </c>
      <c r="AE254" t="s">
        <v>70</v>
      </c>
      <c r="AH254">
        <v>0</v>
      </c>
      <c r="AI254">
        <v>0</v>
      </c>
      <c r="AL254" t="s">
        <v>40</v>
      </c>
      <c r="AM254" t="str">
        <f t="shared" si="18"/>
        <v>5028 1</v>
      </c>
      <c r="AN254" t="str">
        <f t="shared" si="19"/>
        <v>405913.094,283106.268</v>
      </c>
      <c r="AO254" t="str">
        <f t="shared" si="20"/>
        <v>405896.885,283107.891</v>
      </c>
      <c r="AQ254" t="s">
        <v>2176</v>
      </c>
      <c r="AR254" t="s">
        <v>2177</v>
      </c>
    </row>
    <row r="255" spans="1:44" x14ac:dyDescent="0.3">
      <c r="A255">
        <v>3869</v>
      </c>
      <c r="B255">
        <v>4</v>
      </c>
      <c r="C255">
        <v>4017854</v>
      </c>
      <c r="D255">
        <v>18371</v>
      </c>
      <c r="E255">
        <v>2</v>
      </c>
      <c r="F255">
        <v>670050</v>
      </c>
      <c r="G255" t="s">
        <v>66</v>
      </c>
      <c r="H255" t="s">
        <v>67</v>
      </c>
      <c r="I255">
        <v>0</v>
      </c>
      <c r="J255" s="1">
        <v>406729.03100000002</v>
      </c>
      <c r="K255" s="1">
        <v>284801.96999999997</v>
      </c>
      <c r="L255" s="1">
        <v>406611.52899999998</v>
      </c>
      <c r="M255" s="1">
        <v>284953.70699999999</v>
      </c>
      <c r="N255" t="s">
        <v>40</v>
      </c>
      <c r="P255" t="s">
        <v>40</v>
      </c>
      <c r="Q255">
        <v>0</v>
      </c>
      <c r="R255">
        <v>0</v>
      </c>
      <c r="S255">
        <v>0</v>
      </c>
      <c r="T255">
        <v>6</v>
      </c>
      <c r="U255">
        <v>6</v>
      </c>
      <c r="V255">
        <v>1</v>
      </c>
      <c r="W255">
        <v>1</v>
      </c>
      <c r="X255" t="s">
        <v>40</v>
      </c>
      <c r="Y255">
        <v>3</v>
      </c>
      <c r="Z255">
        <v>91</v>
      </c>
      <c r="AA255">
        <v>1</v>
      </c>
      <c r="AB255">
        <v>0</v>
      </c>
      <c r="AC255">
        <v>505.60400000000004</v>
      </c>
      <c r="AD255">
        <v>5059</v>
      </c>
      <c r="AH255">
        <v>0</v>
      </c>
      <c r="AI255">
        <v>0</v>
      </c>
      <c r="AL255" t="s">
        <v>40</v>
      </c>
      <c r="AM255" t="str">
        <f t="shared" si="18"/>
        <v>91 1</v>
      </c>
      <c r="AN255" s="6" t="s">
        <v>1023</v>
      </c>
      <c r="AO255" s="6" t="s">
        <v>1027</v>
      </c>
      <c r="AQ255" t="s">
        <v>2174</v>
      </c>
      <c r="AR255" t="s">
        <v>2178</v>
      </c>
    </row>
    <row r="256" spans="1:44" x14ac:dyDescent="0.3">
      <c r="A256">
        <v>3869</v>
      </c>
      <c r="B256">
        <v>4</v>
      </c>
      <c r="C256">
        <v>4010554</v>
      </c>
      <c r="D256">
        <v>10287</v>
      </c>
      <c r="E256">
        <v>2</v>
      </c>
      <c r="F256">
        <v>670050</v>
      </c>
      <c r="G256" t="s">
        <v>66</v>
      </c>
      <c r="H256" t="s">
        <v>68</v>
      </c>
      <c r="I256">
        <v>0</v>
      </c>
      <c r="J256" s="1">
        <v>405911.36099999998</v>
      </c>
      <c r="K256" s="1">
        <v>283099.49599999998</v>
      </c>
      <c r="L256" s="1">
        <v>405896.40700000001</v>
      </c>
      <c r="M256" s="1">
        <v>283107.41399999999</v>
      </c>
      <c r="N256" t="s">
        <v>40</v>
      </c>
      <c r="P256" t="s">
        <v>40</v>
      </c>
      <c r="Q256">
        <v>0</v>
      </c>
      <c r="R256">
        <v>0</v>
      </c>
      <c r="S256">
        <v>201107</v>
      </c>
      <c r="T256">
        <v>6</v>
      </c>
      <c r="U256">
        <v>6</v>
      </c>
      <c r="V256">
        <v>1</v>
      </c>
      <c r="W256">
        <v>1</v>
      </c>
      <c r="X256" t="s">
        <v>40</v>
      </c>
      <c r="Y256">
        <v>3</v>
      </c>
      <c r="Z256">
        <v>5028</v>
      </c>
      <c r="AA256">
        <v>1</v>
      </c>
      <c r="AB256">
        <v>0</v>
      </c>
      <c r="AC256">
        <v>20.404</v>
      </c>
      <c r="AD256">
        <v>5059</v>
      </c>
      <c r="AE256" t="s">
        <v>70</v>
      </c>
      <c r="AH256">
        <v>0</v>
      </c>
      <c r="AI256">
        <v>0</v>
      </c>
      <c r="AL256" t="s">
        <v>40</v>
      </c>
      <c r="AM256" t="str">
        <f t="shared" si="18"/>
        <v>5028 1</v>
      </c>
      <c r="AN256" t="str">
        <f t="shared" si="19"/>
        <v>405911.361,283099.496</v>
      </c>
      <c r="AO256" t="str">
        <f t="shared" si="20"/>
        <v>405896.407,283107.414</v>
      </c>
      <c r="AQ256" t="s">
        <v>2179</v>
      </c>
      <c r="AR256" t="s">
        <v>2173</v>
      </c>
    </row>
    <row r="257" spans="1:44" x14ac:dyDescent="0.3">
      <c r="A257">
        <v>3869</v>
      </c>
      <c r="B257">
        <v>4</v>
      </c>
      <c r="C257">
        <v>4026608</v>
      </c>
      <c r="D257">
        <v>22564</v>
      </c>
      <c r="E257">
        <v>2</v>
      </c>
      <c r="F257">
        <v>670050</v>
      </c>
      <c r="G257" t="s">
        <v>66</v>
      </c>
      <c r="H257" t="s">
        <v>41</v>
      </c>
      <c r="I257">
        <v>0</v>
      </c>
      <c r="J257" s="1">
        <v>405141.076</v>
      </c>
      <c r="K257" s="1">
        <v>281012.01799999998</v>
      </c>
      <c r="L257" s="1">
        <v>405143.5</v>
      </c>
      <c r="M257" s="1">
        <v>281020.29599999997</v>
      </c>
      <c r="N257" t="s">
        <v>40</v>
      </c>
      <c r="P257" t="s">
        <v>40</v>
      </c>
      <c r="Q257">
        <v>0</v>
      </c>
      <c r="R257">
        <v>0</v>
      </c>
      <c r="S257">
        <v>0</v>
      </c>
      <c r="T257">
        <v>6</v>
      </c>
      <c r="U257">
        <v>6</v>
      </c>
      <c r="V257">
        <v>1</v>
      </c>
      <c r="W257">
        <v>1</v>
      </c>
      <c r="X257" t="s">
        <v>40</v>
      </c>
      <c r="Y257">
        <v>3</v>
      </c>
      <c r="Z257">
        <v>90</v>
      </c>
      <c r="AA257">
        <v>1</v>
      </c>
      <c r="AB257">
        <v>0</v>
      </c>
      <c r="AC257">
        <v>43.393000000000001</v>
      </c>
      <c r="AD257">
        <v>5059</v>
      </c>
      <c r="AH257">
        <v>0</v>
      </c>
      <c r="AI257">
        <v>0</v>
      </c>
      <c r="AL257" t="s">
        <v>40</v>
      </c>
      <c r="AM257" t="str">
        <f t="shared" si="18"/>
        <v>90 1</v>
      </c>
      <c r="AN257" s="6" t="s">
        <v>1035</v>
      </c>
      <c r="AO257" s="6" t="s">
        <v>1054</v>
      </c>
      <c r="AQ257" t="s">
        <v>2180</v>
      </c>
      <c r="AR257" t="s">
        <v>2181</v>
      </c>
    </row>
    <row r="258" spans="1:44" x14ac:dyDescent="0.3">
      <c r="A258">
        <v>3869</v>
      </c>
      <c r="B258">
        <v>4</v>
      </c>
      <c r="C258">
        <v>4018445</v>
      </c>
      <c r="D258">
        <v>15718</v>
      </c>
      <c r="E258">
        <v>2</v>
      </c>
      <c r="F258">
        <v>670050</v>
      </c>
      <c r="G258" t="s">
        <v>66</v>
      </c>
      <c r="H258" t="s">
        <v>67</v>
      </c>
      <c r="I258">
        <v>0</v>
      </c>
      <c r="J258" s="1">
        <v>406353.58399999997</v>
      </c>
      <c r="K258" s="1">
        <v>284000</v>
      </c>
      <c r="L258" s="1">
        <v>406367.67099999997</v>
      </c>
      <c r="M258" s="1">
        <v>284026.98800000001</v>
      </c>
      <c r="N258" t="s">
        <v>40</v>
      </c>
      <c r="P258" t="s">
        <v>40</v>
      </c>
      <c r="Q258">
        <v>0</v>
      </c>
      <c r="R258">
        <v>0</v>
      </c>
      <c r="S258">
        <v>0</v>
      </c>
      <c r="T258">
        <v>7</v>
      </c>
      <c r="U258">
        <v>6</v>
      </c>
      <c r="V258">
        <v>1</v>
      </c>
      <c r="W258">
        <v>1</v>
      </c>
      <c r="X258" t="s">
        <v>40</v>
      </c>
      <c r="Y258">
        <v>3</v>
      </c>
      <c r="Z258">
        <v>255</v>
      </c>
      <c r="AA258">
        <v>18</v>
      </c>
      <c r="AB258">
        <v>0</v>
      </c>
      <c r="AC258">
        <v>1060.08</v>
      </c>
      <c r="AD258">
        <v>5059</v>
      </c>
      <c r="AH258">
        <v>0</v>
      </c>
      <c r="AI258">
        <v>0</v>
      </c>
      <c r="AL258" t="s">
        <v>40</v>
      </c>
      <c r="AM258" t="str">
        <f t="shared" si="18"/>
        <v>255 18</v>
      </c>
      <c r="AN258" s="6" t="s">
        <v>1037</v>
      </c>
      <c r="AO258" s="6" t="s">
        <v>1026</v>
      </c>
      <c r="AQ258" t="s">
        <v>2182</v>
      </c>
      <c r="AR258" t="s">
        <v>2176</v>
      </c>
    </row>
    <row r="259" spans="1:44" x14ac:dyDescent="0.3">
      <c r="A259">
        <v>3869</v>
      </c>
      <c r="B259">
        <v>4</v>
      </c>
      <c r="C259">
        <v>4010628</v>
      </c>
      <c r="D259">
        <v>10321</v>
      </c>
      <c r="E259">
        <v>2</v>
      </c>
      <c r="F259">
        <v>670050</v>
      </c>
      <c r="G259" t="s">
        <v>66</v>
      </c>
      <c r="H259" t="s">
        <v>68</v>
      </c>
      <c r="I259">
        <v>0</v>
      </c>
      <c r="J259" s="1">
        <v>405887.96</v>
      </c>
      <c r="K259" s="1">
        <v>283105.17700000003</v>
      </c>
      <c r="L259" s="1">
        <v>405889.31699999998</v>
      </c>
      <c r="M259" s="1">
        <v>283105.47499999998</v>
      </c>
      <c r="N259" t="s">
        <v>40</v>
      </c>
      <c r="P259" t="s">
        <v>40</v>
      </c>
      <c r="Q259">
        <v>0</v>
      </c>
      <c r="R259">
        <v>0</v>
      </c>
      <c r="S259">
        <v>200601</v>
      </c>
      <c r="T259">
        <v>6</v>
      </c>
      <c r="U259">
        <v>6</v>
      </c>
      <c r="V259">
        <v>1</v>
      </c>
      <c r="W259">
        <v>1</v>
      </c>
      <c r="X259" t="s">
        <v>40</v>
      </c>
      <c r="Y259">
        <v>3</v>
      </c>
      <c r="Z259">
        <v>5028</v>
      </c>
      <c r="AA259">
        <v>1</v>
      </c>
      <c r="AB259">
        <v>0</v>
      </c>
      <c r="AC259">
        <v>3.117</v>
      </c>
      <c r="AD259">
        <v>5059</v>
      </c>
      <c r="AH259">
        <v>0</v>
      </c>
      <c r="AI259">
        <v>0</v>
      </c>
      <c r="AL259" t="s">
        <v>40</v>
      </c>
      <c r="AM259" t="str">
        <f t="shared" si="18"/>
        <v>5028 1</v>
      </c>
      <c r="AN259" s="6" t="s">
        <v>1648</v>
      </c>
      <c r="AO259" s="6" t="s">
        <v>1030</v>
      </c>
      <c r="AQ259" t="s">
        <v>1892</v>
      </c>
      <c r="AR259" t="s">
        <v>1892</v>
      </c>
    </row>
    <row r="260" spans="1:44" x14ac:dyDescent="0.3">
      <c r="A260">
        <v>3869</v>
      </c>
      <c r="B260">
        <v>4</v>
      </c>
      <c r="C260">
        <v>4010627</v>
      </c>
      <c r="D260">
        <v>10323</v>
      </c>
      <c r="E260">
        <v>2</v>
      </c>
      <c r="F260">
        <v>670050</v>
      </c>
      <c r="G260" t="s">
        <v>66</v>
      </c>
      <c r="H260" t="s">
        <v>68</v>
      </c>
      <c r="I260">
        <v>0</v>
      </c>
      <c r="J260" s="1">
        <v>405888.37099999998</v>
      </c>
      <c r="K260" s="1">
        <v>283106.08799999999</v>
      </c>
      <c r="L260" s="1">
        <v>405889.652</v>
      </c>
      <c r="M260" s="1">
        <v>283106.36099999998</v>
      </c>
      <c r="N260" t="s">
        <v>40</v>
      </c>
      <c r="P260" t="s">
        <v>40</v>
      </c>
      <c r="Q260">
        <v>0</v>
      </c>
      <c r="R260">
        <v>0</v>
      </c>
      <c r="S260">
        <v>200601</v>
      </c>
      <c r="T260">
        <v>6</v>
      </c>
      <c r="U260">
        <v>6</v>
      </c>
      <c r="V260">
        <v>1</v>
      </c>
      <c r="W260">
        <v>1</v>
      </c>
      <c r="X260" t="s">
        <v>40</v>
      </c>
      <c r="Y260">
        <v>3</v>
      </c>
      <c r="Z260">
        <v>5028</v>
      </c>
      <c r="AA260">
        <v>1</v>
      </c>
      <c r="AB260">
        <v>0</v>
      </c>
      <c r="AC260">
        <v>2.464</v>
      </c>
      <c r="AD260">
        <v>5059</v>
      </c>
      <c r="AH260">
        <v>0</v>
      </c>
      <c r="AI260">
        <v>0</v>
      </c>
      <c r="AL260" t="s">
        <v>40</v>
      </c>
      <c r="AM260" t="str">
        <f t="shared" si="18"/>
        <v>5028 1</v>
      </c>
      <c r="AN260" s="6" t="s">
        <v>1649</v>
      </c>
      <c r="AO260" s="6" t="s">
        <v>1029</v>
      </c>
      <c r="AQ260" t="s">
        <v>1893</v>
      </c>
      <c r="AR260" t="s">
        <v>1893</v>
      </c>
    </row>
    <row r="261" spans="1:44" x14ac:dyDescent="0.3">
      <c r="A261">
        <v>3869</v>
      </c>
      <c r="B261">
        <v>4</v>
      </c>
      <c r="C261">
        <v>4026688</v>
      </c>
      <c r="D261">
        <v>96046</v>
      </c>
      <c r="E261">
        <v>2</v>
      </c>
      <c r="F261">
        <v>670050</v>
      </c>
      <c r="G261" t="s">
        <v>66</v>
      </c>
      <c r="H261" t="s">
        <v>41</v>
      </c>
      <c r="I261">
        <v>0</v>
      </c>
      <c r="J261" s="1">
        <v>405134.41399999999</v>
      </c>
      <c r="K261" s="1">
        <v>281917.022</v>
      </c>
      <c r="L261" s="1">
        <v>405135.05599999998</v>
      </c>
      <c r="M261" s="1">
        <v>281915.24800000002</v>
      </c>
      <c r="N261" t="s">
        <v>40</v>
      </c>
      <c r="P261" t="s">
        <v>40</v>
      </c>
      <c r="Q261">
        <v>0</v>
      </c>
      <c r="R261">
        <v>0</v>
      </c>
      <c r="S261">
        <v>0</v>
      </c>
      <c r="T261">
        <v>6</v>
      </c>
      <c r="U261">
        <v>6</v>
      </c>
      <c r="V261">
        <v>1</v>
      </c>
      <c r="W261">
        <v>2</v>
      </c>
      <c r="X261" t="s">
        <v>40</v>
      </c>
      <c r="Y261">
        <v>3</v>
      </c>
      <c r="Z261">
        <v>5024</v>
      </c>
      <c r="AA261">
        <v>1</v>
      </c>
      <c r="AB261">
        <v>0</v>
      </c>
      <c r="AC261">
        <v>1.903</v>
      </c>
      <c r="AD261">
        <v>5059</v>
      </c>
      <c r="AH261">
        <v>0</v>
      </c>
      <c r="AI261">
        <v>0</v>
      </c>
      <c r="AL261" t="s">
        <v>40</v>
      </c>
      <c r="AM261" t="str">
        <f t="shared" si="18"/>
        <v>5024 1</v>
      </c>
      <c r="AN261" t="str">
        <f t="shared" si="19"/>
        <v>405134.414,281917.022</v>
      </c>
      <c r="AO261" t="str">
        <f t="shared" si="20"/>
        <v>405135.056,281915.248</v>
      </c>
      <c r="AQ261" t="s">
        <v>2183</v>
      </c>
      <c r="AR261" t="s">
        <v>2184</v>
      </c>
    </row>
    <row r="262" spans="1:44" x14ac:dyDescent="0.3">
      <c r="A262">
        <v>3869</v>
      </c>
      <c r="B262">
        <v>4</v>
      </c>
      <c r="C262">
        <v>4026689</v>
      </c>
      <c r="D262">
        <v>24842</v>
      </c>
      <c r="E262">
        <v>2</v>
      </c>
      <c r="F262">
        <v>670050</v>
      </c>
      <c r="G262" t="s">
        <v>66</v>
      </c>
      <c r="H262" t="s">
        <v>41</v>
      </c>
      <c r="I262">
        <v>0</v>
      </c>
      <c r="J262" s="1">
        <v>405084.5</v>
      </c>
      <c r="K262" s="1">
        <v>281785.80800000002</v>
      </c>
      <c r="L262" s="1">
        <v>405134.41399999999</v>
      </c>
      <c r="M262" s="1">
        <v>281917.022</v>
      </c>
      <c r="N262" t="s">
        <v>40</v>
      </c>
      <c r="P262" t="s">
        <v>40</v>
      </c>
      <c r="Q262">
        <v>0</v>
      </c>
      <c r="R262">
        <v>0</v>
      </c>
      <c r="S262">
        <v>0</v>
      </c>
      <c r="T262">
        <v>6</v>
      </c>
      <c r="U262">
        <v>6</v>
      </c>
      <c r="V262">
        <v>1</v>
      </c>
      <c r="W262">
        <v>2</v>
      </c>
      <c r="X262" t="s">
        <v>40</v>
      </c>
      <c r="Y262">
        <v>3</v>
      </c>
      <c r="Z262">
        <v>90</v>
      </c>
      <c r="AA262">
        <v>1</v>
      </c>
      <c r="AB262">
        <v>0</v>
      </c>
      <c r="AC262">
        <v>209.56700000000001</v>
      </c>
      <c r="AD262">
        <v>5059</v>
      </c>
      <c r="AH262">
        <v>0</v>
      </c>
      <c r="AI262">
        <v>0</v>
      </c>
      <c r="AL262" t="s">
        <v>40</v>
      </c>
      <c r="AM262" t="str">
        <f t="shared" si="18"/>
        <v>90 1</v>
      </c>
      <c r="AN262" t="str">
        <f t="shared" si="19"/>
        <v>405084.5,281785.808</v>
      </c>
      <c r="AO262" t="str">
        <f t="shared" si="20"/>
        <v>405134.414,281917.022</v>
      </c>
      <c r="AQ262" t="s">
        <v>2185</v>
      </c>
      <c r="AR262" t="s">
        <v>2183</v>
      </c>
    </row>
    <row r="263" spans="1:44" x14ac:dyDescent="0.3">
      <c r="A263">
        <v>3869</v>
      </c>
      <c r="B263">
        <v>4</v>
      </c>
      <c r="C263">
        <v>4026692</v>
      </c>
      <c r="D263">
        <v>24368</v>
      </c>
      <c r="E263">
        <v>2</v>
      </c>
      <c r="F263">
        <v>670050</v>
      </c>
      <c r="G263" t="s">
        <v>66</v>
      </c>
      <c r="H263" t="s">
        <v>41</v>
      </c>
      <c r="I263">
        <v>0</v>
      </c>
      <c r="J263" s="1">
        <v>405084.5</v>
      </c>
      <c r="K263" s="1">
        <v>281785.80800000002</v>
      </c>
      <c r="L263" s="1">
        <v>405165.90600000002</v>
      </c>
      <c r="M263" s="1">
        <v>281670.15600000002</v>
      </c>
      <c r="N263" t="s">
        <v>40</v>
      </c>
      <c r="P263" t="s">
        <v>40</v>
      </c>
      <c r="Q263">
        <v>0</v>
      </c>
      <c r="R263">
        <v>0</v>
      </c>
      <c r="S263">
        <v>0</v>
      </c>
      <c r="T263">
        <v>7</v>
      </c>
      <c r="U263">
        <v>6</v>
      </c>
      <c r="V263">
        <v>1</v>
      </c>
      <c r="W263">
        <v>2</v>
      </c>
      <c r="X263" t="s">
        <v>40</v>
      </c>
      <c r="Y263">
        <v>3</v>
      </c>
      <c r="Z263">
        <v>255</v>
      </c>
      <c r="AA263">
        <v>18</v>
      </c>
      <c r="AB263">
        <v>0</v>
      </c>
      <c r="AC263">
        <v>141.68</v>
      </c>
      <c r="AD263">
        <v>5059</v>
      </c>
      <c r="AH263">
        <v>0</v>
      </c>
      <c r="AI263">
        <v>0</v>
      </c>
      <c r="AL263" t="s">
        <v>40</v>
      </c>
      <c r="AM263" t="str">
        <f t="shared" si="18"/>
        <v>255 18</v>
      </c>
      <c r="AN263" t="str">
        <f t="shared" si="19"/>
        <v>405084.5,281785.808</v>
      </c>
      <c r="AO263" t="str">
        <f t="shared" si="20"/>
        <v>405165.906,281670.156</v>
      </c>
      <c r="AQ263" t="s">
        <v>2185</v>
      </c>
      <c r="AR263" t="s">
        <v>2186</v>
      </c>
    </row>
    <row r="264" spans="1:44" x14ac:dyDescent="0.3">
      <c r="A264">
        <v>3869</v>
      </c>
      <c r="B264">
        <v>4</v>
      </c>
      <c r="C264">
        <v>4026693</v>
      </c>
      <c r="D264">
        <v>24129</v>
      </c>
      <c r="E264">
        <v>2</v>
      </c>
      <c r="F264">
        <v>670050</v>
      </c>
      <c r="G264" t="s">
        <v>66</v>
      </c>
      <c r="H264" t="s">
        <v>41</v>
      </c>
      <c r="I264">
        <v>0</v>
      </c>
      <c r="J264" s="1">
        <v>405165.90600000002</v>
      </c>
      <c r="K264" s="1">
        <v>281670.15600000002</v>
      </c>
      <c r="L264" s="1">
        <v>405181.15500000003</v>
      </c>
      <c r="M264" s="1">
        <v>281652.95799999998</v>
      </c>
      <c r="N264" t="s">
        <v>40</v>
      </c>
      <c r="P264" t="s">
        <v>40</v>
      </c>
      <c r="Q264">
        <v>0</v>
      </c>
      <c r="R264">
        <v>0</v>
      </c>
      <c r="S264">
        <v>0</v>
      </c>
      <c r="T264">
        <v>6</v>
      </c>
      <c r="U264">
        <v>6</v>
      </c>
      <c r="V264">
        <v>1</v>
      </c>
      <c r="W264">
        <v>2</v>
      </c>
      <c r="X264" t="s">
        <v>40</v>
      </c>
      <c r="Y264">
        <v>3</v>
      </c>
      <c r="Z264">
        <v>38</v>
      </c>
      <c r="AA264">
        <v>5001</v>
      </c>
      <c r="AB264">
        <v>0</v>
      </c>
      <c r="AC264">
        <v>24.481999999999999</v>
      </c>
      <c r="AD264">
        <v>5059</v>
      </c>
      <c r="AH264">
        <v>0</v>
      </c>
      <c r="AI264">
        <v>0</v>
      </c>
      <c r="AL264" t="s">
        <v>40</v>
      </c>
      <c r="AM264" t="str">
        <f t="shared" si="18"/>
        <v>38 5001</v>
      </c>
      <c r="AN264" t="str">
        <f t="shared" si="19"/>
        <v>405165.906,281670.156</v>
      </c>
      <c r="AO264" t="str">
        <f t="shared" si="20"/>
        <v>405181.155,281652.958</v>
      </c>
      <c r="AQ264" t="s">
        <v>2186</v>
      </c>
      <c r="AR264" t="s">
        <v>2187</v>
      </c>
    </row>
    <row r="265" spans="1:44" x14ac:dyDescent="0.3">
      <c r="A265">
        <v>3869</v>
      </c>
      <c r="B265">
        <v>4</v>
      </c>
      <c r="C265">
        <v>4026694</v>
      </c>
      <c r="D265">
        <v>24386</v>
      </c>
      <c r="E265">
        <v>2</v>
      </c>
      <c r="F265">
        <v>670050</v>
      </c>
      <c r="G265" t="s">
        <v>66</v>
      </c>
      <c r="H265" t="s">
        <v>41</v>
      </c>
      <c r="I265">
        <v>0</v>
      </c>
      <c r="J265" s="1">
        <v>405282.72899999999</v>
      </c>
      <c r="K265" s="1">
        <v>281537.94500000001</v>
      </c>
      <c r="L265" s="1">
        <v>405181.15500000003</v>
      </c>
      <c r="M265" s="1">
        <v>281652.95799999998</v>
      </c>
      <c r="N265" t="s">
        <v>40</v>
      </c>
      <c r="P265" t="s">
        <v>40</v>
      </c>
      <c r="Q265">
        <v>0</v>
      </c>
      <c r="R265">
        <v>0</v>
      </c>
      <c r="S265">
        <v>0</v>
      </c>
      <c r="T265">
        <v>7</v>
      </c>
      <c r="U265">
        <v>6</v>
      </c>
      <c r="V265">
        <v>1</v>
      </c>
      <c r="W265">
        <v>2</v>
      </c>
      <c r="X265" t="s">
        <v>40</v>
      </c>
      <c r="Y265">
        <v>3</v>
      </c>
      <c r="Z265">
        <v>255</v>
      </c>
      <c r="AA265">
        <v>18</v>
      </c>
      <c r="AB265">
        <v>0</v>
      </c>
      <c r="AC265">
        <v>620.54700000000003</v>
      </c>
      <c r="AD265">
        <v>5059</v>
      </c>
      <c r="AH265">
        <v>0</v>
      </c>
      <c r="AI265">
        <v>0</v>
      </c>
      <c r="AL265" t="s">
        <v>40</v>
      </c>
      <c r="AM265" t="str">
        <f t="shared" si="18"/>
        <v>255 18</v>
      </c>
      <c r="AN265" s="6" t="s">
        <v>1651</v>
      </c>
      <c r="AO265" s="6" t="s">
        <v>1653</v>
      </c>
      <c r="AQ265" t="s">
        <v>2187</v>
      </c>
      <c r="AR265" t="s">
        <v>2188</v>
      </c>
    </row>
    <row r="266" spans="1:44" x14ac:dyDescent="0.3">
      <c r="A266">
        <v>3869</v>
      </c>
      <c r="B266">
        <v>4</v>
      </c>
      <c r="C266">
        <v>4010588</v>
      </c>
      <c r="D266">
        <v>10326</v>
      </c>
      <c r="E266">
        <v>2</v>
      </c>
      <c r="F266">
        <v>670050</v>
      </c>
      <c r="G266" t="s">
        <v>66</v>
      </c>
      <c r="H266" t="s">
        <v>68</v>
      </c>
      <c r="I266">
        <v>0</v>
      </c>
      <c r="J266" s="1">
        <v>405896.88500000001</v>
      </c>
      <c r="K266" s="1">
        <v>283107.891</v>
      </c>
      <c r="L266" s="1">
        <v>405895.00699999998</v>
      </c>
      <c r="M266" s="1">
        <v>283107.58199999999</v>
      </c>
      <c r="N266" t="s">
        <v>40</v>
      </c>
      <c r="P266" t="s">
        <v>40</v>
      </c>
      <c r="Q266">
        <v>0</v>
      </c>
      <c r="R266">
        <v>0</v>
      </c>
      <c r="S266">
        <v>0</v>
      </c>
      <c r="T266">
        <v>6</v>
      </c>
      <c r="U266">
        <v>6</v>
      </c>
      <c r="V266">
        <v>1</v>
      </c>
      <c r="W266">
        <v>1</v>
      </c>
      <c r="X266" t="s">
        <v>40</v>
      </c>
      <c r="Y266">
        <v>3</v>
      </c>
      <c r="Z266">
        <v>89</v>
      </c>
      <c r="AA266">
        <v>1</v>
      </c>
      <c r="AB266">
        <v>0</v>
      </c>
      <c r="AC266">
        <v>1.903</v>
      </c>
      <c r="AD266">
        <v>5059</v>
      </c>
      <c r="AH266">
        <v>0</v>
      </c>
      <c r="AI266">
        <v>0</v>
      </c>
      <c r="AL266" t="s">
        <v>40</v>
      </c>
      <c r="AM266" t="str">
        <f t="shared" si="18"/>
        <v>89 1</v>
      </c>
      <c r="AN266" t="str">
        <f t="shared" si="19"/>
        <v>405896.885,283107.891</v>
      </c>
      <c r="AO266" t="str">
        <f t="shared" si="20"/>
        <v>405895.007,283107.582</v>
      </c>
      <c r="AQ266" t="s">
        <v>2177</v>
      </c>
      <c r="AR266" t="s">
        <v>713</v>
      </c>
    </row>
    <row r="267" spans="1:44" x14ac:dyDescent="0.3">
      <c r="A267">
        <v>3869</v>
      </c>
      <c r="B267">
        <v>4</v>
      </c>
      <c r="C267">
        <v>4026702</v>
      </c>
      <c r="D267">
        <v>22947</v>
      </c>
      <c r="E267">
        <v>2</v>
      </c>
      <c r="F267">
        <v>670050</v>
      </c>
      <c r="G267" t="s">
        <v>66</v>
      </c>
      <c r="H267" t="s">
        <v>41</v>
      </c>
      <c r="I267">
        <v>0</v>
      </c>
      <c r="J267" s="1">
        <v>405143.5</v>
      </c>
      <c r="K267" s="1">
        <v>281020.29599999997</v>
      </c>
      <c r="L267" s="1">
        <v>405261.554</v>
      </c>
      <c r="M267" s="1">
        <v>281185.56599999999</v>
      </c>
      <c r="N267" t="s">
        <v>40</v>
      </c>
      <c r="P267" t="s">
        <v>40</v>
      </c>
      <c r="Q267">
        <v>0</v>
      </c>
      <c r="R267">
        <v>0</v>
      </c>
      <c r="S267">
        <v>0</v>
      </c>
      <c r="T267">
        <v>7</v>
      </c>
      <c r="U267">
        <v>6</v>
      </c>
      <c r="V267">
        <v>1</v>
      </c>
      <c r="W267">
        <v>1</v>
      </c>
      <c r="X267" t="s">
        <v>40</v>
      </c>
      <c r="Y267">
        <v>3</v>
      </c>
      <c r="Z267">
        <v>255</v>
      </c>
      <c r="AA267">
        <v>18</v>
      </c>
      <c r="AB267">
        <v>0</v>
      </c>
      <c r="AC267">
        <v>1556.316</v>
      </c>
      <c r="AD267">
        <v>5059</v>
      </c>
      <c r="AH267">
        <v>0</v>
      </c>
      <c r="AI267">
        <v>0</v>
      </c>
      <c r="AL267" t="s">
        <v>40</v>
      </c>
      <c r="AM267" t="str">
        <f t="shared" si="18"/>
        <v>255 18</v>
      </c>
      <c r="AN267" s="6" t="s">
        <v>1035</v>
      </c>
      <c r="AO267" s="6" t="s">
        <v>1036</v>
      </c>
      <c r="AQ267" t="s">
        <v>2180</v>
      </c>
      <c r="AR267" t="s">
        <v>2189</v>
      </c>
    </row>
    <row r="268" spans="1:44" x14ac:dyDescent="0.3">
      <c r="A268">
        <v>3869</v>
      </c>
      <c r="B268">
        <v>4</v>
      </c>
      <c r="C268">
        <v>4018456</v>
      </c>
      <c r="D268">
        <v>66680</v>
      </c>
      <c r="E268">
        <v>2</v>
      </c>
      <c r="F268">
        <v>670050</v>
      </c>
      <c r="G268" t="s">
        <v>66</v>
      </c>
      <c r="H268" t="s">
        <v>67</v>
      </c>
      <c r="I268">
        <v>0</v>
      </c>
      <c r="J268" s="1">
        <v>406381.266</v>
      </c>
      <c r="K268" s="1">
        <v>284054.21000000002</v>
      </c>
      <c r="L268" s="1">
        <v>406353.16600000003</v>
      </c>
      <c r="M268" s="1">
        <v>284071.36200000002</v>
      </c>
      <c r="N268" t="s">
        <v>40</v>
      </c>
      <c r="P268" t="s">
        <v>40</v>
      </c>
      <c r="Q268">
        <v>0</v>
      </c>
      <c r="R268">
        <v>0</v>
      </c>
      <c r="S268">
        <v>0</v>
      </c>
      <c r="T268">
        <v>6</v>
      </c>
      <c r="U268">
        <v>6</v>
      </c>
      <c r="V268">
        <v>1</v>
      </c>
      <c r="W268">
        <v>1</v>
      </c>
      <c r="X268" t="s">
        <v>40</v>
      </c>
      <c r="Y268">
        <v>3</v>
      </c>
      <c r="Z268">
        <v>92</v>
      </c>
      <c r="AA268">
        <v>1</v>
      </c>
      <c r="AB268">
        <v>0</v>
      </c>
      <c r="AC268">
        <v>34.567</v>
      </c>
      <c r="AD268">
        <v>5059</v>
      </c>
      <c r="AH268">
        <v>0</v>
      </c>
      <c r="AI268">
        <v>0</v>
      </c>
      <c r="AL268" t="s">
        <v>40</v>
      </c>
      <c r="AM268" t="str">
        <f t="shared" si="18"/>
        <v>92 1</v>
      </c>
      <c r="AN268" t="str">
        <f t="shared" si="19"/>
        <v>406381.266,284054.21</v>
      </c>
      <c r="AO268" t="str">
        <f t="shared" si="20"/>
        <v>406353.166,284071.362</v>
      </c>
      <c r="AQ268" t="s">
        <v>2182</v>
      </c>
      <c r="AR268" t="s">
        <v>713</v>
      </c>
    </row>
    <row r="269" spans="1:44" x14ac:dyDescent="0.3">
      <c r="A269">
        <v>3869</v>
      </c>
      <c r="B269">
        <v>4</v>
      </c>
      <c r="C269">
        <v>4026701</v>
      </c>
      <c r="D269">
        <v>22570</v>
      </c>
      <c r="E269">
        <v>2</v>
      </c>
      <c r="F269">
        <v>670050</v>
      </c>
      <c r="G269" t="s">
        <v>66</v>
      </c>
      <c r="H269" t="s">
        <v>41</v>
      </c>
      <c r="I269">
        <v>0</v>
      </c>
      <c r="J269" s="1">
        <v>405143.5</v>
      </c>
      <c r="K269" s="1">
        <v>281020.29599999997</v>
      </c>
      <c r="L269" s="1">
        <v>405152.31</v>
      </c>
      <c r="M269" s="1">
        <v>281031.30900000001</v>
      </c>
      <c r="N269" t="s">
        <v>40</v>
      </c>
      <c r="P269" t="s">
        <v>40</v>
      </c>
      <c r="Q269">
        <v>0</v>
      </c>
      <c r="R269">
        <v>0</v>
      </c>
      <c r="S269">
        <v>0</v>
      </c>
      <c r="T269">
        <v>6</v>
      </c>
      <c r="U269">
        <v>6</v>
      </c>
      <c r="V269">
        <v>1</v>
      </c>
      <c r="W269">
        <v>2</v>
      </c>
      <c r="X269" t="s">
        <v>40</v>
      </c>
      <c r="Y269">
        <v>3</v>
      </c>
      <c r="Z269">
        <v>90</v>
      </c>
      <c r="AA269">
        <v>1</v>
      </c>
      <c r="AB269">
        <v>0</v>
      </c>
      <c r="AC269">
        <v>19.355</v>
      </c>
      <c r="AD269">
        <v>5059</v>
      </c>
      <c r="AH269">
        <v>0</v>
      </c>
      <c r="AI269">
        <v>0</v>
      </c>
      <c r="AL269" t="s">
        <v>40</v>
      </c>
      <c r="AM269" t="str">
        <f t="shared" si="18"/>
        <v>90 1</v>
      </c>
      <c r="AN269" t="str">
        <f t="shared" si="19"/>
        <v>405143.5,281020.296</v>
      </c>
      <c r="AO269" t="str">
        <f t="shared" si="20"/>
        <v>405152.31,281031.309</v>
      </c>
      <c r="AQ269" t="s">
        <v>2180</v>
      </c>
      <c r="AR269" t="s">
        <v>2190</v>
      </c>
    </row>
    <row r="270" spans="1:44" x14ac:dyDescent="0.3">
      <c r="A270">
        <v>3869</v>
      </c>
      <c r="B270">
        <v>4</v>
      </c>
      <c r="C270">
        <v>4026700</v>
      </c>
      <c r="D270">
        <v>22593</v>
      </c>
      <c r="E270">
        <v>2</v>
      </c>
      <c r="F270">
        <v>670050</v>
      </c>
      <c r="G270" t="s">
        <v>66</v>
      </c>
      <c r="H270" t="s">
        <v>41</v>
      </c>
      <c r="I270">
        <v>0</v>
      </c>
      <c r="J270" s="1">
        <v>405152.31</v>
      </c>
      <c r="K270" s="1">
        <v>281031.30900000001</v>
      </c>
      <c r="L270" s="1">
        <v>405148.26400000002</v>
      </c>
      <c r="M270" s="1">
        <v>281063.40399999998</v>
      </c>
      <c r="N270" t="s">
        <v>40</v>
      </c>
      <c r="P270" t="s">
        <v>40</v>
      </c>
      <c r="Q270">
        <v>0</v>
      </c>
      <c r="R270">
        <v>0</v>
      </c>
      <c r="S270">
        <v>0</v>
      </c>
      <c r="T270">
        <v>7</v>
      </c>
      <c r="U270">
        <v>6</v>
      </c>
      <c r="V270">
        <v>1</v>
      </c>
      <c r="W270">
        <v>2</v>
      </c>
      <c r="X270" t="s">
        <v>40</v>
      </c>
      <c r="Y270">
        <v>3</v>
      </c>
      <c r="Z270">
        <v>255</v>
      </c>
      <c r="AA270">
        <v>18</v>
      </c>
      <c r="AB270">
        <v>0</v>
      </c>
      <c r="AC270">
        <v>32.35</v>
      </c>
      <c r="AD270">
        <v>5059</v>
      </c>
      <c r="AH270">
        <v>0</v>
      </c>
      <c r="AI270">
        <v>0</v>
      </c>
      <c r="AL270" t="s">
        <v>40</v>
      </c>
      <c r="AM270" t="str">
        <f t="shared" si="18"/>
        <v>255 18</v>
      </c>
      <c r="AN270" t="str">
        <f t="shared" si="19"/>
        <v>405152.31,281031.309</v>
      </c>
      <c r="AO270" t="str">
        <f t="shared" si="20"/>
        <v>405148.264,281063.404</v>
      </c>
      <c r="AQ270" t="s">
        <v>2190</v>
      </c>
      <c r="AR270" t="s">
        <v>2191</v>
      </c>
    </row>
    <row r="271" spans="1:44" x14ac:dyDescent="0.3">
      <c r="A271">
        <v>3869</v>
      </c>
      <c r="B271">
        <v>4</v>
      </c>
      <c r="C271">
        <v>4018491</v>
      </c>
      <c r="D271">
        <v>16031</v>
      </c>
      <c r="E271">
        <v>2</v>
      </c>
      <c r="F271">
        <v>670050</v>
      </c>
      <c r="G271" t="s">
        <v>66</v>
      </c>
      <c r="H271" t="s">
        <v>67</v>
      </c>
      <c r="I271">
        <v>0</v>
      </c>
      <c r="J271" s="1">
        <v>406380.777</v>
      </c>
      <c r="K271" s="1">
        <v>284057.78399999999</v>
      </c>
      <c r="L271" s="1">
        <v>406383.614</v>
      </c>
      <c r="M271" s="1">
        <v>284059.04399999999</v>
      </c>
      <c r="N271" t="s">
        <v>40</v>
      </c>
      <c r="P271" t="s">
        <v>40</v>
      </c>
      <c r="Q271">
        <v>0</v>
      </c>
      <c r="R271">
        <v>0</v>
      </c>
      <c r="S271">
        <v>0</v>
      </c>
      <c r="T271">
        <v>7</v>
      </c>
      <c r="U271">
        <v>6</v>
      </c>
      <c r="V271">
        <v>1</v>
      </c>
      <c r="W271">
        <v>1</v>
      </c>
      <c r="X271" t="s">
        <v>40</v>
      </c>
      <c r="Y271">
        <v>3</v>
      </c>
      <c r="Z271">
        <v>255</v>
      </c>
      <c r="AA271">
        <v>18</v>
      </c>
      <c r="AB271">
        <v>0</v>
      </c>
      <c r="AC271">
        <v>3.3460000000000001</v>
      </c>
      <c r="AD271">
        <v>5059</v>
      </c>
      <c r="AH271">
        <v>0</v>
      </c>
      <c r="AI271">
        <v>0</v>
      </c>
      <c r="AL271" t="s">
        <v>40</v>
      </c>
      <c r="AM271" t="str">
        <f t="shared" si="18"/>
        <v>255 18</v>
      </c>
      <c r="AN271" t="str">
        <f t="shared" si="19"/>
        <v>406380.777,284057.784</v>
      </c>
      <c r="AO271" t="str">
        <f t="shared" si="20"/>
        <v>406383.614,284059.044</v>
      </c>
      <c r="AQ271" t="s">
        <v>2192</v>
      </c>
      <c r="AR271" t="s">
        <v>2193</v>
      </c>
    </row>
    <row r="272" spans="1:44" x14ac:dyDescent="0.3">
      <c r="A272">
        <v>3869</v>
      </c>
      <c r="B272">
        <v>4</v>
      </c>
      <c r="C272">
        <v>4018473</v>
      </c>
      <c r="D272">
        <v>66679</v>
      </c>
      <c r="E272">
        <v>2</v>
      </c>
      <c r="F272">
        <v>670050</v>
      </c>
      <c r="G272" t="s">
        <v>66</v>
      </c>
      <c r="H272" t="s">
        <v>67</v>
      </c>
      <c r="I272">
        <v>0</v>
      </c>
      <c r="J272" s="1">
        <v>406380.777</v>
      </c>
      <c r="K272" s="1">
        <v>284057.78399999999</v>
      </c>
      <c r="L272" s="1">
        <v>406353.39</v>
      </c>
      <c r="M272" s="1">
        <v>284071.75699999998</v>
      </c>
      <c r="N272" t="s">
        <v>40</v>
      </c>
      <c r="P272" t="s">
        <v>40</v>
      </c>
      <c r="Q272">
        <v>0</v>
      </c>
      <c r="R272">
        <v>0</v>
      </c>
      <c r="S272">
        <v>0</v>
      </c>
      <c r="T272">
        <v>6</v>
      </c>
      <c r="U272">
        <v>6</v>
      </c>
      <c r="V272">
        <v>1</v>
      </c>
      <c r="W272">
        <v>1</v>
      </c>
      <c r="X272" t="s">
        <v>40</v>
      </c>
      <c r="Y272">
        <v>3</v>
      </c>
      <c r="Z272">
        <v>92</v>
      </c>
      <c r="AA272">
        <v>1</v>
      </c>
      <c r="AB272">
        <v>0</v>
      </c>
      <c r="AC272">
        <v>31.094000000000001</v>
      </c>
      <c r="AD272">
        <v>5059</v>
      </c>
      <c r="AH272">
        <v>0</v>
      </c>
      <c r="AI272">
        <v>0</v>
      </c>
      <c r="AL272" t="s">
        <v>40</v>
      </c>
      <c r="AM272" t="str">
        <f t="shared" si="18"/>
        <v>92 1</v>
      </c>
      <c r="AN272" t="str">
        <f t="shared" si="19"/>
        <v>406380.777,284057.784</v>
      </c>
      <c r="AO272" t="str">
        <f t="shared" si="20"/>
        <v>406353.39,284071.757</v>
      </c>
      <c r="AQ272" t="s">
        <v>2192</v>
      </c>
      <c r="AR272" t="s">
        <v>714</v>
      </c>
    </row>
    <row r="273" spans="1:44" x14ac:dyDescent="0.3">
      <c r="A273">
        <v>3869</v>
      </c>
      <c r="B273">
        <v>4</v>
      </c>
      <c r="C273">
        <v>4026699</v>
      </c>
      <c r="D273">
        <v>22931</v>
      </c>
      <c r="E273">
        <v>2</v>
      </c>
      <c r="F273">
        <v>670050</v>
      </c>
      <c r="G273" t="s">
        <v>66</v>
      </c>
      <c r="H273" t="s">
        <v>41</v>
      </c>
      <c r="I273">
        <v>0</v>
      </c>
      <c r="J273" s="1">
        <v>405148.26400000002</v>
      </c>
      <c r="K273" s="1">
        <v>281063.40399999998</v>
      </c>
      <c r="L273" s="1">
        <v>405202.30699999997</v>
      </c>
      <c r="M273" s="1">
        <v>281182.82400000002</v>
      </c>
      <c r="N273" t="s">
        <v>40</v>
      </c>
      <c r="P273" t="s">
        <v>40</v>
      </c>
      <c r="Q273">
        <v>0</v>
      </c>
      <c r="R273">
        <v>0</v>
      </c>
      <c r="S273">
        <v>0</v>
      </c>
      <c r="T273">
        <v>6</v>
      </c>
      <c r="U273">
        <v>6</v>
      </c>
      <c r="V273">
        <v>1</v>
      </c>
      <c r="W273">
        <v>2</v>
      </c>
      <c r="X273" t="s">
        <v>40</v>
      </c>
      <c r="Y273">
        <v>3</v>
      </c>
      <c r="Z273">
        <v>90</v>
      </c>
      <c r="AA273">
        <v>1</v>
      </c>
      <c r="AB273">
        <v>0</v>
      </c>
      <c r="AC273">
        <v>172.899</v>
      </c>
      <c r="AD273">
        <v>5059</v>
      </c>
      <c r="AH273">
        <v>0</v>
      </c>
      <c r="AI273">
        <v>0</v>
      </c>
      <c r="AL273" t="s">
        <v>40</v>
      </c>
      <c r="AM273" t="str">
        <f t="shared" si="18"/>
        <v>90 1</v>
      </c>
      <c r="AN273" t="str">
        <f t="shared" si="19"/>
        <v>405148.264,281063.404</v>
      </c>
      <c r="AO273" t="str">
        <f t="shared" si="20"/>
        <v>405202.307,281182.824</v>
      </c>
      <c r="AQ273" t="s">
        <v>2191</v>
      </c>
      <c r="AR273" t="s">
        <v>2188</v>
      </c>
    </row>
    <row r="274" spans="1:44" x14ac:dyDescent="0.3">
      <c r="A274">
        <v>3869</v>
      </c>
      <c r="B274">
        <v>4</v>
      </c>
      <c r="C274">
        <v>4017861</v>
      </c>
      <c r="D274">
        <v>18107</v>
      </c>
      <c r="E274">
        <v>2</v>
      </c>
      <c r="F274">
        <v>670050</v>
      </c>
      <c r="G274" t="s">
        <v>66</v>
      </c>
      <c r="H274" t="s">
        <v>67</v>
      </c>
      <c r="I274">
        <v>0</v>
      </c>
      <c r="J274" s="1">
        <v>406658.86300000001</v>
      </c>
      <c r="K274" s="1">
        <v>284827.63900000002</v>
      </c>
      <c r="L274" s="1">
        <v>406729.03100000002</v>
      </c>
      <c r="M274" s="1">
        <v>284801.96999999997</v>
      </c>
      <c r="N274" t="s">
        <v>40</v>
      </c>
      <c r="P274" t="s">
        <v>40</v>
      </c>
      <c r="Q274">
        <v>0</v>
      </c>
      <c r="R274">
        <v>0</v>
      </c>
      <c r="S274">
        <v>0</v>
      </c>
      <c r="T274">
        <v>6</v>
      </c>
      <c r="U274">
        <v>6</v>
      </c>
      <c r="V274">
        <v>1</v>
      </c>
      <c r="W274">
        <v>1</v>
      </c>
      <c r="X274" t="s">
        <v>40</v>
      </c>
      <c r="Y274">
        <v>3</v>
      </c>
      <c r="Z274">
        <v>92</v>
      </c>
      <c r="AA274">
        <v>1</v>
      </c>
      <c r="AB274">
        <v>0</v>
      </c>
      <c r="AC274">
        <v>77.494</v>
      </c>
      <c r="AD274">
        <v>5059</v>
      </c>
      <c r="AH274">
        <v>0</v>
      </c>
      <c r="AI274">
        <v>0</v>
      </c>
      <c r="AL274" t="s">
        <v>40</v>
      </c>
      <c r="AM274" t="str">
        <f t="shared" ref="AM274:AM313" si="21">_xlfn.CONCAT(Z274, " ",AA274)</f>
        <v>92 1</v>
      </c>
      <c r="AN274" t="str">
        <f t="shared" si="19"/>
        <v>406658.863,284827.639</v>
      </c>
      <c r="AO274" t="str">
        <f t="shared" si="20"/>
        <v>406729.031,284801.97</v>
      </c>
      <c r="AQ274" t="s">
        <v>2194</v>
      </c>
      <c r="AR274" t="s">
        <v>2178</v>
      </c>
    </row>
    <row r="275" spans="1:44" x14ac:dyDescent="0.3">
      <c r="A275">
        <v>3869</v>
      </c>
      <c r="B275">
        <v>4</v>
      </c>
      <c r="C275">
        <v>4008283</v>
      </c>
      <c r="D275">
        <v>18614</v>
      </c>
      <c r="E275">
        <v>2</v>
      </c>
      <c r="F275">
        <v>670050</v>
      </c>
      <c r="G275" t="s">
        <v>66</v>
      </c>
      <c r="H275" t="s">
        <v>71</v>
      </c>
      <c r="I275">
        <v>0</v>
      </c>
      <c r="J275" s="1">
        <v>406354.02</v>
      </c>
      <c r="K275" s="1">
        <v>284000</v>
      </c>
      <c r="L275" s="1">
        <v>406368.56300000002</v>
      </c>
      <c r="M275" s="1">
        <v>283893.31800000003</v>
      </c>
      <c r="N275" t="s">
        <v>40</v>
      </c>
      <c r="P275" t="s">
        <v>40</v>
      </c>
      <c r="Q275">
        <v>0</v>
      </c>
      <c r="R275">
        <v>0</v>
      </c>
      <c r="S275">
        <v>0</v>
      </c>
      <c r="T275">
        <v>6</v>
      </c>
      <c r="U275">
        <v>6</v>
      </c>
      <c r="V275">
        <v>1</v>
      </c>
      <c r="W275">
        <v>2</v>
      </c>
      <c r="X275" t="s">
        <v>40</v>
      </c>
      <c r="Y275">
        <v>3</v>
      </c>
      <c r="Z275">
        <v>52</v>
      </c>
      <c r="AA275">
        <v>1</v>
      </c>
      <c r="AB275">
        <v>0</v>
      </c>
      <c r="AC275">
        <v>216.661</v>
      </c>
      <c r="AD275">
        <v>5059</v>
      </c>
      <c r="AH275">
        <v>0</v>
      </c>
      <c r="AI275">
        <v>0</v>
      </c>
      <c r="AL275" t="s">
        <v>40</v>
      </c>
      <c r="AM275" t="str">
        <f t="shared" si="21"/>
        <v>52 1</v>
      </c>
      <c r="AN275" s="6" t="s">
        <v>1652</v>
      </c>
      <c r="AO275" s="6" t="s">
        <v>1048</v>
      </c>
      <c r="AQ275" t="s">
        <v>2193</v>
      </c>
      <c r="AR275" t="s">
        <v>2195</v>
      </c>
    </row>
    <row r="276" spans="1:44" x14ac:dyDescent="0.3">
      <c r="A276">
        <v>3869</v>
      </c>
      <c r="B276">
        <v>4</v>
      </c>
      <c r="C276">
        <v>4019740</v>
      </c>
      <c r="D276">
        <v>38778</v>
      </c>
      <c r="E276">
        <v>2</v>
      </c>
      <c r="F276">
        <v>670050</v>
      </c>
      <c r="G276" t="s">
        <v>66</v>
      </c>
      <c r="H276" t="s">
        <v>54</v>
      </c>
      <c r="I276">
        <v>0</v>
      </c>
      <c r="J276" s="1">
        <v>405867.48800000001</v>
      </c>
      <c r="K276" s="1">
        <v>282853.69199999998</v>
      </c>
      <c r="L276" s="1">
        <v>405786.136</v>
      </c>
      <c r="M276" s="1">
        <v>282869.27399999998</v>
      </c>
      <c r="N276" t="s">
        <v>40</v>
      </c>
      <c r="P276" t="s">
        <v>40</v>
      </c>
      <c r="Q276">
        <v>0</v>
      </c>
      <c r="R276">
        <v>0</v>
      </c>
      <c r="S276">
        <v>200111</v>
      </c>
      <c r="T276">
        <v>6</v>
      </c>
      <c r="U276">
        <v>6</v>
      </c>
      <c r="V276">
        <v>1</v>
      </c>
      <c r="W276">
        <v>3</v>
      </c>
      <c r="X276" t="s">
        <v>40</v>
      </c>
      <c r="Y276">
        <v>3</v>
      </c>
      <c r="Z276">
        <v>5030</v>
      </c>
      <c r="AA276">
        <v>1</v>
      </c>
      <c r="AB276">
        <v>0</v>
      </c>
      <c r="AC276">
        <v>108.169</v>
      </c>
      <c r="AD276">
        <v>5059</v>
      </c>
      <c r="AH276">
        <v>0</v>
      </c>
      <c r="AI276">
        <v>0</v>
      </c>
      <c r="AL276" t="s">
        <v>40</v>
      </c>
      <c r="AM276" t="str">
        <f t="shared" si="21"/>
        <v>5030 1</v>
      </c>
      <c r="AN276" t="str">
        <f t="shared" ref="AN276:AN312" si="22">ROUND(J276,3)&amp;","&amp;ROUND(K276,3)</f>
        <v>405867.488,282853.692</v>
      </c>
      <c r="AO276" t="str">
        <f t="shared" ref="AO276:AO312" si="23">ROUND(L276,3)&amp;","&amp;ROUND(M276,3)</f>
        <v>405786.136,282869.274</v>
      </c>
      <c r="AQ276" t="s">
        <v>2196</v>
      </c>
      <c r="AR276" t="s">
        <v>711</v>
      </c>
    </row>
    <row r="277" spans="1:44" x14ac:dyDescent="0.3">
      <c r="A277">
        <v>3869</v>
      </c>
      <c r="B277">
        <v>4</v>
      </c>
      <c r="C277">
        <v>4019710</v>
      </c>
      <c r="D277">
        <v>19284</v>
      </c>
      <c r="E277">
        <v>2</v>
      </c>
      <c r="F277">
        <v>670050</v>
      </c>
      <c r="G277" t="s">
        <v>66</v>
      </c>
      <c r="H277" t="s">
        <v>54</v>
      </c>
      <c r="I277">
        <v>0</v>
      </c>
      <c r="J277" s="1">
        <v>405832.72100000002</v>
      </c>
      <c r="K277" s="1">
        <v>282720.45699999999</v>
      </c>
      <c r="L277" s="1">
        <v>405856.90399999998</v>
      </c>
      <c r="M277" s="1">
        <v>282719.51500000001</v>
      </c>
      <c r="N277" t="s">
        <v>40</v>
      </c>
      <c r="P277" t="s">
        <v>40</v>
      </c>
      <c r="Q277">
        <v>0</v>
      </c>
      <c r="R277">
        <v>0</v>
      </c>
      <c r="S277">
        <v>0</v>
      </c>
      <c r="T277">
        <v>6</v>
      </c>
      <c r="U277">
        <v>6</v>
      </c>
      <c r="V277">
        <v>1</v>
      </c>
      <c r="W277">
        <v>1</v>
      </c>
      <c r="X277" t="s">
        <v>40</v>
      </c>
      <c r="Y277">
        <v>3</v>
      </c>
      <c r="Z277">
        <v>38</v>
      </c>
      <c r="AA277">
        <v>1</v>
      </c>
      <c r="AB277">
        <v>0</v>
      </c>
      <c r="AC277">
        <v>30.009</v>
      </c>
      <c r="AD277">
        <v>5059</v>
      </c>
      <c r="AH277">
        <v>0</v>
      </c>
      <c r="AI277">
        <v>0</v>
      </c>
      <c r="AL277" t="s">
        <v>40</v>
      </c>
      <c r="AM277" t="str">
        <f t="shared" si="21"/>
        <v>38 1</v>
      </c>
      <c r="AN277" t="str">
        <f t="shared" si="22"/>
        <v>405832.721,282720.457</v>
      </c>
      <c r="AO277" t="str">
        <f t="shared" si="23"/>
        <v>405856.904,282719.515</v>
      </c>
      <c r="AQ277" t="s">
        <v>2197</v>
      </c>
      <c r="AR277" t="s">
        <v>2198</v>
      </c>
    </row>
    <row r="278" spans="1:44" x14ac:dyDescent="0.3">
      <c r="A278">
        <v>3869</v>
      </c>
      <c r="B278">
        <v>4</v>
      </c>
      <c r="C278">
        <v>4007254</v>
      </c>
      <c r="D278">
        <v>7817</v>
      </c>
      <c r="E278">
        <v>2</v>
      </c>
      <c r="F278">
        <v>670050</v>
      </c>
      <c r="G278" t="s">
        <v>66</v>
      </c>
      <c r="H278" t="s">
        <v>71</v>
      </c>
      <c r="I278">
        <v>0</v>
      </c>
      <c r="J278" s="1">
        <v>406137.97200000001</v>
      </c>
      <c r="K278" s="1">
        <v>283577.20199999999</v>
      </c>
      <c r="L278" s="1">
        <v>406135.924</v>
      </c>
      <c r="M278" s="1">
        <v>283573.41399999999</v>
      </c>
      <c r="N278" t="s">
        <v>40</v>
      </c>
      <c r="P278" t="s">
        <v>40</v>
      </c>
      <c r="Q278">
        <v>0</v>
      </c>
      <c r="R278">
        <v>0</v>
      </c>
      <c r="S278">
        <v>0</v>
      </c>
      <c r="T278">
        <v>6</v>
      </c>
      <c r="U278">
        <v>6</v>
      </c>
      <c r="V278">
        <v>1</v>
      </c>
      <c r="W278">
        <v>3</v>
      </c>
      <c r="X278" t="s">
        <v>40</v>
      </c>
      <c r="Y278">
        <v>3</v>
      </c>
      <c r="Z278">
        <v>49</v>
      </c>
      <c r="AA278">
        <v>99</v>
      </c>
      <c r="AB278">
        <v>0</v>
      </c>
      <c r="AC278">
        <v>4.3460000000000001</v>
      </c>
      <c r="AD278">
        <v>5059</v>
      </c>
      <c r="AH278">
        <v>0</v>
      </c>
      <c r="AI278">
        <v>0</v>
      </c>
      <c r="AL278" t="s">
        <v>40</v>
      </c>
      <c r="AM278" t="str">
        <f t="shared" si="21"/>
        <v>49 99</v>
      </c>
      <c r="AN278" t="str">
        <f t="shared" si="22"/>
        <v>406137.972,283577.202</v>
      </c>
      <c r="AO278" t="str">
        <f t="shared" si="23"/>
        <v>406135.924,283573.414</v>
      </c>
      <c r="AQ278" t="s">
        <v>2199</v>
      </c>
      <c r="AR278" t="s">
        <v>2199</v>
      </c>
    </row>
    <row r="279" spans="1:44" x14ac:dyDescent="0.3">
      <c r="A279">
        <v>3869</v>
      </c>
      <c r="B279">
        <v>4</v>
      </c>
      <c r="C279">
        <v>4019661</v>
      </c>
      <c r="D279">
        <v>19622</v>
      </c>
      <c r="E279">
        <v>2</v>
      </c>
      <c r="F279">
        <v>670050</v>
      </c>
      <c r="G279" t="s">
        <v>66</v>
      </c>
      <c r="H279" t="s">
        <v>54</v>
      </c>
      <c r="I279">
        <v>0</v>
      </c>
      <c r="J279" s="1">
        <v>405726.14299999998</v>
      </c>
      <c r="K279" s="1">
        <v>282652.35399999999</v>
      </c>
      <c r="L279" s="1">
        <v>405833.54100000003</v>
      </c>
      <c r="M279" s="1">
        <v>282720.46799999999</v>
      </c>
      <c r="N279" t="s">
        <v>40</v>
      </c>
      <c r="P279" t="s">
        <v>40</v>
      </c>
      <c r="Q279">
        <v>0</v>
      </c>
      <c r="R279">
        <v>0</v>
      </c>
      <c r="S279">
        <v>0</v>
      </c>
      <c r="T279">
        <v>6</v>
      </c>
      <c r="U279">
        <v>6</v>
      </c>
      <c r="V279">
        <v>1</v>
      </c>
      <c r="W279">
        <v>1</v>
      </c>
      <c r="X279" t="s">
        <v>40</v>
      </c>
      <c r="Y279">
        <v>3</v>
      </c>
      <c r="Z279">
        <v>52</v>
      </c>
      <c r="AA279">
        <v>1</v>
      </c>
      <c r="AB279">
        <v>0</v>
      </c>
      <c r="AC279">
        <v>130.71</v>
      </c>
      <c r="AD279">
        <v>5059</v>
      </c>
      <c r="AH279">
        <v>0</v>
      </c>
      <c r="AI279">
        <v>0</v>
      </c>
      <c r="AL279" t="s">
        <v>40</v>
      </c>
      <c r="AM279" t="str">
        <f t="shared" si="21"/>
        <v>52 1</v>
      </c>
      <c r="AN279" t="str">
        <f t="shared" si="22"/>
        <v>405726.143,282652.354</v>
      </c>
      <c r="AO279" t="str">
        <f t="shared" si="23"/>
        <v>405833.541,282720.468</v>
      </c>
      <c r="AQ279" t="s">
        <v>2200</v>
      </c>
      <c r="AR279" t="s">
        <v>2201</v>
      </c>
    </row>
    <row r="280" spans="1:44" x14ac:dyDescent="0.3">
      <c r="A280">
        <v>3869</v>
      </c>
      <c r="B280">
        <v>4</v>
      </c>
      <c r="C280">
        <v>4018744</v>
      </c>
      <c r="D280">
        <v>18106</v>
      </c>
      <c r="E280">
        <v>2</v>
      </c>
      <c r="F280">
        <v>670050</v>
      </c>
      <c r="G280" t="s">
        <v>66</v>
      </c>
      <c r="H280" t="s">
        <v>67</v>
      </c>
      <c r="I280">
        <v>0</v>
      </c>
      <c r="J280" s="1">
        <v>406727.913</v>
      </c>
      <c r="K280" s="1">
        <v>284797.239</v>
      </c>
      <c r="L280" s="1">
        <v>406658.37800000003</v>
      </c>
      <c r="M280" s="1">
        <v>284827.54100000003</v>
      </c>
      <c r="N280" t="s">
        <v>40</v>
      </c>
      <c r="P280" t="s">
        <v>40</v>
      </c>
      <c r="Q280">
        <v>0</v>
      </c>
      <c r="R280">
        <v>0</v>
      </c>
      <c r="S280">
        <v>0</v>
      </c>
      <c r="T280">
        <v>6</v>
      </c>
      <c r="U280">
        <v>6</v>
      </c>
      <c r="V280">
        <v>1</v>
      </c>
      <c r="W280">
        <v>1</v>
      </c>
      <c r="X280" t="s">
        <v>40</v>
      </c>
      <c r="Y280">
        <v>3</v>
      </c>
      <c r="Z280">
        <v>92</v>
      </c>
      <c r="AA280">
        <v>1</v>
      </c>
      <c r="AB280">
        <v>0</v>
      </c>
      <c r="AC280">
        <v>81.055000000000007</v>
      </c>
      <c r="AD280">
        <v>5059</v>
      </c>
      <c r="AH280">
        <v>0</v>
      </c>
      <c r="AI280">
        <v>0</v>
      </c>
      <c r="AL280" t="s">
        <v>40</v>
      </c>
      <c r="AM280" t="str">
        <f t="shared" si="21"/>
        <v>92 1</v>
      </c>
      <c r="AN280" t="str">
        <f t="shared" si="22"/>
        <v>406727.913,284797.239</v>
      </c>
      <c r="AO280" t="str">
        <f t="shared" si="23"/>
        <v>406658.378,284827.541</v>
      </c>
      <c r="AQ280" t="s">
        <v>2202</v>
      </c>
      <c r="AR280" t="s">
        <v>2203</v>
      </c>
    </row>
    <row r="281" spans="1:44" x14ac:dyDescent="0.3">
      <c r="A281">
        <v>3869</v>
      </c>
      <c r="B281">
        <v>4</v>
      </c>
      <c r="C281">
        <v>4008289</v>
      </c>
      <c r="D281">
        <v>18627</v>
      </c>
      <c r="E281">
        <v>2</v>
      </c>
      <c r="F281">
        <v>670050</v>
      </c>
      <c r="G281" t="s">
        <v>66</v>
      </c>
      <c r="H281" t="s">
        <v>71</v>
      </c>
      <c r="I281">
        <v>0</v>
      </c>
      <c r="J281" s="1">
        <v>406368.56300000002</v>
      </c>
      <c r="K281" s="1">
        <v>283893.31800000003</v>
      </c>
      <c r="L281" s="1">
        <v>406371.87</v>
      </c>
      <c r="M281" s="1">
        <v>283889.07400000002</v>
      </c>
      <c r="N281" t="s">
        <v>40</v>
      </c>
      <c r="P281" t="s">
        <v>40</v>
      </c>
      <c r="Q281">
        <v>0</v>
      </c>
      <c r="R281">
        <v>0</v>
      </c>
      <c r="S281">
        <v>201112</v>
      </c>
      <c r="T281">
        <v>6</v>
      </c>
      <c r="U281">
        <v>6</v>
      </c>
      <c r="V281">
        <v>1</v>
      </c>
      <c r="W281">
        <v>2</v>
      </c>
      <c r="X281" t="s">
        <v>40</v>
      </c>
      <c r="Y281">
        <v>3</v>
      </c>
      <c r="Z281">
        <v>5023</v>
      </c>
      <c r="AA281">
        <v>99</v>
      </c>
      <c r="AB281">
        <v>0</v>
      </c>
      <c r="AC281">
        <v>5.9119999999999999</v>
      </c>
      <c r="AD281">
        <v>5059</v>
      </c>
      <c r="AE281" t="s">
        <v>46</v>
      </c>
      <c r="AH281">
        <v>0</v>
      </c>
      <c r="AI281">
        <v>0</v>
      </c>
      <c r="AL281" t="s">
        <v>40</v>
      </c>
      <c r="AM281" t="str">
        <f t="shared" si="21"/>
        <v>5023 99</v>
      </c>
      <c r="AN281" t="str">
        <f t="shared" si="22"/>
        <v>406368.563,283893.318</v>
      </c>
      <c r="AO281" t="str">
        <f t="shared" si="23"/>
        <v>406371.87,283889.074</v>
      </c>
      <c r="AQ281" t="s">
        <v>2195</v>
      </c>
      <c r="AR281" t="s">
        <v>2204</v>
      </c>
    </row>
    <row r="282" spans="1:44" x14ac:dyDescent="0.3">
      <c r="A282">
        <v>3869</v>
      </c>
      <c r="B282">
        <v>4</v>
      </c>
      <c r="C282">
        <v>4008290</v>
      </c>
      <c r="D282">
        <v>18606</v>
      </c>
      <c r="E282">
        <v>2</v>
      </c>
      <c r="F282">
        <v>670050</v>
      </c>
      <c r="G282" t="s">
        <v>66</v>
      </c>
      <c r="H282" t="s">
        <v>71</v>
      </c>
      <c r="I282">
        <v>0</v>
      </c>
      <c r="J282" s="1">
        <v>406371.87</v>
      </c>
      <c r="K282" s="1">
        <v>283889.07400000002</v>
      </c>
      <c r="L282" s="1">
        <v>406374.01400000002</v>
      </c>
      <c r="M282" s="1">
        <v>283886.97100000002</v>
      </c>
      <c r="N282" t="s">
        <v>40</v>
      </c>
      <c r="P282" t="s">
        <v>40</v>
      </c>
      <c r="Q282">
        <v>0</v>
      </c>
      <c r="R282">
        <v>0</v>
      </c>
      <c r="S282">
        <v>0</v>
      </c>
      <c r="T282">
        <v>6</v>
      </c>
      <c r="U282">
        <v>6</v>
      </c>
      <c r="V282">
        <v>1</v>
      </c>
      <c r="W282">
        <v>2</v>
      </c>
      <c r="X282" t="s">
        <v>40</v>
      </c>
      <c r="Y282">
        <v>3</v>
      </c>
      <c r="Z282">
        <v>38</v>
      </c>
      <c r="AA282">
        <v>5001</v>
      </c>
      <c r="AB282">
        <v>0</v>
      </c>
      <c r="AC282">
        <v>32.64</v>
      </c>
      <c r="AD282">
        <v>5059</v>
      </c>
      <c r="AH282">
        <v>0</v>
      </c>
      <c r="AI282">
        <v>0</v>
      </c>
      <c r="AL282" t="s">
        <v>40</v>
      </c>
      <c r="AM282" t="str">
        <f t="shared" si="21"/>
        <v>38 5001</v>
      </c>
      <c r="AN282" s="6" t="s">
        <v>1050</v>
      </c>
      <c r="AO282" s="6" t="s">
        <v>1049</v>
      </c>
      <c r="AQ282" t="s">
        <v>2205</v>
      </c>
      <c r="AR282" t="s">
        <v>2204</v>
      </c>
    </row>
    <row r="283" spans="1:44" x14ac:dyDescent="0.3">
      <c r="A283">
        <v>3869</v>
      </c>
      <c r="B283">
        <v>4</v>
      </c>
      <c r="C283">
        <v>4008304</v>
      </c>
      <c r="D283">
        <v>8073</v>
      </c>
      <c r="E283">
        <v>2</v>
      </c>
      <c r="F283">
        <v>670050</v>
      </c>
      <c r="G283" t="s">
        <v>66</v>
      </c>
      <c r="H283" t="s">
        <v>71</v>
      </c>
      <c r="I283">
        <v>0</v>
      </c>
      <c r="J283" s="1">
        <v>406397.22</v>
      </c>
      <c r="K283" s="1">
        <v>283897.19699999999</v>
      </c>
      <c r="L283" s="1">
        <v>406575.99200000003</v>
      </c>
      <c r="M283" s="1">
        <v>283896.73800000001</v>
      </c>
      <c r="N283" t="s">
        <v>40</v>
      </c>
      <c r="P283" t="s">
        <v>40</v>
      </c>
      <c r="Q283">
        <v>0</v>
      </c>
      <c r="R283">
        <v>0</v>
      </c>
      <c r="S283">
        <v>0</v>
      </c>
      <c r="T283">
        <v>6</v>
      </c>
      <c r="U283">
        <v>6</v>
      </c>
      <c r="V283">
        <v>1</v>
      </c>
      <c r="W283">
        <v>2</v>
      </c>
      <c r="X283" t="s">
        <v>40</v>
      </c>
      <c r="Y283">
        <v>3</v>
      </c>
      <c r="Z283">
        <v>52</v>
      </c>
      <c r="AA283">
        <v>1</v>
      </c>
      <c r="AB283">
        <v>0</v>
      </c>
      <c r="AC283">
        <v>262.77800000000002</v>
      </c>
      <c r="AD283">
        <v>5059</v>
      </c>
      <c r="AH283">
        <v>0</v>
      </c>
      <c r="AI283">
        <v>0</v>
      </c>
      <c r="AL283" t="s">
        <v>40</v>
      </c>
      <c r="AM283" t="str">
        <f t="shared" si="21"/>
        <v>52 1</v>
      </c>
      <c r="AN283" t="str">
        <f t="shared" si="22"/>
        <v>406397.22,283897.197</v>
      </c>
      <c r="AO283" t="str">
        <f t="shared" si="23"/>
        <v>406575.992,283896.738</v>
      </c>
      <c r="AQ283" t="s">
        <v>2205</v>
      </c>
      <c r="AR283" t="s">
        <v>2206</v>
      </c>
    </row>
    <row r="284" spans="1:44" x14ac:dyDescent="0.3">
      <c r="A284">
        <v>3869</v>
      </c>
      <c r="B284">
        <v>4</v>
      </c>
      <c r="C284">
        <v>4008307</v>
      </c>
      <c r="D284">
        <v>43583</v>
      </c>
      <c r="E284">
        <v>2</v>
      </c>
      <c r="F284">
        <v>670050</v>
      </c>
      <c r="G284" t="s">
        <v>66</v>
      </c>
      <c r="H284" t="s">
        <v>71</v>
      </c>
      <c r="I284">
        <v>0</v>
      </c>
      <c r="J284" s="1">
        <v>406575.99200000003</v>
      </c>
      <c r="K284" s="1">
        <v>283896.73800000001</v>
      </c>
      <c r="L284" s="1">
        <v>406578.05800000002</v>
      </c>
      <c r="M284" s="1">
        <v>283896.674</v>
      </c>
      <c r="N284" t="s">
        <v>40</v>
      </c>
      <c r="P284" t="s">
        <v>40</v>
      </c>
      <c r="Q284">
        <v>0</v>
      </c>
      <c r="R284">
        <v>0</v>
      </c>
      <c r="S284">
        <v>200006</v>
      </c>
      <c r="T284">
        <v>6</v>
      </c>
      <c r="U284">
        <v>6</v>
      </c>
      <c r="V284">
        <v>1</v>
      </c>
      <c r="W284">
        <v>2</v>
      </c>
      <c r="X284" t="s">
        <v>40</v>
      </c>
      <c r="Y284">
        <v>3</v>
      </c>
      <c r="Z284">
        <v>38</v>
      </c>
      <c r="AA284">
        <v>1</v>
      </c>
      <c r="AB284">
        <v>0</v>
      </c>
      <c r="AC284">
        <v>2.5249999999999999</v>
      </c>
      <c r="AD284">
        <v>5059</v>
      </c>
      <c r="AH284">
        <v>0</v>
      </c>
      <c r="AI284">
        <v>0</v>
      </c>
      <c r="AL284" t="s">
        <v>40</v>
      </c>
      <c r="AM284" t="str">
        <f t="shared" si="21"/>
        <v>38 1</v>
      </c>
      <c r="AN284" t="str">
        <f t="shared" si="22"/>
        <v>406575.992,283896.738</v>
      </c>
      <c r="AO284" t="str">
        <f t="shared" si="23"/>
        <v>406578.058,283896.674</v>
      </c>
      <c r="AQ284" t="s">
        <v>2206</v>
      </c>
      <c r="AR284" t="s">
        <v>706</v>
      </c>
    </row>
    <row r="285" spans="1:44" x14ac:dyDescent="0.3">
      <c r="A285">
        <v>3869</v>
      </c>
      <c r="B285">
        <v>4</v>
      </c>
      <c r="C285">
        <v>4019676</v>
      </c>
      <c r="D285">
        <v>38753</v>
      </c>
      <c r="E285">
        <v>2</v>
      </c>
      <c r="F285">
        <v>670050</v>
      </c>
      <c r="G285" t="s">
        <v>66</v>
      </c>
      <c r="H285" t="s">
        <v>54</v>
      </c>
      <c r="I285">
        <v>0</v>
      </c>
      <c r="J285" s="1">
        <v>405723.08799999999</v>
      </c>
      <c r="K285" s="1">
        <v>282650.049</v>
      </c>
      <c r="L285" s="1">
        <v>405722.755</v>
      </c>
      <c r="M285" s="1">
        <v>282651.13500000001</v>
      </c>
      <c r="N285" t="s">
        <v>40</v>
      </c>
      <c r="P285" t="s">
        <v>40</v>
      </c>
      <c r="Q285">
        <v>0</v>
      </c>
      <c r="R285">
        <v>0</v>
      </c>
      <c r="S285">
        <v>0</v>
      </c>
      <c r="T285">
        <v>6</v>
      </c>
      <c r="U285">
        <v>6</v>
      </c>
      <c r="V285">
        <v>1</v>
      </c>
      <c r="W285">
        <v>3</v>
      </c>
      <c r="X285" t="s">
        <v>40</v>
      </c>
      <c r="Y285">
        <v>3</v>
      </c>
      <c r="Z285">
        <v>36</v>
      </c>
      <c r="AA285">
        <v>5001</v>
      </c>
      <c r="AB285">
        <v>0</v>
      </c>
      <c r="AC285">
        <v>1.4590000000000001</v>
      </c>
      <c r="AD285">
        <v>5059</v>
      </c>
      <c r="AH285">
        <v>0</v>
      </c>
      <c r="AI285">
        <v>0</v>
      </c>
      <c r="AL285" t="s">
        <v>40</v>
      </c>
      <c r="AM285" t="str">
        <f t="shared" si="21"/>
        <v>36 5001</v>
      </c>
      <c r="AN285" t="str">
        <f t="shared" si="22"/>
        <v>405723.088,282650.049</v>
      </c>
      <c r="AO285" t="str">
        <f t="shared" si="23"/>
        <v>405722.755,282651.135</v>
      </c>
      <c r="AQ285" t="s">
        <v>2207</v>
      </c>
      <c r="AR285" t="s">
        <v>1894</v>
      </c>
    </row>
    <row r="286" spans="1:44" x14ac:dyDescent="0.3">
      <c r="A286">
        <v>3869</v>
      </c>
      <c r="B286">
        <v>4</v>
      </c>
      <c r="C286">
        <v>4019670</v>
      </c>
      <c r="D286">
        <v>38747</v>
      </c>
      <c r="E286">
        <v>2</v>
      </c>
      <c r="F286">
        <v>670050</v>
      </c>
      <c r="G286" t="s">
        <v>66</v>
      </c>
      <c r="H286" t="s">
        <v>54</v>
      </c>
      <c r="I286">
        <v>0</v>
      </c>
      <c r="J286" s="1">
        <v>405723.08799999999</v>
      </c>
      <c r="K286" s="1">
        <v>282650.049</v>
      </c>
      <c r="L286" s="1">
        <v>405725.41499999998</v>
      </c>
      <c r="M286" s="1">
        <v>282649.78200000001</v>
      </c>
      <c r="N286" t="s">
        <v>40</v>
      </c>
      <c r="P286" t="s">
        <v>40</v>
      </c>
      <c r="Q286">
        <v>0</v>
      </c>
      <c r="R286">
        <v>0</v>
      </c>
      <c r="S286">
        <v>0</v>
      </c>
      <c r="T286">
        <v>6</v>
      </c>
      <c r="U286">
        <v>6</v>
      </c>
      <c r="V286">
        <v>1</v>
      </c>
      <c r="W286">
        <v>3</v>
      </c>
      <c r="X286" t="s">
        <v>40</v>
      </c>
      <c r="Y286">
        <v>3</v>
      </c>
      <c r="Z286">
        <v>36</v>
      </c>
      <c r="AA286">
        <v>5001</v>
      </c>
      <c r="AB286">
        <v>0</v>
      </c>
      <c r="AC286">
        <v>2.698</v>
      </c>
      <c r="AD286">
        <v>5059</v>
      </c>
      <c r="AH286">
        <v>0</v>
      </c>
      <c r="AI286">
        <v>0</v>
      </c>
      <c r="AL286" t="s">
        <v>40</v>
      </c>
      <c r="AM286" t="str">
        <f t="shared" si="21"/>
        <v>36 5001</v>
      </c>
      <c r="AN286" t="str">
        <f t="shared" si="22"/>
        <v>405723.088,282650.049</v>
      </c>
      <c r="AO286" t="str">
        <f t="shared" si="23"/>
        <v>405725.415,282649.782</v>
      </c>
      <c r="AQ286" t="s">
        <v>2207</v>
      </c>
      <c r="AR286" t="s">
        <v>709</v>
      </c>
    </row>
    <row r="287" spans="1:44" x14ac:dyDescent="0.3">
      <c r="A287">
        <v>3869</v>
      </c>
      <c r="B287">
        <v>4</v>
      </c>
      <c r="C287">
        <v>4019662</v>
      </c>
      <c r="D287">
        <v>38748</v>
      </c>
      <c r="E287">
        <v>2</v>
      </c>
      <c r="F287">
        <v>670050</v>
      </c>
      <c r="G287" t="s">
        <v>66</v>
      </c>
      <c r="H287" t="s">
        <v>54</v>
      </c>
      <c r="I287">
        <v>0</v>
      </c>
      <c r="J287" s="1">
        <v>405726.14299999998</v>
      </c>
      <c r="K287" s="1">
        <v>282652.35399999999</v>
      </c>
      <c r="L287" s="1">
        <v>405725.12599999999</v>
      </c>
      <c r="M287" s="1">
        <v>282649.30200000003</v>
      </c>
      <c r="N287" t="s">
        <v>40</v>
      </c>
      <c r="P287" t="s">
        <v>40</v>
      </c>
      <c r="Q287">
        <v>0</v>
      </c>
      <c r="R287">
        <v>0</v>
      </c>
      <c r="S287">
        <v>0</v>
      </c>
      <c r="T287">
        <v>6</v>
      </c>
      <c r="U287">
        <v>6</v>
      </c>
      <c r="V287">
        <v>1</v>
      </c>
      <c r="W287">
        <v>1</v>
      </c>
      <c r="X287" t="s">
        <v>40</v>
      </c>
      <c r="Y287">
        <v>3</v>
      </c>
      <c r="Z287">
        <v>38</v>
      </c>
      <c r="AA287">
        <v>5001</v>
      </c>
      <c r="AB287">
        <v>0</v>
      </c>
      <c r="AC287">
        <v>4.3220000000000001</v>
      </c>
      <c r="AD287">
        <v>5059</v>
      </c>
      <c r="AH287">
        <v>0</v>
      </c>
      <c r="AI287">
        <v>0</v>
      </c>
      <c r="AL287" t="s">
        <v>40</v>
      </c>
      <c r="AM287" t="str">
        <f t="shared" si="21"/>
        <v>38 5001</v>
      </c>
      <c r="AN287" t="str">
        <f t="shared" si="22"/>
        <v>405726.143,282652.354</v>
      </c>
      <c r="AO287" t="str">
        <f t="shared" si="23"/>
        <v>405725.126,282649.302</v>
      </c>
      <c r="AQ287" t="s">
        <v>2200</v>
      </c>
      <c r="AR287" t="s">
        <v>709</v>
      </c>
    </row>
    <row r="288" spans="1:44" x14ac:dyDescent="0.3">
      <c r="A288">
        <v>3869</v>
      </c>
      <c r="B288">
        <v>4</v>
      </c>
      <c r="C288">
        <v>4018666</v>
      </c>
      <c r="D288">
        <v>16674</v>
      </c>
      <c r="E288">
        <v>2</v>
      </c>
      <c r="F288">
        <v>670050</v>
      </c>
      <c r="G288" t="s">
        <v>66</v>
      </c>
      <c r="H288" t="s">
        <v>67</v>
      </c>
      <c r="I288">
        <v>0</v>
      </c>
      <c r="J288" s="1">
        <v>406553.739</v>
      </c>
      <c r="K288" s="1">
        <v>284334.80599999998</v>
      </c>
      <c r="L288" s="1">
        <v>406567.35200000001</v>
      </c>
      <c r="M288" s="1">
        <v>284332.49599999998</v>
      </c>
      <c r="N288" t="s">
        <v>40</v>
      </c>
      <c r="P288" t="s">
        <v>40</v>
      </c>
      <c r="Q288">
        <v>0</v>
      </c>
      <c r="R288">
        <v>0</v>
      </c>
      <c r="S288">
        <v>0</v>
      </c>
      <c r="T288">
        <v>6</v>
      </c>
      <c r="U288">
        <v>6</v>
      </c>
      <c r="V288">
        <v>1</v>
      </c>
      <c r="W288">
        <v>1</v>
      </c>
      <c r="X288" t="s">
        <v>40</v>
      </c>
      <c r="Y288">
        <v>3</v>
      </c>
      <c r="Z288">
        <v>5024</v>
      </c>
      <c r="AA288">
        <v>1</v>
      </c>
      <c r="AB288">
        <v>0</v>
      </c>
      <c r="AC288">
        <v>14.512</v>
      </c>
      <c r="AD288">
        <v>5059</v>
      </c>
      <c r="AH288">
        <v>0</v>
      </c>
      <c r="AI288">
        <v>0</v>
      </c>
      <c r="AL288" t="s">
        <v>40</v>
      </c>
      <c r="AM288" t="str">
        <f t="shared" si="21"/>
        <v>5024 1</v>
      </c>
      <c r="AN288" t="str">
        <f t="shared" si="22"/>
        <v>406553.739,284334.806</v>
      </c>
      <c r="AO288" t="str">
        <f t="shared" si="23"/>
        <v>406567.352,284332.496</v>
      </c>
      <c r="AQ288" t="s">
        <v>2208</v>
      </c>
      <c r="AR288" t="s">
        <v>710</v>
      </c>
    </row>
    <row r="289" spans="1:44" x14ac:dyDescent="0.3">
      <c r="A289">
        <v>3869</v>
      </c>
      <c r="B289">
        <v>4</v>
      </c>
      <c r="C289">
        <v>4024032</v>
      </c>
      <c r="D289">
        <v>22966</v>
      </c>
      <c r="E289">
        <v>2</v>
      </c>
      <c r="F289">
        <v>670050</v>
      </c>
      <c r="G289" t="s">
        <v>66</v>
      </c>
      <c r="H289" t="s">
        <v>43</v>
      </c>
      <c r="I289">
        <v>0</v>
      </c>
      <c r="J289" s="1">
        <v>405121.65600000002</v>
      </c>
      <c r="K289" s="1">
        <v>281000</v>
      </c>
      <c r="L289" s="1">
        <v>405121.02299999999</v>
      </c>
      <c r="M289" s="1">
        <v>280992.19400000002</v>
      </c>
      <c r="N289" t="s">
        <v>40</v>
      </c>
      <c r="P289" t="s">
        <v>40</v>
      </c>
      <c r="Q289">
        <v>0</v>
      </c>
      <c r="R289">
        <v>0</v>
      </c>
      <c r="S289">
        <v>0</v>
      </c>
      <c r="T289">
        <v>6</v>
      </c>
      <c r="U289">
        <v>6</v>
      </c>
      <c r="V289">
        <v>1</v>
      </c>
      <c r="W289">
        <v>1</v>
      </c>
      <c r="X289" t="s">
        <v>40</v>
      </c>
      <c r="Y289">
        <v>3</v>
      </c>
      <c r="Z289">
        <v>90</v>
      </c>
      <c r="AA289">
        <v>99</v>
      </c>
      <c r="AB289">
        <v>0</v>
      </c>
      <c r="AC289">
        <v>8.9239999999999995</v>
      </c>
      <c r="AD289">
        <v>5059</v>
      </c>
      <c r="AH289">
        <v>0</v>
      </c>
      <c r="AI289">
        <v>0</v>
      </c>
      <c r="AL289" t="s">
        <v>40</v>
      </c>
      <c r="AM289" t="str">
        <f t="shared" si="21"/>
        <v>90 99</v>
      </c>
      <c r="AN289" t="str">
        <f t="shared" si="22"/>
        <v>405121.656,281000</v>
      </c>
      <c r="AO289" t="str">
        <f t="shared" si="23"/>
        <v>405121.023,280992.194</v>
      </c>
      <c r="AQ289" t="s">
        <v>2181</v>
      </c>
      <c r="AR289" t="s">
        <v>2209</v>
      </c>
    </row>
    <row r="290" spans="1:44" x14ac:dyDescent="0.3">
      <c r="A290">
        <v>3869</v>
      </c>
      <c r="B290">
        <v>4</v>
      </c>
      <c r="C290">
        <v>4018664</v>
      </c>
      <c r="D290">
        <v>16700</v>
      </c>
      <c r="E290">
        <v>2</v>
      </c>
      <c r="F290">
        <v>670050</v>
      </c>
      <c r="G290" t="s">
        <v>66</v>
      </c>
      <c r="H290" t="s">
        <v>67</v>
      </c>
      <c r="I290">
        <v>0</v>
      </c>
      <c r="J290" s="1">
        <v>406552.15</v>
      </c>
      <c r="K290" s="1">
        <v>284336.266</v>
      </c>
      <c r="L290" s="1">
        <v>406550.46100000001</v>
      </c>
      <c r="M290" s="1">
        <v>284336.94900000002</v>
      </c>
      <c r="N290" t="s">
        <v>40</v>
      </c>
      <c r="P290" t="s">
        <v>40</v>
      </c>
      <c r="Q290">
        <v>0</v>
      </c>
      <c r="R290">
        <v>0</v>
      </c>
      <c r="S290">
        <v>199911</v>
      </c>
      <c r="T290">
        <v>6</v>
      </c>
      <c r="U290">
        <v>6</v>
      </c>
      <c r="V290">
        <v>1</v>
      </c>
      <c r="W290">
        <v>1</v>
      </c>
      <c r="X290" t="s">
        <v>40</v>
      </c>
      <c r="Y290">
        <v>3</v>
      </c>
      <c r="Z290">
        <v>5024</v>
      </c>
      <c r="AA290">
        <v>1</v>
      </c>
      <c r="AB290">
        <v>0</v>
      </c>
      <c r="AC290">
        <v>83.466000000000008</v>
      </c>
      <c r="AD290">
        <v>5059</v>
      </c>
      <c r="AH290">
        <v>0</v>
      </c>
      <c r="AI290">
        <v>0</v>
      </c>
      <c r="AL290" t="s">
        <v>40</v>
      </c>
      <c r="AM290" t="str">
        <f t="shared" si="21"/>
        <v>5024 1</v>
      </c>
      <c r="AN290" s="6" t="s">
        <v>1075</v>
      </c>
      <c r="AO290" s="6" t="s">
        <v>1055</v>
      </c>
      <c r="AQ290" t="s">
        <v>2210</v>
      </c>
      <c r="AR290" t="s">
        <v>2211</v>
      </c>
    </row>
    <row r="291" spans="1:44" x14ac:dyDescent="0.3">
      <c r="A291">
        <v>3869</v>
      </c>
      <c r="B291">
        <v>4</v>
      </c>
      <c r="C291">
        <v>4019617</v>
      </c>
      <c r="D291">
        <v>18853</v>
      </c>
      <c r="E291">
        <v>2</v>
      </c>
      <c r="F291">
        <v>670050</v>
      </c>
      <c r="G291" t="s">
        <v>66</v>
      </c>
      <c r="H291" t="s">
        <v>54</v>
      </c>
      <c r="I291">
        <v>0</v>
      </c>
      <c r="J291" s="1">
        <v>405778.4</v>
      </c>
      <c r="K291" s="1">
        <v>282276.03600000002</v>
      </c>
      <c r="L291" s="1">
        <v>405781.86200000002</v>
      </c>
      <c r="M291" s="1">
        <v>282286.44099999999</v>
      </c>
      <c r="N291" t="s">
        <v>40</v>
      </c>
      <c r="P291" t="s">
        <v>40</v>
      </c>
      <c r="Q291">
        <v>0</v>
      </c>
      <c r="R291">
        <v>0</v>
      </c>
      <c r="S291">
        <v>201010</v>
      </c>
      <c r="T291">
        <v>6</v>
      </c>
      <c r="U291">
        <v>6</v>
      </c>
      <c r="V291">
        <v>1</v>
      </c>
      <c r="W291">
        <v>1</v>
      </c>
      <c r="X291" t="s">
        <v>40</v>
      </c>
      <c r="Y291">
        <v>3</v>
      </c>
      <c r="Z291">
        <v>5028</v>
      </c>
      <c r="AA291">
        <v>1</v>
      </c>
      <c r="AB291">
        <v>0</v>
      </c>
      <c r="AC291">
        <v>10.965999999999999</v>
      </c>
      <c r="AD291">
        <v>5059</v>
      </c>
      <c r="AE291" t="s">
        <v>72</v>
      </c>
      <c r="AH291">
        <v>0</v>
      </c>
      <c r="AI291">
        <v>0</v>
      </c>
      <c r="AL291" t="s">
        <v>40</v>
      </c>
      <c r="AM291" t="str">
        <f t="shared" si="21"/>
        <v>5028 1</v>
      </c>
      <c r="AN291" t="str">
        <f t="shared" si="22"/>
        <v>405778.4,282276.036</v>
      </c>
      <c r="AO291" t="str">
        <f t="shared" si="23"/>
        <v>405781.862,282286.441</v>
      </c>
      <c r="AQ291" t="s">
        <v>2212</v>
      </c>
      <c r="AR291" t="s">
        <v>2213</v>
      </c>
    </row>
    <row r="292" spans="1:44" x14ac:dyDescent="0.3">
      <c r="A292">
        <v>3869</v>
      </c>
      <c r="B292">
        <v>4</v>
      </c>
      <c r="C292">
        <v>4018665</v>
      </c>
      <c r="D292">
        <v>16701</v>
      </c>
      <c r="E292">
        <v>2</v>
      </c>
      <c r="F292">
        <v>670050</v>
      </c>
      <c r="G292" t="s">
        <v>66</v>
      </c>
      <c r="H292" t="s">
        <v>67</v>
      </c>
      <c r="I292">
        <v>0</v>
      </c>
      <c r="J292" s="1">
        <v>406552.15</v>
      </c>
      <c r="K292" s="1">
        <v>284336.266</v>
      </c>
      <c r="L292" s="1">
        <v>406553.739</v>
      </c>
      <c r="M292" s="1">
        <v>284334.80599999998</v>
      </c>
      <c r="N292" t="s">
        <v>40</v>
      </c>
      <c r="P292" t="s">
        <v>40</v>
      </c>
      <c r="Q292">
        <v>0</v>
      </c>
      <c r="R292">
        <v>0</v>
      </c>
      <c r="S292">
        <v>201104</v>
      </c>
      <c r="T292">
        <v>6</v>
      </c>
      <c r="U292">
        <v>6</v>
      </c>
      <c r="V292">
        <v>1</v>
      </c>
      <c r="W292">
        <v>1</v>
      </c>
      <c r="X292" t="s">
        <v>40</v>
      </c>
      <c r="Y292">
        <v>3</v>
      </c>
      <c r="Z292">
        <v>5023</v>
      </c>
      <c r="AA292">
        <v>1</v>
      </c>
      <c r="AB292">
        <v>0</v>
      </c>
      <c r="AC292">
        <v>2.2050000000000001</v>
      </c>
      <c r="AD292">
        <v>5059</v>
      </c>
      <c r="AE292" t="s">
        <v>73</v>
      </c>
      <c r="AH292">
        <v>0</v>
      </c>
      <c r="AI292">
        <v>0</v>
      </c>
      <c r="AL292" t="s">
        <v>40</v>
      </c>
      <c r="AM292" t="str">
        <f t="shared" si="21"/>
        <v>5023 1</v>
      </c>
      <c r="AN292" t="str">
        <f t="shared" si="22"/>
        <v>406552.15,284336.266</v>
      </c>
      <c r="AO292" t="str">
        <f t="shared" si="23"/>
        <v>406553.739,284334.806</v>
      </c>
      <c r="AQ292" t="s">
        <v>2211</v>
      </c>
      <c r="AR292" t="s">
        <v>2208</v>
      </c>
    </row>
    <row r="293" spans="1:44" x14ac:dyDescent="0.3">
      <c r="A293">
        <v>3869</v>
      </c>
      <c r="B293">
        <v>4</v>
      </c>
      <c r="C293">
        <v>4029683</v>
      </c>
      <c r="D293">
        <v>68898</v>
      </c>
      <c r="E293">
        <v>2</v>
      </c>
      <c r="F293">
        <v>670050</v>
      </c>
      <c r="G293" t="s">
        <v>66</v>
      </c>
      <c r="H293" t="s">
        <v>69</v>
      </c>
      <c r="I293">
        <v>0</v>
      </c>
      <c r="J293" s="1">
        <v>406916.859</v>
      </c>
      <c r="K293" s="1">
        <v>285893.08799999999</v>
      </c>
      <c r="L293" s="1">
        <v>406848.85399999999</v>
      </c>
      <c r="M293" s="1">
        <v>285908.73</v>
      </c>
      <c r="N293" t="s">
        <v>40</v>
      </c>
      <c r="P293" t="s">
        <v>40</v>
      </c>
      <c r="Q293">
        <v>0</v>
      </c>
      <c r="R293">
        <v>0</v>
      </c>
      <c r="S293">
        <v>0</v>
      </c>
      <c r="T293">
        <v>6</v>
      </c>
      <c r="U293">
        <v>6</v>
      </c>
      <c r="V293">
        <v>1</v>
      </c>
      <c r="W293">
        <v>1</v>
      </c>
      <c r="X293" t="s">
        <v>40</v>
      </c>
      <c r="Y293">
        <v>3</v>
      </c>
      <c r="Z293">
        <v>52</v>
      </c>
      <c r="AA293">
        <v>1</v>
      </c>
      <c r="AB293">
        <v>0</v>
      </c>
      <c r="AC293">
        <v>168.72799999999998</v>
      </c>
      <c r="AD293">
        <v>5059</v>
      </c>
      <c r="AH293">
        <v>0</v>
      </c>
      <c r="AI293">
        <v>0</v>
      </c>
      <c r="AL293" t="s">
        <v>40</v>
      </c>
      <c r="AM293" t="str">
        <f t="shared" si="21"/>
        <v>52 1</v>
      </c>
      <c r="AN293" s="6" t="s">
        <v>1074</v>
      </c>
      <c r="AO293" s="6" t="s">
        <v>1658</v>
      </c>
      <c r="AQ293" t="s">
        <v>2214</v>
      </c>
      <c r="AR293" t="s">
        <v>2215</v>
      </c>
    </row>
    <row r="294" spans="1:44" x14ac:dyDescent="0.3">
      <c r="A294">
        <v>3869</v>
      </c>
      <c r="B294">
        <v>4</v>
      </c>
      <c r="C294">
        <v>4019616</v>
      </c>
      <c r="D294">
        <v>18314</v>
      </c>
      <c r="E294">
        <v>2</v>
      </c>
      <c r="F294">
        <v>670050</v>
      </c>
      <c r="G294" t="s">
        <v>66</v>
      </c>
      <c r="H294" t="s">
        <v>54</v>
      </c>
      <c r="I294">
        <v>0</v>
      </c>
      <c r="J294" s="1">
        <v>405778.4</v>
      </c>
      <c r="K294" s="1">
        <v>282276.03600000002</v>
      </c>
      <c r="L294" s="1">
        <v>405770.61</v>
      </c>
      <c r="M294" s="1">
        <v>282252.58399999997</v>
      </c>
      <c r="N294" t="s">
        <v>40</v>
      </c>
      <c r="P294" t="s">
        <v>40</v>
      </c>
      <c r="Q294">
        <v>0</v>
      </c>
      <c r="R294">
        <v>0</v>
      </c>
      <c r="S294">
        <v>0</v>
      </c>
      <c r="T294">
        <v>7</v>
      </c>
      <c r="U294">
        <v>6</v>
      </c>
      <c r="V294">
        <v>1</v>
      </c>
      <c r="W294">
        <v>1</v>
      </c>
      <c r="X294" t="s">
        <v>40</v>
      </c>
      <c r="Y294">
        <v>3</v>
      </c>
      <c r="Z294">
        <v>255</v>
      </c>
      <c r="AA294">
        <v>18</v>
      </c>
      <c r="AB294">
        <v>0</v>
      </c>
      <c r="AC294">
        <v>24.712</v>
      </c>
      <c r="AD294">
        <v>5059</v>
      </c>
      <c r="AH294">
        <v>0</v>
      </c>
      <c r="AI294">
        <v>0</v>
      </c>
      <c r="AL294" t="s">
        <v>40</v>
      </c>
      <c r="AM294" t="str">
        <f t="shared" si="21"/>
        <v>255 18</v>
      </c>
      <c r="AN294" t="str">
        <f t="shared" si="22"/>
        <v>405778.4,282276.036</v>
      </c>
      <c r="AO294" t="str">
        <f t="shared" si="23"/>
        <v>405770.61,282252.584</v>
      </c>
      <c r="AQ294" t="s">
        <v>2212</v>
      </c>
      <c r="AR294" t="s">
        <v>2216</v>
      </c>
    </row>
    <row r="295" spans="1:44" x14ac:dyDescent="0.3">
      <c r="A295">
        <v>3869</v>
      </c>
      <c r="B295">
        <v>4</v>
      </c>
      <c r="C295">
        <v>4019613</v>
      </c>
      <c r="D295">
        <v>38729</v>
      </c>
      <c r="E295">
        <v>2</v>
      </c>
      <c r="F295">
        <v>670050</v>
      </c>
      <c r="G295" t="s">
        <v>66</v>
      </c>
      <c r="H295" t="s">
        <v>54</v>
      </c>
      <c r="I295">
        <v>0</v>
      </c>
      <c r="J295" s="1">
        <v>405770.61</v>
      </c>
      <c r="K295" s="1">
        <v>282252.58399999997</v>
      </c>
      <c r="L295" s="1">
        <v>405755.96799999999</v>
      </c>
      <c r="M295" s="1">
        <v>282249.71799999999</v>
      </c>
      <c r="N295" t="s">
        <v>40</v>
      </c>
      <c r="P295" t="s">
        <v>40</v>
      </c>
      <c r="Q295">
        <v>0</v>
      </c>
      <c r="R295">
        <v>0</v>
      </c>
      <c r="S295">
        <v>200705</v>
      </c>
      <c r="T295">
        <v>6</v>
      </c>
      <c r="U295">
        <v>6</v>
      </c>
      <c r="V295">
        <v>1</v>
      </c>
      <c r="W295">
        <v>1</v>
      </c>
      <c r="X295" t="s">
        <v>40</v>
      </c>
      <c r="Y295">
        <v>3</v>
      </c>
      <c r="Z295">
        <v>5028</v>
      </c>
      <c r="AA295">
        <v>1</v>
      </c>
      <c r="AB295">
        <v>0</v>
      </c>
      <c r="AC295">
        <v>18.34</v>
      </c>
      <c r="AD295">
        <v>5059</v>
      </c>
      <c r="AH295">
        <v>0</v>
      </c>
      <c r="AI295">
        <v>0</v>
      </c>
      <c r="AL295" t="s">
        <v>40</v>
      </c>
      <c r="AM295" t="str">
        <f t="shared" si="21"/>
        <v>5028 1</v>
      </c>
      <c r="AN295" t="str">
        <f t="shared" si="22"/>
        <v>405770.61,282252.584</v>
      </c>
      <c r="AO295" t="str">
        <f t="shared" si="23"/>
        <v>405755.968,282249.718</v>
      </c>
      <c r="AQ295" t="s">
        <v>2216</v>
      </c>
      <c r="AR295" t="s">
        <v>708</v>
      </c>
    </row>
    <row r="296" spans="1:44" x14ac:dyDescent="0.3">
      <c r="A296">
        <v>3869</v>
      </c>
      <c r="B296">
        <v>4</v>
      </c>
      <c r="C296">
        <v>4018745</v>
      </c>
      <c r="D296">
        <v>69385</v>
      </c>
      <c r="E296">
        <v>2</v>
      </c>
      <c r="F296">
        <v>670050</v>
      </c>
      <c r="G296" t="s">
        <v>66</v>
      </c>
      <c r="H296" t="s">
        <v>67</v>
      </c>
      <c r="I296">
        <v>0</v>
      </c>
      <c r="J296" s="1">
        <v>406658.37800000003</v>
      </c>
      <c r="K296" s="1">
        <v>284827.54100000003</v>
      </c>
      <c r="L296" s="1">
        <v>406650.41899999999</v>
      </c>
      <c r="M296" s="1">
        <v>284835.61900000001</v>
      </c>
      <c r="N296" t="s">
        <v>40</v>
      </c>
      <c r="P296" t="s">
        <v>40</v>
      </c>
      <c r="Q296">
        <v>0</v>
      </c>
      <c r="R296">
        <v>0</v>
      </c>
      <c r="S296">
        <v>201107</v>
      </c>
      <c r="T296">
        <v>6</v>
      </c>
      <c r="U296">
        <v>6</v>
      </c>
      <c r="V296">
        <v>1</v>
      </c>
      <c r="W296">
        <v>1</v>
      </c>
      <c r="X296" t="s">
        <v>40</v>
      </c>
      <c r="Y296">
        <v>3</v>
      </c>
      <c r="Z296">
        <v>5028</v>
      </c>
      <c r="AA296">
        <v>1</v>
      </c>
      <c r="AB296">
        <v>0</v>
      </c>
      <c r="AC296">
        <v>12.821</v>
      </c>
      <c r="AD296">
        <v>5059</v>
      </c>
      <c r="AE296" t="s">
        <v>74</v>
      </c>
      <c r="AH296">
        <v>0</v>
      </c>
      <c r="AI296">
        <v>0</v>
      </c>
      <c r="AL296" t="s">
        <v>40</v>
      </c>
      <c r="AM296" t="str">
        <f t="shared" si="21"/>
        <v>5028 1</v>
      </c>
      <c r="AN296" t="str">
        <f t="shared" si="22"/>
        <v>406658.378,284827.541</v>
      </c>
      <c r="AO296" t="str">
        <f t="shared" si="23"/>
        <v>406650.419,284835.619</v>
      </c>
      <c r="AQ296" t="s">
        <v>2203</v>
      </c>
      <c r="AR296" t="s">
        <v>710</v>
      </c>
    </row>
    <row r="297" spans="1:44" x14ac:dyDescent="0.3">
      <c r="A297">
        <v>3869</v>
      </c>
      <c r="B297">
        <v>4</v>
      </c>
      <c r="C297">
        <v>4018687</v>
      </c>
      <c r="D297">
        <v>16794</v>
      </c>
      <c r="E297">
        <v>2</v>
      </c>
      <c r="F297">
        <v>670050</v>
      </c>
      <c r="G297" t="s">
        <v>66</v>
      </c>
      <c r="H297" t="s">
        <v>67</v>
      </c>
      <c r="I297">
        <v>0</v>
      </c>
      <c r="J297" s="1">
        <v>406524.10100000002</v>
      </c>
      <c r="K297" s="1">
        <v>284355.10700000002</v>
      </c>
      <c r="L297" s="1">
        <v>406567.51799999998</v>
      </c>
      <c r="M297" s="1">
        <v>284332.85499999998</v>
      </c>
      <c r="N297" t="s">
        <v>40</v>
      </c>
      <c r="P297" t="s">
        <v>40</v>
      </c>
      <c r="Q297">
        <v>0</v>
      </c>
      <c r="R297">
        <v>0</v>
      </c>
      <c r="S297">
        <v>0</v>
      </c>
      <c r="T297">
        <v>6</v>
      </c>
      <c r="U297">
        <v>6</v>
      </c>
      <c r="V297">
        <v>1</v>
      </c>
      <c r="W297">
        <v>1</v>
      </c>
      <c r="X297" t="s">
        <v>40</v>
      </c>
      <c r="Y297">
        <v>3</v>
      </c>
      <c r="Z297">
        <v>5024</v>
      </c>
      <c r="AA297">
        <v>1</v>
      </c>
      <c r="AB297">
        <v>0</v>
      </c>
      <c r="AC297">
        <v>52.707999999999998</v>
      </c>
      <c r="AD297">
        <v>5059</v>
      </c>
      <c r="AH297">
        <v>0</v>
      </c>
      <c r="AI297">
        <v>0</v>
      </c>
      <c r="AL297" t="s">
        <v>40</v>
      </c>
      <c r="AM297" t="str">
        <f t="shared" si="21"/>
        <v>5024 1</v>
      </c>
      <c r="AN297" t="str">
        <f t="shared" si="22"/>
        <v>406524.101,284355.107</v>
      </c>
      <c r="AO297" t="str">
        <f t="shared" si="23"/>
        <v>406567.518,284332.855</v>
      </c>
      <c r="AQ297" t="s">
        <v>2217</v>
      </c>
      <c r="AR297" t="s">
        <v>709</v>
      </c>
    </row>
    <row r="298" spans="1:44" x14ac:dyDescent="0.3">
      <c r="A298">
        <v>3869</v>
      </c>
      <c r="B298">
        <v>4</v>
      </c>
      <c r="C298">
        <v>4018703</v>
      </c>
      <c r="D298">
        <v>16749</v>
      </c>
      <c r="E298">
        <v>2</v>
      </c>
      <c r="F298">
        <v>670050</v>
      </c>
      <c r="G298" t="s">
        <v>66</v>
      </c>
      <c r="H298" t="s">
        <v>67</v>
      </c>
      <c r="I298">
        <v>0</v>
      </c>
      <c r="J298" s="1">
        <v>406579.31599999999</v>
      </c>
      <c r="K298" s="1">
        <v>284467.20799999998</v>
      </c>
      <c r="L298" s="1">
        <v>406524.10100000002</v>
      </c>
      <c r="M298" s="1">
        <v>284355.10700000002</v>
      </c>
      <c r="N298" t="s">
        <v>40</v>
      </c>
      <c r="P298" t="s">
        <v>40</v>
      </c>
      <c r="Q298">
        <v>0</v>
      </c>
      <c r="R298">
        <v>0</v>
      </c>
      <c r="S298">
        <v>0</v>
      </c>
      <c r="T298">
        <v>6</v>
      </c>
      <c r="U298">
        <v>6</v>
      </c>
      <c r="V298">
        <v>1</v>
      </c>
      <c r="W298">
        <v>1</v>
      </c>
      <c r="X298" t="s">
        <v>40</v>
      </c>
      <c r="Y298">
        <v>3</v>
      </c>
      <c r="Z298">
        <v>90</v>
      </c>
      <c r="AA298">
        <v>1</v>
      </c>
      <c r="AB298">
        <v>0</v>
      </c>
      <c r="AC298">
        <v>125.348</v>
      </c>
      <c r="AD298">
        <v>5059</v>
      </c>
      <c r="AH298">
        <v>0</v>
      </c>
      <c r="AI298">
        <v>0</v>
      </c>
      <c r="AL298" t="s">
        <v>40</v>
      </c>
      <c r="AM298" t="str">
        <f t="shared" si="21"/>
        <v>90 1</v>
      </c>
      <c r="AN298" t="str">
        <f t="shared" si="22"/>
        <v>406579.316,284467.208</v>
      </c>
      <c r="AO298" t="str">
        <f t="shared" si="23"/>
        <v>406524.101,284355.107</v>
      </c>
      <c r="AQ298" t="s">
        <v>2218</v>
      </c>
      <c r="AR298" t="s">
        <v>2217</v>
      </c>
    </row>
    <row r="299" spans="1:44" x14ac:dyDescent="0.3">
      <c r="A299">
        <v>3869</v>
      </c>
      <c r="B299">
        <v>4</v>
      </c>
      <c r="C299">
        <v>4018704</v>
      </c>
      <c r="D299">
        <v>16860</v>
      </c>
      <c r="E299">
        <v>2</v>
      </c>
      <c r="F299">
        <v>670050</v>
      </c>
      <c r="G299" t="s">
        <v>66</v>
      </c>
      <c r="H299" t="s">
        <v>67</v>
      </c>
      <c r="I299">
        <v>0</v>
      </c>
      <c r="J299" s="1">
        <v>406649.97</v>
      </c>
      <c r="K299" s="1">
        <v>284611.45699999999</v>
      </c>
      <c r="L299" s="1">
        <v>406579.31599999999</v>
      </c>
      <c r="M299" s="1">
        <v>284467.20799999998</v>
      </c>
      <c r="N299" t="s">
        <v>40</v>
      </c>
      <c r="P299" t="s">
        <v>40</v>
      </c>
      <c r="Q299">
        <v>0</v>
      </c>
      <c r="R299">
        <v>0</v>
      </c>
      <c r="S299">
        <v>0</v>
      </c>
      <c r="T299">
        <v>7</v>
      </c>
      <c r="U299">
        <v>6</v>
      </c>
      <c r="V299">
        <v>1</v>
      </c>
      <c r="W299">
        <v>1</v>
      </c>
      <c r="X299" t="s">
        <v>40</v>
      </c>
      <c r="Y299">
        <v>3</v>
      </c>
      <c r="Z299">
        <v>255</v>
      </c>
      <c r="AA299">
        <v>18</v>
      </c>
      <c r="AB299">
        <v>0</v>
      </c>
      <c r="AC299">
        <v>210.316</v>
      </c>
      <c r="AD299">
        <v>5059</v>
      </c>
      <c r="AH299">
        <v>0</v>
      </c>
      <c r="AI299">
        <v>0</v>
      </c>
      <c r="AL299" t="s">
        <v>40</v>
      </c>
      <c r="AM299" t="str">
        <f t="shared" si="21"/>
        <v>255 18</v>
      </c>
      <c r="AN299" s="6" t="s">
        <v>1061</v>
      </c>
      <c r="AO299" s="6" t="s">
        <v>1062</v>
      </c>
      <c r="AQ299" t="s">
        <v>2218</v>
      </c>
      <c r="AR299" t="s">
        <v>2219</v>
      </c>
    </row>
    <row r="300" spans="1:44" x14ac:dyDescent="0.3">
      <c r="A300">
        <v>3869</v>
      </c>
      <c r="B300">
        <v>4</v>
      </c>
      <c r="C300">
        <v>4018717</v>
      </c>
      <c r="D300">
        <v>17946</v>
      </c>
      <c r="E300">
        <v>2</v>
      </c>
      <c r="F300">
        <v>670050</v>
      </c>
      <c r="G300" t="s">
        <v>66</v>
      </c>
      <c r="H300" t="s">
        <v>67</v>
      </c>
      <c r="I300">
        <v>0</v>
      </c>
      <c r="J300" s="1">
        <v>406672.26699999999</v>
      </c>
      <c r="K300" s="1">
        <v>284655.85800000001</v>
      </c>
      <c r="L300" s="1">
        <v>406671.31099999999</v>
      </c>
      <c r="M300" s="1">
        <v>284683.049</v>
      </c>
      <c r="N300" t="s">
        <v>40</v>
      </c>
      <c r="P300" t="s">
        <v>40</v>
      </c>
      <c r="Q300">
        <v>0</v>
      </c>
      <c r="R300">
        <v>0</v>
      </c>
      <c r="S300">
        <v>0</v>
      </c>
      <c r="T300">
        <v>6</v>
      </c>
      <c r="U300">
        <v>6</v>
      </c>
      <c r="V300">
        <v>1</v>
      </c>
      <c r="W300">
        <v>1</v>
      </c>
      <c r="X300" t="s">
        <v>40</v>
      </c>
      <c r="Y300">
        <v>3</v>
      </c>
      <c r="Z300">
        <v>90</v>
      </c>
      <c r="AA300">
        <v>1</v>
      </c>
      <c r="AB300">
        <v>0</v>
      </c>
      <c r="AC300">
        <v>38.558999999999997</v>
      </c>
      <c r="AD300">
        <v>5059</v>
      </c>
      <c r="AH300">
        <v>0</v>
      </c>
      <c r="AI300">
        <v>0</v>
      </c>
      <c r="AL300" t="s">
        <v>40</v>
      </c>
      <c r="AM300" t="str">
        <f t="shared" si="21"/>
        <v>90 1</v>
      </c>
      <c r="AN300" t="str">
        <f t="shared" si="22"/>
        <v>406672.267,284655.858</v>
      </c>
      <c r="AO300" t="str">
        <f t="shared" si="23"/>
        <v>406671.311,284683.049</v>
      </c>
      <c r="AQ300" t="s">
        <v>2219</v>
      </c>
      <c r="AR300" t="s">
        <v>2220</v>
      </c>
    </row>
    <row r="301" spans="1:44" x14ac:dyDescent="0.3">
      <c r="A301">
        <v>3869</v>
      </c>
      <c r="B301">
        <v>4</v>
      </c>
      <c r="C301">
        <v>4018729</v>
      </c>
      <c r="D301">
        <v>18067</v>
      </c>
      <c r="E301">
        <v>2</v>
      </c>
      <c r="F301">
        <v>670050</v>
      </c>
      <c r="G301" t="s">
        <v>66</v>
      </c>
      <c r="H301" t="s">
        <v>67</v>
      </c>
      <c r="I301">
        <v>0</v>
      </c>
      <c r="J301" s="1">
        <v>406684.62800000003</v>
      </c>
      <c r="K301" s="1">
        <v>284710.77799999999</v>
      </c>
      <c r="L301" s="1">
        <v>406671.31099999999</v>
      </c>
      <c r="M301" s="1">
        <v>284683.049</v>
      </c>
      <c r="N301" t="s">
        <v>40</v>
      </c>
      <c r="P301" t="s">
        <v>40</v>
      </c>
      <c r="Q301">
        <v>0</v>
      </c>
      <c r="R301">
        <v>0</v>
      </c>
      <c r="S301">
        <v>0</v>
      </c>
      <c r="T301">
        <v>6</v>
      </c>
      <c r="U301">
        <v>6</v>
      </c>
      <c r="V301">
        <v>1</v>
      </c>
      <c r="W301">
        <v>1</v>
      </c>
      <c r="X301" t="s">
        <v>40</v>
      </c>
      <c r="Y301">
        <v>3</v>
      </c>
      <c r="Z301">
        <v>91</v>
      </c>
      <c r="AA301">
        <v>1</v>
      </c>
      <c r="AB301">
        <v>0</v>
      </c>
      <c r="AC301">
        <v>30.760999999999999</v>
      </c>
      <c r="AD301">
        <v>5059</v>
      </c>
      <c r="AH301">
        <v>0</v>
      </c>
      <c r="AI301">
        <v>0</v>
      </c>
      <c r="AL301" t="s">
        <v>40</v>
      </c>
      <c r="AM301" t="str">
        <f t="shared" si="21"/>
        <v>91 1</v>
      </c>
      <c r="AN301" t="str">
        <f t="shared" si="22"/>
        <v>406684.628,284710.778</v>
      </c>
      <c r="AO301" t="str">
        <f t="shared" si="23"/>
        <v>406671.311,284683.049</v>
      </c>
      <c r="AQ301" t="s">
        <v>2221</v>
      </c>
      <c r="AR301" t="s">
        <v>2220</v>
      </c>
    </row>
    <row r="302" spans="1:44" x14ac:dyDescent="0.3">
      <c r="A302">
        <v>3869</v>
      </c>
      <c r="B302">
        <v>4</v>
      </c>
      <c r="C302">
        <v>4018730</v>
      </c>
      <c r="D302">
        <v>18094</v>
      </c>
      <c r="E302">
        <v>2</v>
      </c>
      <c r="F302">
        <v>670050</v>
      </c>
      <c r="G302" t="s">
        <v>66</v>
      </c>
      <c r="H302" t="s">
        <v>67</v>
      </c>
      <c r="I302">
        <v>0</v>
      </c>
      <c r="J302" s="1">
        <v>406684.62800000003</v>
      </c>
      <c r="K302" s="1">
        <v>284710.77799999999</v>
      </c>
      <c r="L302" s="1">
        <v>406695.65100000001</v>
      </c>
      <c r="M302" s="1">
        <v>284734.06699999998</v>
      </c>
      <c r="N302" t="s">
        <v>40</v>
      </c>
      <c r="P302" t="s">
        <v>40</v>
      </c>
      <c r="Q302">
        <v>0</v>
      </c>
      <c r="R302">
        <v>0</v>
      </c>
      <c r="S302">
        <v>0</v>
      </c>
      <c r="T302">
        <v>6</v>
      </c>
      <c r="U302">
        <v>6</v>
      </c>
      <c r="V302">
        <v>1</v>
      </c>
      <c r="W302">
        <v>1</v>
      </c>
      <c r="X302" t="s">
        <v>40</v>
      </c>
      <c r="Y302">
        <v>3</v>
      </c>
      <c r="Z302">
        <v>38</v>
      </c>
      <c r="AA302">
        <v>5001</v>
      </c>
      <c r="AB302">
        <v>0</v>
      </c>
      <c r="AC302">
        <v>25.856000000000002</v>
      </c>
      <c r="AD302">
        <v>5059</v>
      </c>
      <c r="AH302">
        <v>0</v>
      </c>
      <c r="AI302">
        <v>0</v>
      </c>
      <c r="AL302" t="s">
        <v>40</v>
      </c>
      <c r="AM302" t="str">
        <f t="shared" si="21"/>
        <v>38 5001</v>
      </c>
      <c r="AN302" t="str">
        <f t="shared" si="22"/>
        <v>406684.628,284710.778</v>
      </c>
      <c r="AO302" t="str">
        <f t="shared" si="23"/>
        <v>406695.651,284734.067</v>
      </c>
      <c r="AQ302" t="s">
        <v>2221</v>
      </c>
      <c r="AR302" t="s">
        <v>2222</v>
      </c>
    </row>
    <row r="303" spans="1:44" x14ac:dyDescent="0.3">
      <c r="A303">
        <v>3869</v>
      </c>
      <c r="B303">
        <v>4</v>
      </c>
      <c r="C303">
        <v>4018743</v>
      </c>
      <c r="D303">
        <v>18109</v>
      </c>
      <c r="E303">
        <v>2</v>
      </c>
      <c r="F303">
        <v>670050</v>
      </c>
      <c r="G303" t="s">
        <v>66</v>
      </c>
      <c r="H303" t="s">
        <v>67</v>
      </c>
      <c r="I303">
        <v>0</v>
      </c>
      <c r="J303" s="1">
        <v>406727.913</v>
      </c>
      <c r="K303" s="1">
        <v>284797.239</v>
      </c>
      <c r="L303" s="1">
        <v>406695.65100000001</v>
      </c>
      <c r="M303" s="1">
        <v>284734.06699999998</v>
      </c>
      <c r="N303" t="s">
        <v>40</v>
      </c>
      <c r="P303" t="s">
        <v>40</v>
      </c>
      <c r="Q303">
        <v>0</v>
      </c>
      <c r="R303">
        <v>0</v>
      </c>
      <c r="S303">
        <v>0</v>
      </c>
      <c r="T303">
        <v>6</v>
      </c>
      <c r="U303">
        <v>6</v>
      </c>
      <c r="V303">
        <v>1</v>
      </c>
      <c r="W303">
        <v>1</v>
      </c>
      <c r="X303" t="s">
        <v>40</v>
      </c>
      <c r="Y303">
        <v>3</v>
      </c>
      <c r="Z303">
        <v>91</v>
      </c>
      <c r="AA303">
        <v>1</v>
      </c>
      <c r="AB303">
        <v>0</v>
      </c>
      <c r="AC303">
        <v>70.94</v>
      </c>
      <c r="AD303">
        <v>5059</v>
      </c>
      <c r="AH303">
        <v>0</v>
      </c>
      <c r="AI303">
        <v>0</v>
      </c>
      <c r="AL303" t="s">
        <v>40</v>
      </c>
      <c r="AM303" t="str">
        <f t="shared" si="21"/>
        <v>91 1</v>
      </c>
      <c r="AN303" t="str">
        <f t="shared" si="22"/>
        <v>406727.913,284797.239</v>
      </c>
      <c r="AO303" t="str">
        <f t="shared" si="23"/>
        <v>406695.651,284734.067</v>
      </c>
      <c r="AQ303" t="s">
        <v>2202</v>
      </c>
      <c r="AR303" t="s">
        <v>2222</v>
      </c>
    </row>
    <row r="304" spans="1:44" x14ac:dyDescent="0.3">
      <c r="A304">
        <v>3869</v>
      </c>
      <c r="B304">
        <v>4</v>
      </c>
      <c r="C304">
        <v>4019671</v>
      </c>
      <c r="D304">
        <v>19044</v>
      </c>
      <c r="E304">
        <v>2</v>
      </c>
      <c r="F304">
        <v>670050</v>
      </c>
      <c r="G304" t="s">
        <v>66</v>
      </c>
      <c r="H304" t="s">
        <v>54</v>
      </c>
      <c r="I304">
        <v>0</v>
      </c>
      <c r="J304" s="1">
        <v>405723.06</v>
      </c>
      <c r="K304" s="1">
        <v>282650.554</v>
      </c>
      <c r="L304" s="1">
        <v>405723.08799999999</v>
      </c>
      <c r="M304" s="1">
        <v>282650.049</v>
      </c>
      <c r="N304" t="s">
        <v>40</v>
      </c>
      <c r="P304" t="s">
        <v>40</v>
      </c>
      <c r="Q304">
        <v>0</v>
      </c>
      <c r="R304">
        <v>0</v>
      </c>
      <c r="S304">
        <v>0</v>
      </c>
      <c r="T304">
        <v>6</v>
      </c>
      <c r="U304">
        <v>6</v>
      </c>
      <c r="V304">
        <v>1</v>
      </c>
      <c r="W304">
        <v>3</v>
      </c>
      <c r="X304" t="s">
        <v>40</v>
      </c>
      <c r="Y304">
        <v>3</v>
      </c>
      <c r="Z304">
        <v>36</v>
      </c>
      <c r="AA304">
        <v>5001</v>
      </c>
      <c r="AB304">
        <v>0</v>
      </c>
      <c r="AC304">
        <v>0.60599999999999998</v>
      </c>
      <c r="AD304">
        <v>5059</v>
      </c>
      <c r="AH304">
        <v>0</v>
      </c>
      <c r="AI304">
        <v>0</v>
      </c>
      <c r="AL304" t="s">
        <v>40</v>
      </c>
      <c r="AM304" t="str">
        <f t="shared" si="21"/>
        <v>36 5001</v>
      </c>
      <c r="AN304" t="str">
        <f t="shared" si="22"/>
        <v>405723.06,282650.554</v>
      </c>
      <c r="AO304" t="str">
        <f t="shared" si="23"/>
        <v>405723.088,282650.049</v>
      </c>
      <c r="AQ304" t="s">
        <v>2223</v>
      </c>
      <c r="AR304" t="s">
        <v>2207</v>
      </c>
    </row>
    <row r="305" spans="1:44" x14ac:dyDescent="0.3">
      <c r="A305">
        <v>3869</v>
      </c>
      <c r="B305">
        <v>4</v>
      </c>
      <c r="C305">
        <v>4019646</v>
      </c>
      <c r="D305">
        <v>19296</v>
      </c>
      <c r="E305">
        <v>2</v>
      </c>
      <c r="F305">
        <v>670050</v>
      </c>
      <c r="G305" t="s">
        <v>66</v>
      </c>
      <c r="H305" t="s">
        <v>54</v>
      </c>
      <c r="I305">
        <v>0</v>
      </c>
      <c r="J305" s="1">
        <v>405854.65100000001</v>
      </c>
      <c r="K305" s="1">
        <v>282690.29800000001</v>
      </c>
      <c r="L305" s="1">
        <v>405833.54100000003</v>
      </c>
      <c r="M305" s="1">
        <v>282720.46799999999</v>
      </c>
      <c r="N305" t="s">
        <v>40</v>
      </c>
      <c r="P305" t="s">
        <v>40</v>
      </c>
      <c r="Q305">
        <v>0</v>
      </c>
      <c r="R305">
        <v>0</v>
      </c>
      <c r="S305">
        <v>0</v>
      </c>
      <c r="T305">
        <v>6</v>
      </c>
      <c r="U305">
        <v>6</v>
      </c>
      <c r="V305">
        <v>1</v>
      </c>
      <c r="W305">
        <v>1</v>
      </c>
      <c r="X305" t="s">
        <v>40</v>
      </c>
      <c r="Y305">
        <v>3</v>
      </c>
      <c r="Z305">
        <v>38</v>
      </c>
      <c r="AA305">
        <v>1</v>
      </c>
      <c r="AB305">
        <v>0</v>
      </c>
      <c r="AC305">
        <v>51.887999999999998</v>
      </c>
      <c r="AD305">
        <v>5059</v>
      </c>
      <c r="AH305">
        <v>0</v>
      </c>
      <c r="AI305">
        <v>0</v>
      </c>
      <c r="AL305" t="s">
        <v>40</v>
      </c>
      <c r="AM305" t="str">
        <f t="shared" si="21"/>
        <v>38 1</v>
      </c>
      <c r="AN305" t="str">
        <f t="shared" si="22"/>
        <v>405854.651,282690.298</v>
      </c>
      <c r="AO305" t="str">
        <f t="shared" si="23"/>
        <v>405833.541,282720.468</v>
      </c>
      <c r="AQ305" t="s">
        <v>2224</v>
      </c>
      <c r="AR305" t="s">
        <v>2201</v>
      </c>
    </row>
    <row r="306" spans="1:44" x14ac:dyDescent="0.3">
      <c r="A306">
        <v>3869</v>
      </c>
      <c r="B306">
        <v>4</v>
      </c>
      <c r="C306">
        <v>4029738</v>
      </c>
      <c r="D306">
        <v>31191</v>
      </c>
      <c r="E306">
        <v>2</v>
      </c>
      <c r="F306">
        <v>670050</v>
      </c>
      <c r="G306" t="s">
        <v>66</v>
      </c>
      <c r="H306" t="s">
        <v>69</v>
      </c>
      <c r="I306">
        <v>0</v>
      </c>
      <c r="J306" s="1">
        <v>406907.08100000001</v>
      </c>
      <c r="K306" s="1">
        <v>285798.08299999998</v>
      </c>
      <c r="L306" s="1">
        <v>406907.51199999999</v>
      </c>
      <c r="M306" s="1">
        <v>285799.65000000002</v>
      </c>
      <c r="N306" t="s">
        <v>40</v>
      </c>
      <c r="P306" t="s">
        <v>40</v>
      </c>
      <c r="Q306">
        <v>0</v>
      </c>
      <c r="R306">
        <v>0</v>
      </c>
      <c r="S306">
        <v>0</v>
      </c>
      <c r="T306">
        <v>6</v>
      </c>
      <c r="U306">
        <v>6</v>
      </c>
      <c r="V306">
        <v>1</v>
      </c>
      <c r="W306">
        <v>1</v>
      </c>
      <c r="X306" t="s">
        <v>40</v>
      </c>
      <c r="Y306">
        <v>3</v>
      </c>
      <c r="Z306">
        <v>40</v>
      </c>
      <c r="AA306">
        <v>5001</v>
      </c>
      <c r="AB306">
        <v>0</v>
      </c>
      <c r="AC306">
        <v>1.625</v>
      </c>
      <c r="AD306">
        <v>5059</v>
      </c>
      <c r="AH306">
        <v>0</v>
      </c>
      <c r="AI306">
        <v>0</v>
      </c>
      <c r="AL306" t="s">
        <v>40</v>
      </c>
      <c r="AM306" t="str">
        <f t="shared" si="21"/>
        <v>40 5001</v>
      </c>
      <c r="AN306" t="str">
        <f t="shared" si="22"/>
        <v>406907.081,285798.083</v>
      </c>
      <c r="AO306" t="str">
        <f t="shared" si="23"/>
        <v>406907.512,285799.65</v>
      </c>
      <c r="AQ306" t="s">
        <v>2225</v>
      </c>
      <c r="AR306" t="s">
        <v>2214</v>
      </c>
    </row>
    <row r="307" spans="1:44" x14ac:dyDescent="0.3">
      <c r="A307">
        <v>3869</v>
      </c>
      <c r="B307">
        <v>4</v>
      </c>
      <c r="C307">
        <v>4019697</v>
      </c>
      <c r="D307">
        <v>38746</v>
      </c>
      <c r="E307">
        <v>2</v>
      </c>
      <c r="F307">
        <v>670050</v>
      </c>
      <c r="G307" t="s">
        <v>66</v>
      </c>
      <c r="H307" t="s">
        <v>54</v>
      </c>
      <c r="I307">
        <v>0</v>
      </c>
      <c r="J307" s="1">
        <v>405832.72100000002</v>
      </c>
      <c r="K307" s="1">
        <v>282720.45699999999</v>
      </c>
      <c r="L307" s="1">
        <v>405725.63199999998</v>
      </c>
      <c r="M307" s="1">
        <v>282650.196</v>
      </c>
      <c r="N307" t="s">
        <v>40</v>
      </c>
      <c r="P307" t="s">
        <v>40</v>
      </c>
      <c r="Q307">
        <v>0</v>
      </c>
      <c r="R307">
        <v>0</v>
      </c>
      <c r="S307">
        <v>0</v>
      </c>
      <c r="T307">
        <v>6</v>
      </c>
      <c r="U307">
        <v>6</v>
      </c>
      <c r="V307">
        <v>1</v>
      </c>
      <c r="W307">
        <v>1</v>
      </c>
      <c r="X307" t="s">
        <v>40</v>
      </c>
      <c r="Y307">
        <v>3</v>
      </c>
      <c r="Z307">
        <v>52</v>
      </c>
      <c r="AA307">
        <v>1</v>
      </c>
      <c r="AB307">
        <v>0</v>
      </c>
      <c r="AC307">
        <v>133.24799999999999</v>
      </c>
      <c r="AD307">
        <v>5059</v>
      </c>
      <c r="AH307">
        <v>0</v>
      </c>
      <c r="AI307">
        <v>0</v>
      </c>
      <c r="AL307" t="s">
        <v>40</v>
      </c>
      <c r="AM307" t="str">
        <f t="shared" si="21"/>
        <v>52 1</v>
      </c>
      <c r="AN307" t="str">
        <f t="shared" si="22"/>
        <v>405832.721,282720.457</v>
      </c>
      <c r="AO307" t="str">
        <f t="shared" si="23"/>
        <v>405725.632,282650.196</v>
      </c>
      <c r="AQ307" t="s">
        <v>2197</v>
      </c>
      <c r="AR307" t="s">
        <v>708</v>
      </c>
    </row>
    <row r="308" spans="1:44" x14ac:dyDescent="0.3">
      <c r="A308">
        <v>3869</v>
      </c>
      <c r="B308">
        <v>4</v>
      </c>
      <c r="C308">
        <v>4029745</v>
      </c>
      <c r="D308">
        <v>31213</v>
      </c>
      <c r="E308">
        <v>2</v>
      </c>
      <c r="F308">
        <v>670050</v>
      </c>
      <c r="G308" t="s">
        <v>66</v>
      </c>
      <c r="H308" t="s">
        <v>69</v>
      </c>
      <c r="I308">
        <v>0</v>
      </c>
      <c r="J308" s="1">
        <v>406878.02299999999</v>
      </c>
      <c r="K308" s="1">
        <v>285697.74300000002</v>
      </c>
      <c r="L308" s="1">
        <v>406905.59100000001</v>
      </c>
      <c r="M308" s="1">
        <v>285795.03100000002</v>
      </c>
      <c r="N308" t="s">
        <v>40</v>
      </c>
      <c r="P308" t="s">
        <v>40</v>
      </c>
      <c r="Q308">
        <v>0</v>
      </c>
      <c r="R308">
        <v>0</v>
      </c>
      <c r="S308">
        <v>0</v>
      </c>
      <c r="T308">
        <v>7</v>
      </c>
      <c r="U308">
        <v>6</v>
      </c>
      <c r="V308">
        <v>1</v>
      </c>
      <c r="W308">
        <v>1</v>
      </c>
      <c r="X308" t="s">
        <v>40</v>
      </c>
      <c r="Y308">
        <v>3</v>
      </c>
      <c r="Z308">
        <v>256</v>
      </c>
      <c r="AA308">
        <v>18</v>
      </c>
      <c r="AB308">
        <v>0</v>
      </c>
      <c r="AC308">
        <v>104.75700000000001</v>
      </c>
      <c r="AD308">
        <v>5059</v>
      </c>
      <c r="AH308">
        <v>0</v>
      </c>
      <c r="AI308">
        <v>0</v>
      </c>
      <c r="AL308" t="s">
        <v>40</v>
      </c>
      <c r="AM308" t="str">
        <f t="shared" si="21"/>
        <v>256 18</v>
      </c>
      <c r="AN308" s="6" t="s">
        <v>1066</v>
      </c>
      <c r="AO308" s="6" t="s">
        <v>1067</v>
      </c>
      <c r="AQ308" t="s">
        <v>2225</v>
      </c>
      <c r="AR308" t="s">
        <v>2226</v>
      </c>
    </row>
    <row r="309" spans="1:44" x14ac:dyDescent="0.3">
      <c r="A309">
        <v>3869</v>
      </c>
      <c r="B309">
        <v>4</v>
      </c>
      <c r="C309">
        <v>4029751</v>
      </c>
      <c r="D309">
        <v>31103</v>
      </c>
      <c r="E309">
        <v>2</v>
      </c>
      <c r="F309">
        <v>670050</v>
      </c>
      <c r="G309" t="s">
        <v>66</v>
      </c>
      <c r="H309" t="s">
        <v>69</v>
      </c>
      <c r="I309">
        <v>0</v>
      </c>
      <c r="J309" s="1">
        <v>406874.50099999999</v>
      </c>
      <c r="K309" s="1">
        <v>285685.44900000002</v>
      </c>
      <c r="L309" s="1">
        <v>406878.02299999999</v>
      </c>
      <c r="M309" s="1">
        <v>285697.74300000002</v>
      </c>
      <c r="N309" t="s">
        <v>40</v>
      </c>
      <c r="P309" t="s">
        <v>40</v>
      </c>
      <c r="Q309">
        <v>0</v>
      </c>
      <c r="R309">
        <v>0</v>
      </c>
      <c r="S309">
        <v>0</v>
      </c>
      <c r="T309">
        <v>6</v>
      </c>
      <c r="U309">
        <v>6</v>
      </c>
      <c r="V309">
        <v>1</v>
      </c>
      <c r="W309">
        <v>1</v>
      </c>
      <c r="X309" t="s">
        <v>40</v>
      </c>
      <c r="Y309">
        <v>3</v>
      </c>
      <c r="Z309">
        <v>91</v>
      </c>
      <c r="AA309">
        <v>1</v>
      </c>
      <c r="AB309">
        <v>0</v>
      </c>
      <c r="AC309">
        <v>81.334000000000003</v>
      </c>
      <c r="AD309">
        <v>5059</v>
      </c>
      <c r="AH309">
        <v>0</v>
      </c>
      <c r="AI309">
        <v>0</v>
      </c>
      <c r="AL309" t="s">
        <v>40</v>
      </c>
      <c r="AM309" t="str">
        <f t="shared" si="21"/>
        <v>91 1</v>
      </c>
      <c r="AN309" s="6" t="s">
        <v>1067</v>
      </c>
      <c r="AO309" s="6" t="s">
        <v>1068</v>
      </c>
      <c r="AQ309" t="s">
        <v>2226</v>
      </c>
      <c r="AR309" t="s">
        <v>2227</v>
      </c>
    </row>
    <row r="310" spans="1:44" x14ac:dyDescent="0.3">
      <c r="A310">
        <v>3869</v>
      </c>
      <c r="B310">
        <v>4</v>
      </c>
      <c r="C310">
        <v>4029763</v>
      </c>
      <c r="D310">
        <v>31091</v>
      </c>
      <c r="E310">
        <v>2</v>
      </c>
      <c r="F310">
        <v>670050</v>
      </c>
      <c r="G310" t="s">
        <v>66</v>
      </c>
      <c r="H310" t="s">
        <v>69</v>
      </c>
      <c r="I310">
        <v>0</v>
      </c>
      <c r="J310" s="1">
        <v>406856.15100000001</v>
      </c>
      <c r="K310" s="1">
        <v>285608.23300000001</v>
      </c>
      <c r="L310" s="1">
        <v>406859.44799999997</v>
      </c>
      <c r="M310" s="1">
        <v>285619.02799999999</v>
      </c>
      <c r="N310" t="s">
        <v>40</v>
      </c>
      <c r="P310" t="s">
        <v>40</v>
      </c>
      <c r="Q310">
        <v>0</v>
      </c>
      <c r="R310">
        <v>0</v>
      </c>
      <c r="S310">
        <v>0</v>
      </c>
      <c r="T310">
        <v>6</v>
      </c>
      <c r="U310">
        <v>6</v>
      </c>
      <c r="V310">
        <v>1</v>
      </c>
      <c r="W310">
        <v>1</v>
      </c>
      <c r="X310" t="s">
        <v>40</v>
      </c>
      <c r="Y310">
        <v>3</v>
      </c>
      <c r="Z310">
        <v>52</v>
      </c>
      <c r="AA310">
        <v>1</v>
      </c>
      <c r="AB310">
        <v>0</v>
      </c>
      <c r="AC310">
        <v>77.180999999999997</v>
      </c>
      <c r="AD310">
        <v>5059</v>
      </c>
      <c r="AH310">
        <v>0</v>
      </c>
      <c r="AI310">
        <v>0</v>
      </c>
      <c r="AL310" t="s">
        <v>40</v>
      </c>
      <c r="AM310" t="str">
        <f t="shared" si="21"/>
        <v>52 1</v>
      </c>
      <c r="AN310" s="6" t="s">
        <v>1068</v>
      </c>
      <c r="AO310" s="6" t="s">
        <v>1070</v>
      </c>
      <c r="AQ310" t="s">
        <v>2227</v>
      </c>
      <c r="AR310" t="s">
        <v>2228</v>
      </c>
    </row>
    <row r="311" spans="1:44" x14ac:dyDescent="0.3">
      <c r="A311">
        <v>3869</v>
      </c>
      <c r="B311">
        <v>4</v>
      </c>
      <c r="C311">
        <v>4018537</v>
      </c>
      <c r="D311">
        <v>68811</v>
      </c>
      <c r="E311">
        <v>2</v>
      </c>
      <c r="F311">
        <v>670050</v>
      </c>
      <c r="G311" t="s">
        <v>66</v>
      </c>
      <c r="H311" t="s">
        <v>67</v>
      </c>
      <c r="I311">
        <v>0</v>
      </c>
      <c r="J311" s="1">
        <v>406595.76799999998</v>
      </c>
      <c r="K311" s="1">
        <v>284122.36900000001</v>
      </c>
      <c r="L311" s="1">
        <v>406725.59399999998</v>
      </c>
      <c r="M311" s="1">
        <v>284120.26899999997</v>
      </c>
      <c r="N311" t="s">
        <v>40</v>
      </c>
      <c r="P311" t="s">
        <v>40</v>
      </c>
      <c r="Q311">
        <v>0</v>
      </c>
      <c r="R311">
        <v>0</v>
      </c>
      <c r="S311">
        <v>201102</v>
      </c>
      <c r="T311">
        <v>6</v>
      </c>
      <c r="U311">
        <v>6</v>
      </c>
      <c r="V311">
        <v>1</v>
      </c>
      <c r="W311">
        <v>1</v>
      </c>
      <c r="X311" t="s">
        <v>40</v>
      </c>
      <c r="Y311">
        <v>3</v>
      </c>
      <c r="Z311">
        <v>5028</v>
      </c>
      <c r="AA311">
        <v>1</v>
      </c>
      <c r="AB311">
        <v>0</v>
      </c>
      <c r="AC311">
        <v>136.40600000000001</v>
      </c>
      <c r="AD311">
        <v>5059</v>
      </c>
      <c r="AE311" t="s">
        <v>75</v>
      </c>
      <c r="AH311">
        <v>0</v>
      </c>
      <c r="AI311">
        <v>0</v>
      </c>
      <c r="AL311" t="s">
        <v>40</v>
      </c>
      <c r="AM311" t="str">
        <f t="shared" si="21"/>
        <v>5028 1</v>
      </c>
      <c r="AN311" t="str">
        <f t="shared" si="22"/>
        <v>406595.768,284122.369</v>
      </c>
      <c r="AO311" t="str">
        <f t="shared" si="23"/>
        <v>406725.594,284120.269</v>
      </c>
      <c r="AQ311" t="s">
        <v>2229</v>
      </c>
      <c r="AR311" t="s">
        <v>704</v>
      </c>
    </row>
    <row r="312" spans="1:44" x14ac:dyDescent="0.3">
      <c r="A312">
        <v>3869</v>
      </c>
      <c r="B312">
        <v>4</v>
      </c>
      <c r="C312">
        <v>4029791</v>
      </c>
      <c r="D312">
        <v>30642</v>
      </c>
      <c r="E312">
        <v>2</v>
      </c>
      <c r="F312">
        <v>670050</v>
      </c>
      <c r="G312" t="s">
        <v>66</v>
      </c>
      <c r="H312" t="s">
        <v>69</v>
      </c>
      <c r="I312">
        <v>0</v>
      </c>
      <c r="J312" s="1">
        <v>406838.60200000001</v>
      </c>
      <c r="K312" s="1">
        <v>285545.49699999997</v>
      </c>
      <c r="L312" s="1">
        <v>406845.61</v>
      </c>
      <c r="M312" s="1">
        <v>285502.33100000001</v>
      </c>
      <c r="N312" t="s">
        <v>40</v>
      </c>
      <c r="P312" t="s">
        <v>40</v>
      </c>
      <c r="Q312">
        <v>0</v>
      </c>
      <c r="R312">
        <v>0</v>
      </c>
      <c r="S312">
        <v>0</v>
      </c>
      <c r="T312">
        <v>6</v>
      </c>
      <c r="U312">
        <v>6</v>
      </c>
      <c r="V312">
        <v>1</v>
      </c>
      <c r="W312">
        <v>1</v>
      </c>
      <c r="X312" t="s">
        <v>40</v>
      </c>
      <c r="Y312">
        <v>3</v>
      </c>
      <c r="Z312">
        <v>40</v>
      </c>
      <c r="AA312">
        <v>5001</v>
      </c>
      <c r="AB312">
        <v>0</v>
      </c>
      <c r="AC312">
        <v>46.258000000000003</v>
      </c>
      <c r="AD312">
        <v>5059</v>
      </c>
      <c r="AH312">
        <v>0</v>
      </c>
      <c r="AI312">
        <v>0</v>
      </c>
      <c r="AL312" t="s">
        <v>40</v>
      </c>
      <c r="AM312" t="str">
        <f t="shared" si="21"/>
        <v>40 5001</v>
      </c>
      <c r="AN312" t="str">
        <f t="shared" si="22"/>
        <v>406838.602,285545.497</v>
      </c>
      <c r="AO312" t="str">
        <f t="shared" si="23"/>
        <v>406845.61,285502.331</v>
      </c>
      <c r="AQ312" t="s">
        <v>2228</v>
      </c>
      <c r="AR312" t="s">
        <v>2230</v>
      </c>
    </row>
    <row r="313" spans="1:44" x14ac:dyDescent="0.3">
      <c r="A313">
        <v>3869</v>
      </c>
      <c r="B313">
        <v>4</v>
      </c>
      <c r="C313">
        <v>4029798</v>
      </c>
      <c r="D313">
        <v>30578</v>
      </c>
      <c r="E313">
        <v>2</v>
      </c>
      <c r="F313">
        <v>670050</v>
      </c>
      <c r="G313" t="s">
        <v>66</v>
      </c>
      <c r="H313" t="s">
        <v>69</v>
      </c>
      <c r="I313">
        <v>0</v>
      </c>
      <c r="J313" s="1">
        <v>406831.84600000002</v>
      </c>
      <c r="K313" s="1">
        <v>285450.39</v>
      </c>
      <c r="L313" s="1">
        <v>406845.61</v>
      </c>
      <c r="M313" s="1">
        <v>285502.33100000001</v>
      </c>
      <c r="N313" t="s">
        <v>40</v>
      </c>
      <c r="P313" t="s">
        <v>40</v>
      </c>
      <c r="Q313">
        <v>0</v>
      </c>
      <c r="R313">
        <v>0</v>
      </c>
      <c r="S313">
        <v>0</v>
      </c>
      <c r="T313">
        <v>6</v>
      </c>
      <c r="U313">
        <v>6</v>
      </c>
      <c r="V313">
        <v>1</v>
      </c>
      <c r="W313">
        <v>1</v>
      </c>
      <c r="X313" t="s">
        <v>40</v>
      </c>
      <c r="Y313">
        <v>3</v>
      </c>
      <c r="Z313">
        <v>40</v>
      </c>
      <c r="AA313">
        <v>1</v>
      </c>
      <c r="AB313">
        <v>0</v>
      </c>
      <c r="AC313">
        <v>106.983</v>
      </c>
      <c r="AD313">
        <v>5059</v>
      </c>
      <c r="AH313">
        <v>0</v>
      </c>
      <c r="AI313">
        <v>0</v>
      </c>
      <c r="AL313" t="s">
        <v>40</v>
      </c>
      <c r="AM313" t="str">
        <f t="shared" si="21"/>
        <v>40 1</v>
      </c>
      <c r="AN313" s="6" t="s">
        <v>1661</v>
      </c>
      <c r="AO313" s="6" t="s">
        <v>1025</v>
      </c>
      <c r="AQ313" t="s">
        <v>2230</v>
      </c>
      <c r="AR313" t="s">
        <v>2175</v>
      </c>
    </row>
    <row r="314" spans="1:44" x14ac:dyDescent="0.3">
      <c r="A314">
        <v>3869</v>
      </c>
      <c r="B314">
        <v>4</v>
      </c>
      <c r="C314">
        <v>4010552</v>
      </c>
      <c r="D314">
        <v>10288</v>
      </c>
      <c r="E314">
        <v>2</v>
      </c>
      <c r="F314">
        <v>670050</v>
      </c>
      <c r="G314" t="s">
        <v>66</v>
      </c>
      <c r="H314" t="s">
        <v>68</v>
      </c>
      <c r="I314">
        <v>0</v>
      </c>
      <c r="J314" s="1">
        <v>405911.36099999998</v>
      </c>
      <c r="K314" s="1">
        <v>283099.49599999998</v>
      </c>
      <c r="L314" s="1">
        <v>405894.239</v>
      </c>
      <c r="M314" s="1">
        <v>283012.989</v>
      </c>
      <c r="N314" t="s">
        <v>40</v>
      </c>
      <c r="P314" t="s">
        <v>40</v>
      </c>
      <c r="Q314">
        <v>0</v>
      </c>
      <c r="R314">
        <v>0</v>
      </c>
      <c r="S314">
        <v>0</v>
      </c>
      <c r="T314">
        <v>7</v>
      </c>
      <c r="U314">
        <v>6</v>
      </c>
      <c r="V314">
        <v>1</v>
      </c>
      <c r="W314">
        <v>1</v>
      </c>
      <c r="X314" t="s">
        <v>40</v>
      </c>
      <c r="Y314">
        <v>3</v>
      </c>
      <c r="Z314">
        <v>255</v>
      </c>
      <c r="AA314">
        <v>18</v>
      </c>
      <c r="AB314">
        <v>0</v>
      </c>
      <c r="AC314">
        <v>384.45099999999996</v>
      </c>
      <c r="AD314">
        <v>5059</v>
      </c>
      <c r="AH314">
        <v>0</v>
      </c>
      <c r="AI314">
        <v>0</v>
      </c>
      <c r="AL314" t="s">
        <v>40</v>
      </c>
      <c r="AM314" t="str">
        <f t="shared" ref="AM314:AM351" si="24">_xlfn.CONCAT(Z314, " ",AA314)</f>
        <v>255 18</v>
      </c>
      <c r="AN314" s="6" t="s">
        <v>1043</v>
      </c>
      <c r="AO314" s="6" t="s">
        <v>1028</v>
      </c>
      <c r="AQ314" t="s">
        <v>2198</v>
      </c>
      <c r="AR314" t="s">
        <v>2179</v>
      </c>
    </row>
    <row r="315" spans="1:44" x14ac:dyDescent="0.3">
      <c r="A315">
        <v>3869</v>
      </c>
      <c r="B315">
        <v>4</v>
      </c>
      <c r="C315">
        <v>4018529</v>
      </c>
      <c r="D315">
        <v>16086</v>
      </c>
      <c r="E315">
        <v>2</v>
      </c>
      <c r="F315">
        <v>670050</v>
      </c>
      <c r="G315" t="s">
        <v>66</v>
      </c>
      <c r="H315" t="s">
        <v>67</v>
      </c>
      <c r="I315">
        <v>0</v>
      </c>
      <c r="J315" s="1">
        <v>406420.88199999998</v>
      </c>
      <c r="K315" s="1">
        <v>284136.66600000003</v>
      </c>
      <c r="L315" s="1">
        <v>406383.614</v>
      </c>
      <c r="M315" s="1">
        <v>284059.04399999999</v>
      </c>
      <c r="N315" t="s">
        <v>40</v>
      </c>
      <c r="P315" t="s">
        <v>40</v>
      </c>
      <c r="Q315">
        <v>0</v>
      </c>
      <c r="R315">
        <v>0</v>
      </c>
      <c r="S315">
        <v>0</v>
      </c>
      <c r="T315">
        <v>7</v>
      </c>
      <c r="U315">
        <v>6</v>
      </c>
      <c r="V315">
        <v>1</v>
      </c>
      <c r="W315">
        <v>1</v>
      </c>
      <c r="X315" t="s">
        <v>40</v>
      </c>
      <c r="Y315">
        <v>3</v>
      </c>
      <c r="Z315">
        <v>255</v>
      </c>
      <c r="AA315">
        <v>18</v>
      </c>
      <c r="AB315">
        <v>0</v>
      </c>
      <c r="AC315">
        <v>92.087000000000003</v>
      </c>
      <c r="AD315">
        <v>5059</v>
      </c>
      <c r="AH315">
        <v>0</v>
      </c>
      <c r="AI315">
        <v>0</v>
      </c>
      <c r="AL315" t="s">
        <v>40</v>
      </c>
      <c r="AM315" t="str">
        <f t="shared" si="24"/>
        <v>255 18</v>
      </c>
      <c r="AN315" s="6" t="s">
        <v>1652</v>
      </c>
      <c r="AO315" s="6" t="s">
        <v>1662</v>
      </c>
      <c r="AQ315" t="s">
        <v>2193</v>
      </c>
      <c r="AR315" t="s">
        <v>2231</v>
      </c>
    </row>
    <row r="316" spans="1:44" x14ac:dyDescent="0.3">
      <c r="A316">
        <v>3869</v>
      </c>
      <c r="B316">
        <v>4</v>
      </c>
      <c r="C316">
        <v>4018528</v>
      </c>
      <c r="D316">
        <v>15760</v>
      </c>
      <c r="E316">
        <v>2</v>
      </c>
      <c r="F316">
        <v>670050</v>
      </c>
      <c r="G316" t="s">
        <v>66</v>
      </c>
      <c r="H316" t="s">
        <v>67</v>
      </c>
      <c r="I316">
        <v>0</v>
      </c>
      <c r="J316" s="1">
        <v>406440.50599999999</v>
      </c>
      <c r="K316" s="1">
        <v>284162.7</v>
      </c>
      <c r="L316" s="1">
        <v>406425.701</v>
      </c>
      <c r="M316" s="1">
        <v>284139.42300000001</v>
      </c>
      <c r="N316" t="s">
        <v>40</v>
      </c>
      <c r="P316" t="s">
        <v>40</v>
      </c>
      <c r="Q316">
        <v>0</v>
      </c>
      <c r="R316">
        <v>0</v>
      </c>
      <c r="S316">
        <v>0</v>
      </c>
      <c r="T316">
        <v>6</v>
      </c>
      <c r="U316">
        <v>6</v>
      </c>
      <c r="V316">
        <v>1</v>
      </c>
      <c r="W316">
        <v>1</v>
      </c>
      <c r="X316" t="s">
        <v>40</v>
      </c>
      <c r="Y316">
        <v>3</v>
      </c>
      <c r="Z316">
        <v>54</v>
      </c>
      <c r="AA316">
        <v>1</v>
      </c>
      <c r="AB316">
        <v>0</v>
      </c>
      <c r="AC316">
        <v>32.975000000000001</v>
      </c>
      <c r="AD316">
        <v>5059</v>
      </c>
      <c r="AH316">
        <v>0</v>
      </c>
      <c r="AI316">
        <v>0</v>
      </c>
      <c r="AL316" t="s">
        <v>40</v>
      </c>
      <c r="AM316" t="str">
        <f t="shared" si="24"/>
        <v>54 1</v>
      </c>
      <c r="AN316" t="str">
        <f t="shared" ref="AN316:AN352" si="25">ROUND(J316,3)&amp;","&amp;ROUND(K316,3)</f>
        <v>406440.506,284162.7</v>
      </c>
      <c r="AO316" t="str">
        <f t="shared" ref="AO316:AO352" si="26">ROUND(L316,3)&amp;","&amp;ROUND(M316,3)</f>
        <v>406425.701,284139.423</v>
      </c>
      <c r="AQ316" t="s">
        <v>2232</v>
      </c>
      <c r="AR316" t="s">
        <v>2231</v>
      </c>
    </row>
    <row r="317" spans="1:44" x14ac:dyDescent="0.3">
      <c r="A317">
        <v>3869</v>
      </c>
      <c r="B317">
        <v>4</v>
      </c>
      <c r="C317">
        <v>4018527</v>
      </c>
      <c r="D317">
        <v>15776</v>
      </c>
      <c r="E317">
        <v>2</v>
      </c>
      <c r="F317">
        <v>670050</v>
      </c>
      <c r="G317" t="s">
        <v>66</v>
      </c>
      <c r="H317" t="s">
        <v>67</v>
      </c>
      <c r="I317">
        <v>0</v>
      </c>
      <c r="J317" s="1">
        <v>406444.36700000003</v>
      </c>
      <c r="K317" s="1">
        <v>284161.48800000001</v>
      </c>
      <c r="L317" s="1">
        <v>406440.50599999999</v>
      </c>
      <c r="M317" s="1">
        <v>284162.7</v>
      </c>
      <c r="N317" t="s">
        <v>40</v>
      </c>
      <c r="P317" t="s">
        <v>40</v>
      </c>
      <c r="Q317">
        <v>0</v>
      </c>
      <c r="R317">
        <v>0</v>
      </c>
      <c r="S317">
        <v>0</v>
      </c>
      <c r="T317">
        <v>6</v>
      </c>
      <c r="U317">
        <v>6</v>
      </c>
      <c r="V317">
        <v>1</v>
      </c>
      <c r="W317">
        <v>1</v>
      </c>
      <c r="X317" t="s">
        <v>40</v>
      </c>
      <c r="Y317">
        <v>3</v>
      </c>
      <c r="Z317">
        <v>52</v>
      </c>
      <c r="AA317">
        <v>1</v>
      </c>
      <c r="AB317">
        <v>0</v>
      </c>
      <c r="AC317">
        <v>160.511</v>
      </c>
      <c r="AD317">
        <v>5059</v>
      </c>
      <c r="AH317">
        <v>0</v>
      </c>
      <c r="AI317">
        <v>0</v>
      </c>
      <c r="AL317" t="s">
        <v>40</v>
      </c>
      <c r="AM317" t="str">
        <f t="shared" si="24"/>
        <v>52 1</v>
      </c>
      <c r="AN317" s="6" t="s">
        <v>1071</v>
      </c>
      <c r="AO317" s="6" t="s">
        <v>1069</v>
      </c>
      <c r="AQ317" t="s">
        <v>2232</v>
      </c>
      <c r="AR317" t="s">
        <v>2229</v>
      </c>
    </row>
    <row r="318" spans="1:44" x14ac:dyDescent="0.3">
      <c r="A318">
        <v>3869</v>
      </c>
      <c r="B318">
        <v>4</v>
      </c>
      <c r="C318">
        <v>4018648</v>
      </c>
      <c r="D318">
        <v>16793</v>
      </c>
      <c r="E318">
        <v>2</v>
      </c>
      <c r="F318">
        <v>670050</v>
      </c>
      <c r="G318" t="s">
        <v>66</v>
      </c>
      <c r="H318" t="s">
        <v>67</v>
      </c>
      <c r="I318">
        <v>0</v>
      </c>
      <c r="J318" s="1">
        <v>406443.85100000002</v>
      </c>
      <c r="K318" s="1">
        <v>284390.908</v>
      </c>
      <c r="L318" s="1">
        <v>406506.71500000003</v>
      </c>
      <c r="M318" s="1">
        <v>284358.43199999997</v>
      </c>
      <c r="N318" t="s">
        <v>40</v>
      </c>
      <c r="P318" t="s">
        <v>40</v>
      </c>
      <c r="Q318">
        <v>0</v>
      </c>
      <c r="R318">
        <v>0</v>
      </c>
      <c r="S318">
        <v>0</v>
      </c>
      <c r="T318">
        <v>6</v>
      </c>
      <c r="U318">
        <v>6</v>
      </c>
      <c r="V318">
        <v>1</v>
      </c>
      <c r="W318">
        <v>1</v>
      </c>
      <c r="X318" t="s">
        <v>40</v>
      </c>
      <c r="Y318">
        <v>3</v>
      </c>
      <c r="Z318">
        <v>52</v>
      </c>
      <c r="AA318">
        <v>1</v>
      </c>
      <c r="AB318">
        <v>0</v>
      </c>
      <c r="AC318">
        <v>71.817999999999998</v>
      </c>
      <c r="AD318">
        <v>5059</v>
      </c>
      <c r="AH318">
        <v>0</v>
      </c>
      <c r="AI318">
        <v>0</v>
      </c>
      <c r="AL318" t="s">
        <v>40</v>
      </c>
      <c r="AM318" t="str">
        <f t="shared" si="24"/>
        <v>52 1</v>
      </c>
      <c r="AN318" t="str">
        <f t="shared" si="25"/>
        <v>406443.851,284390.908</v>
      </c>
      <c r="AO318" t="str">
        <f t="shared" si="26"/>
        <v>406506.715,284358.432</v>
      </c>
      <c r="AQ318" t="s">
        <v>2233</v>
      </c>
      <c r="AR318" t="s">
        <v>2210</v>
      </c>
    </row>
    <row r="319" spans="1:44" x14ac:dyDescent="0.3">
      <c r="A319">
        <v>3869</v>
      </c>
      <c r="B319">
        <v>4</v>
      </c>
      <c r="C319">
        <v>4029713</v>
      </c>
      <c r="D319">
        <v>68927</v>
      </c>
      <c r="E319">
        <v>2</v>
      </c>
      <c r="F319">
        <v>670050</v>
      </c>
      <c r="G319" t="s">
        <v>66</v>
      </c>
      <c r="H319" t="s">
        <v>69</v>
      </c>
      <c r="I319">
        <v>0</v>
      </c>
      <c r="J319" s="1">
        <v>406909.82199999999</v>
      </c>
      <c r="K319" s="1">
        <v>285798.46100000001</v>
      </c>
      <c r="L319" s="1">
        <v>406979</v>
      </c>
      <c r="M319" s="1">
        <v>285788.14600000001</v>
      </c>
      <c r="N319" t="s">
        <v>40</v>
      </c>
      <c r="P319" t="s">
        <v>40</v>
      </c>
      <c r="Q319">
        <v>0</v>
      </c>
      <c r="R319">
        <v>0</v>
      </c>
      <c r="S319">
        <v>0</v>
      </c>
      <c r="T319">
        <v>6</v>
      </c>
      <c r="U319">
        <v>6</v>
      </c>
      <c r="V319">
        <v>1</v>
      </c>
      <c r="W319">
        <v>3</v>
      </c>
      <c r="X319" t="s">
        <v>40</v>
      </c>
      <c r="Y319">
        <v>3</v>
      </c>
      <c r="Z319">
        <v>40</v>
      </c>
      <c r="AA319">
        <v>5001</v>
      </c>
      <c r="AB319">
        <v>0</v>
      </c>
      <c r="AC319">
        <v>72.575999999999993</v>
      </c>
      <c r="AD319">
        <v>5059</v>
      </c>
      <c r="AH319">
        <v>0</v>
      </c>
      <c r="AI319">
        <v>0</v>
      </c>
      <c r="AL319" t="s">
        <v>40</v>
      </c>
      <c r="AM319" t="str">
        <f t="shared" si="24"/>
        <v>40 5001</v>
      </c>
      <c r="AN319" s="6" t="s">
        <v>286</v>
      </c>
      <c r="AO319" s="6" t="s">
        <v>1074</v>
      </c>
      <c r="AQ319" t="s">
        <v>714</v>
      </c>
      <c r="AR319" t="s">
        <v>2214</v>
      </c>
    </row>
    <row r="320" spans="1:44" x14ac:dyDescent="0.3">
      <c r="A320">
        <v>3869</v>
      </c>
      <c r="B320">
        <v>4</v>
      </c>
      <c r="C320">
        <v>4018554</v>
      </c>
      <c r="D320">
        <v>68812</v>
      </c>
      <c r="E320">
        <v>2</v>
      </c>
      <c r="F320">
        <v>670050</v>
      </c>
      <c r="G320" t="s">
        <v>66</v>
      </c>
      <c r="H320" t="s">
        <v>67</v>
      </c>
      <c r="I320">
        <v>0</v>
      </c>
      <c r="J320" s="1">
        <v>406594.37800000003</v>
      </c>
      <c r="K320" s="1">
        <v>284123.136</v>
      </c>
      <c r="L320" s="1">
        <v>406725.239</v>
      </c>
      <c r="M320" s="1">
        <v>284120.24200000003</v>
      </c>
      <c r="N320" t="s">
        <v>40</v>
      </c>
      <c r="P320" t="s">
        <v>40</v>
      </c>
      <c r="Q320">
        <v>0</v>
      </c>
      <c r="R320">
        <v>0</v>
      </c>
      <c r="S320">
        <v>201102</v>
      </c>
      <c r="T320">
        <v>6</v>
      </c>
      <c r="U320">
        <v>6</v>
      </c>
      <c r="V320">
        <v>1</v>
      </c>
      <c r="W320">
        <v>1</v>
      </c>
      <c r="X320" t="s">
        <v>40</v>
      </c>
      <c r="Y320">
        <v>3</v>
      </c>
      <c r="Z320">
        <v>5028</v>
      </c>
      <c r="AA320">
        <v>1</v>
      </c>
      <c r="AB320">
        <v>0</v>
      </c>
      <c r="AC320">
        <v>137.154</v>
      </c>
      <c r="AD320">
        <v>5059</v>
      </c>
      <c r="AE320" t="s">
        <v>75</v>
      </c>
      <c r="AH320">
        <v>0</v>
      </c>
      <c r="AI320">
        <v>0</v>
      </c>
      <c r="AL320" t="s">
        <v>40</v>
      </c>
      <c r="AM320" t="str">
        <f t="shared" si="24"/>
        <v>5028 1</v>
      </c>
      <c r="AN320" t="str">
        <f t="shared" si="25"/>
        <v>406594.378,284123.136</v>
      </c>
      <c r="AO320" t="str">
        <f t="shared" si="26"/>
        <v>406725.239,284120.242</v>
      </c>
      <c r="AQ320" t="s">
        <v>2171</v>
      </c>
      <c r="AR320" t="s">
        <v>704</v>
      </c>
    </row>
    <row r="321" spans="1:44" x14ac:dyDescent="0.3">
      <c r="A321">
        <v>3869</v>
      </c>
      <c r="B321">
        <v>4</v>
      </c>
      <c r="C321">
        <v>4019643</v>
      </c>
      <c r="D321">
        <v>18785</v>
      </c>
      <c r="E321">
        <v>2</v>
      </c>
      <c r="F321">
        <v>670050</v>
      </c>
      <c r="G321" t="s">
        <v>66</v>
      </c>
      <c r="H321" t="s">
        <v>54</v>
      </c>
      <c r="I321">
        <v>0</v>
      </c>
      <c r="J321" s="1">
        <v>405829.30599999998</v>
      </c>
      <c r="K321" s="1">
        <v>282542.92800000001</v>
      </c>
      <c r="L321" s="1">
        <v>405854.65100000001</v>
      </c>
      <c r="M321" s="1">
        <v>282690.29800000001</v>
      </c>
      <c r="N321" t="s">
        <v>40</v>
      </c>
      <c r="P321" t="s">
        <v>40</v>
      </c>
      <c r="Q321">
        <v>0</v>
      </c>
      <c r="R321">
        <v>0</v>
      </c>
      <c r="S321">
        <v>0</v>
      </c>
      <c r="T321">
        <v>7</v>
      </c>
      <c r="U321">
        <v>6</v>
      </c>
      <c r="V321">
        <v>1</v>
      </c>
      <c r="W321">
        <v>1</v>
      </c>
      <c r="X321" t="s">
        <v>40</v>
      </c>
      <c r="Y321">
        <v>3</v>
      </c>
      <c r="Z321">
        <v>255</v>
      </c>
      <c r="AA321">
        <v>18</v>
      </c>
      <c r="AB321">
        <v>0</v>
      </c>
      <c r="AC321">
        <v>419.32800000000003</v>
      </c>
      <c r="AD321">
        <v>5059</v>
      </c>
      <c r="AH321">
        <v>0</v>
      </c>
      <c r="AI321">
        <v>0</v>
      </c>
      <c r="AL321" t="s">
        <v>40</v>
      </c>
      <c r="AM321" t="str">
        <f t="shared" si="24"/>
        <v>255 18</v>
      </c>
      <c r="AN321" s="6" t="s">
        <v>1065</v>
      </c>
      <c r="AO321" s="6" t="s">
        <v>1057</v>
      </c>
      <c r="AQ321" t="s">
        <v>2224</v>
      </c>
      <c r="AR321" t="s">
        <v>2213</v>
      </c>
    </row>
    <row r="322" spans="1:44" x14ac:dyDescent="0.3">
      <c r="A322">
        <v>3869</v>
      </c>
      <c r="B322">
        <v>4</v>
      </c>
      <c r="C322">
        <v>4019596</v>
      </c>
      <c r="D322">
        <v>38728</v>
      </c>
      <c r="E322">
        <v>2</v>
      </c>
      <c r="F322">
        <v>670050</v>
      </c>
      <c r="G322" t="s">
        <v>66</v>
      </c>
      <c r="H322" t="s">
        <v>54</v>
      </c>
      <c r="I322">
        <v>0</v>
      </c>
      <c r="J322" s="1">
        <v>405766.80699999997</v>
      </c>
      <c r="K322" s="1">
        <v>282240.46500000003</v>
      </c>
      <c r="L322" s="1">
        <v>405756.527</v>
      </c>
      <c r="M322" s="1">
        <v>282249.61300000001</v>
      </c>
      <c r="N322" t="s">
        <v>40</v>
      </c>
      <c r="P322" t="s">
        <v>40</v>
      </c>
      <c r="Q322">
        <v>0</v>
      </c>
      <c r="R322">
        <v>0</v>
      </c>
      <c r="S322">
        <v>200705</v>
      </c>
      <c r="T322">
        <v>6</v>
      </c>
      <c r="U322">
        <v>6</v>
      </c>
      <c r="V322">
        <v>1</v>
      </c>
      <c r="W322">
        <v>1</v>
      </c>
      <c r="X322" t="s">
        <v>40</v>
      </c>
      <c r="Y322">
        <v>3</v>
      </c>
      <c r="Z322">
        <v>5028</v>
      </c>
      <c r="AA322">
        <v>1</v>
      </c>
      <c r="AB322">
        <v>0</v>
      </c>
      <c r="AC322">
        <v>24.535</v>
      </c>
      <c r="AD322">
        <v>5059</v>
      </c>
      <c r="AH322">
        <v>0</v>
      </c>
      <c r="AI322">
        <v>0</v>
      </c>
      <c r="AL322" t="s">
        <v>40</v>
      </c>
      <c r="AM322" t="str">
        <f t="shared" si="24"/>
        <v>5028 1</v>
      </c>
      <c r="AN322" t="str">
        <f t="shared" si="25"/>
        <v>405766.807,282240.465</v>
      </c>
      <c r="AO322" t="str">
        <f t="shared" si="26"/>
        <v>405756.527,282249.613</v>
      </c>
      <c r="AQ322" t="s">
        <v>2189</v>
      </c>
      <c r="AR322" t="s">
        <v>707</v>
      </c>
    </row>
    <row r="323" spans="1:44" x14ac:dyDescent="0.3">
      <c r="A323">
        <v>3869</v>
      </c>
      <c r="B323">
        <v>4</v>
      </c>
      <c r="C323">
        <v>4018647</v>
      </c>
      <c r="D323">
        <v>16760</v>
      </c>
      <c r="E323">
        <v>2</v>
      </c>
      <c r="F323">
        <v>670050</v>
      </c>
      <c r="G323" t="s">
        <v>66</v>
      </c>
      <c r="H323" t="s">
        <v>67</v>
      </c>
      <c r="I323">
        <v>0</v>
      </c>
      <c r="J323" s="1">
        <v>406439.391</v>
      </c>
      <c r="K323" s="1">
        <v>284390.01</v>
      </c>
      <c r="L323" s="1">
        <v>406443.85100000002</v>
      </c>
      <c r="M323" s="1">
        <v>284390.908</v>
      </c>
      <c r="N323" t="s">
        <v>40</v>
      </c>
      <c r="P323" t="s">
        <v>40</v>
      </c>
      <c r="Q323">
        <v>0</v>
      </c>
      <c r="R323">
        <v>0</v>
      </c>
      <c r="S323">
        <v>0</v>
      </c>
      <c r="T323">
        <v>6</v>
      </c>
      <c r="U323">
        <v>6</v>
      </c>
      <c r="V323">
        <v>1</v>
      </c>
      <c r="W323">
        <v>1</v>
      </c>
      <c r="X323" t="s">
        <v>40</v>
      </c>
      <c r="Y323">
        <v>3</v>
      </c>
      <c r="Z323">
        <v>38</v>
      </c>
      <c r="AA323">
        <v>1</v>
      </c>
      <c r="AB323">
        <v>0</v>
      </c>
      <c r="AC323">
        <v>4.8</v>
      </c>
      <c r="AD323">
        <v>5059</v>
      </c>
      <c r="AH323">
        <v>0</v>
      </c>
      <c r="AI323">
        <v>0</v>
      </c>
      <c r="AL323" t="s">
        <v>40</v>
      </c>
      <c r="AM323" t="str">
        <f t="shared" si="24"/>
        <v>38 1</v>
      </c>
      <c r="AN323" t="str">
        <f t="shared" si="25"/>
        <v>406439.391,284390.01</v>
      </c>
      <c r="AO323" t="str">
        <f t="shared" si="26"/>
        <v>406443.851,284390.908</v>
      </c>
      <c r="AQ323" t="s">
        <v>2234</v>
      </c>
      <c r="AR323" t="s">
        <v>2233</v>
      </c>
    </row>
    <row r="324" spans="1:44" x14ac:dyDescent="0.3">
      <c r="A324">
        <v>3869</v>
      </c>
      <c r="B324">
        <v>4</v>
      </c>
      <c r="C324">
        <v>4018634</v>
      </c>
      <c r="D324">
        <v>16759</v>
      </c>
      <c r="E324">
        <v>2</v>
      </c>
      <c r="F324">
        <v>670050</v>
      </c>
      <c r="G324" t="s">
        <v>66</v>
      </c>
      <c r="H324" t="s">
        <v>67</v>
      </c>
      <c r="I324">
        <v>0</v>
      </c>
      <c r="J324" s="1">
        <v>406438.125</v>
      </c>
      <c r="K324" s="1">
        <v>284398.23200000002</v>
      </c>
      <c r="L324" s="1">
        <v>406439.391</v>
      </c>
      <c r="M324" s="1">
        <v>284390.01</v>
      </c>
      <c r="N324" t="s">
        <v>40</v>
      </c>
      <c r="P324" t="s">
        <v>40</v>
      </c>
      <c r="Q324">
        <v>0</v>
      </c>
      <c r="R324">
        <v>0</v>
      </c>
      <c r="S324">
        <v>0</v>
      </c>
      <c r="T324">
        <v>6</v>
      </c>
      <c r="U324">
        <v>6</v>
      </c>
      <c r="V324">
        <v>1</v>
      </c>
      <c r="W324">
        <v>1</v>
      </c>
      <c r="X324" t="s">
        <v>40</v>
      </c>
      <c r="Y324">
        <v>3</v>
      </c>
      <c r="Z324">
        <v>52</v>
      </c>
      <c r="AA324">
        <v>1</v>
      </c>
      <c r="AB324">
        <v>0</v>
      </c>
      <c r="AC324">
        <v>10.875999999999999</v>
      </c>
      <c r="AD324">
        <v>5059</v>
      </c>
      <c r="AH324">
        <v>0</v>
      </c>
      <c r="AI324">
        <v>0</v>
      </c>
      <c r="AL324" t="s">
        <v>40</v>
      </c>
      <c r="AM324" t="str">
        <f t="shared" si="24"/>
        <v>52 1</v>
      </c>
      <c r="AN324" t="str">
        <f t="shared" si="25"/>
        <v>406438.125,284398.232</v>
      </c>
      <c r="AO324" t="str">
        <f t="shared" si="26"/>
        <v>406439.391,284390.01</v>
      </c>
      <c r="AQ324" t="s">
        <v>715</v>
      </c>
      <c r="AR324" t="s">
        <v>2234</v>
      </c>
    </row>
    <row r="325" spans="1:44" x14ac:dyDescent="0.3">
      <c r="A325">
        <v>3869</v>
      </c>
      <c r="B325">
        <v>4</v>
      </c>
      <c r="C325">
        <v>4018612</v>
      </c>
      <c r="D325">
        <v>16797</v>
      </c>
      <c r="E325">
        <v>2</v>
      </c>
      <c r="F325">
        <v>670050</v>
      </c>
      <c r="G325" t="s">
        <v>66</v>
      </c>
      <c r="H325" t="s">
        <v>67</v>
      </c>
      <c r="I325">
        <v>0</v>
      </c>
      <c r="J325" s="1">
        <v>406438.48</v>
      </c>
      <c r="K325" s="1">
        <v>284398.04499999998</v>
      </c>
      <c r="L325" s="1">
        <v>406506.31</v>
      </c>
      <c r="M325" s="1">
        <v>284358.37</v>
      </c>
      <c r="N325" t="s">
        <v>40</v>
      </c>
      <c r="P325" t="s">
        <v>40</v>
      </c>
      <c r="Q325">
        <v>0</v>
      </c>
      <c r="R325">
        <v>0</v>
      </c>
      <c r="S325">
        <v>0</v>
      </c>
      <c r="T325">
        <v>6</v>
      </c>
      <c r="U325">
        <v>6</v>
      </c>
      <c r="V325">
        <v>1</v>
      </c>
      <c r="W325">
        <v>1</v>
      </c>
      <c r="X325" t="s">
        <v>40</v>
      </c>
      <c r="Y325">
        <v>3</v>
      </c>
      <c r="Z325">
        <v>52</v>
      </c>
      <c r="AA325">
        <v>1</v>
      </c>
      <c r="AB325">
        <v>0</v>
      </c>
      <c r="AC325">
        <v>85.894000000000005</v>
      </c>
      <c r="AD325">
        <v>5059</v>
      </c>
      <c r="AH325">
        <v>0</v>
      </c>
      <c r="AI325">
        <v>0</v>
      </c>
      <c r="AL325" t="s">
        <v>40</v>
      </c>
      <c r="AM325" t="str">
        <f t="shared" si="24"/>
        <v>52 1</v>
      </c>
      <c r="AN325" t="str">
        <f t="shared" si="25"/>
        <v>406438.48,284398.045</v>
      </c>
      <c r="AO325" t="str">
        <f t="shared" si="26"/>
        <v>406506.31,284358.37</v>
      </c>
      <c r="AQ325" t="s">
        <v>716</v>
      </c>
      <c r="AR325" t="s">
        <v>2235</v>
      </c>
    </row>
    <row r="326" spans="1:44" x14ac:dyDescent="0.3">
      <c r="A326">
        <v>3869</v>
      </c>
      <c r="B326">
        <v>4</v>
      </c>
      <c r="C326">
        <v>4018604</v>
      </c>
      <c r="D326">
        <v>16792</v>
      </c>
      <c r="E326">
        <v>2</v>
      </c>
      <c r="F326">
        <v>670050</v>
      </c>
      <c r="G326" t="s">
        <v>66</v>
      </c>
      <c r="H326" t="s">
        <v>67</v>
      </c>
      <c r="I326">
        <v>0</v>
      </c>
      <c r="J326" s="1">
        <v>406512.83199999999</v>
      </c>
      <c r="K326" s="1">
        <v>284333.61499999999</v>
      </c>
      <c r="L326" s="1">
        <v>406506.31</v>
      </c>
      <c r="M326" s="1">
        <v>284358.37</v>
      </c>
      <c r="N326" t="s">
        <v>40</v>
      </c>
      <c r="P326" t="s">
        <v>40</v>
      </c>
      <c r="Q326">
        <v>0</v>
      </c>
      <c r="R326">
        <v>0</v>
      </c>
      <c r="S326">
        <v>0</v>
      </c>
      <c r="T326">
        <v>6</v>
      </c>
      <c r="U326">
        <v>6</v>
      </c>
      <c r="V326">
        <v>1</v>
      </c>
      <c r="W326">
        <v>1</v>
      </c>
      <c r="X326" t="s">
        <v>40</v>
      </c>
      <c r="Y326">
        <v>3</v>
      </c>
      <c r="Z326">
        <v>5024</v>
      </c>
      <c r="AA326">
        <v>1</v>
      </c>
      <c r="AB326">
        <v>0</v>
      </c>
      <c r="AC326">
        <v>32.918999999999997</v>
      </c>
      <c r="AD326">
        <v>5059</v>
      </c>
      <c r="AH326">
        <v>0</v>
      </c>
      <c r="AI326">
        <v>0</v>
      </c>
      <c r="AL326" t="s">
        <v>40</v>
      </c>
      <c r="AM326" t="str">
        <f t="shared" si="24"/>
        <v>5024 1</v>
      </c>
      <c r="AN326" t="str">
        <f t="shared" si="25"/>
        <v>406512.832,284333.615</v>
      </c>
      <c r="AO326" t="str">
        <f t="shared" si="26"/>
        <v>406506.31,284358.37</v>
      </c>
      <c r="AQ326" t="s">
        <v>2170</v>
      </c>
      <c r="AR326" t="s">
        <v>2235</v>
      </c>
    </row>
    <row r="327" spans="1:44" x14ac:dyDescent="0.3">
      <c r="A327">
        <v>3869</v>
      </c>
      <c r="B327">
        <v>4</v>
      </c>
      <c r="C327">
        <v>4018575</v>
      </c>
      <c r="D327">
        <v>15781</v>
      </c>
      <c r="E327">
        <v>2</v>
      </c>
      <c r="F327">
        <v>670050</v>
      </c>
      <c r="G327" t="s">
        <v>66</v>
      </c>
      <c r="H327" t="s">
        <v>67</v>
      </c>
      <c r="I327">
        <v>0</v>
      </c>
      <c r="J327" s="1">
        <v>406439.739</v>
      </c>
      <c r="K327" s="1">
        <v>284183.00599999999</v>
      </c>
      <c r="L327" s="1">
        <v>406441.027</v>
      </c>
      <c r="M327" s="1">
        <v>284185.82500000001</v>
      </c>
      <c r="N327" t="s">
        <v>40</v>
      </c>
      <c r="P327" t="s">
        <v>40</v>
      </c>
      <c r="Q327">
        <v>0</v>
      </c>
      <c r="R327">
        <v>0</v>
      </c>
      <c r="S327">
        <v>0</v>
      </c>
      <c r="T327">
        <v>6</v>
      </c>
      <c r="U327">
        <v>6</v>
      </c>
      <c r="V327">
        <v>1</v>
      </c>
      <c r="W327">
        <v>1</v>
      </c>
      <c r="X327" t="s">
        <v>40</v>
      </c>
      <c r="Y327">
        <v>3</v>
      </c>
      <c r="Z327">
        <v>90</v>
      </c>
      <c r="AA327">
        <v>1</v>
      </c>
      <c r="AB327">
        <v>0</v>
      </c>
      <c r="AC327">
        <v>3.1</v>
      </c>
      <c r="AD327">
        <v>5059</v>
      </c>
      <c r="AH327">
        <v>0</v>
      </c>
      <c r="AI327">
        <v>0</v>
      </c>
      <c r="AL327" t="s">
        <v>40</v>
      </c>
      <c r="AM327" t="str">
        <f t="shared" si="24"/>
        <v>90 1</v>
      </c>
      <c r="AN327" t="str">
        <f t="shared" si="25"/>
        <v>406439.739,284183.006</v>
      </c>
      <c r="AO327" t="str">
        <f t="shared" si="26"/>
        <v>406441.027,284185.825</v>
      </c>
      <c r="AQ327" t="s">
        <v>2172</v>
      </c>
      <c r="AR327" t="s">
        <v>1956</v>
      </c>
    </row>
    <row r="328" spans="1:44" x14ac:dyDescent="0.3">
      <c r="A328">
        <v>3869</v>
      </c>
      <c r="B328">
        <v>4</v>
      </c>
      <c r="C328">
        <v>4018746</v>
      </c>
      <c r="D328">
        <v>69386</v>
      </c>
      <c r="E328">
        <v>2</v>
      </c>
      <c r="F328">
        <v>670050</v>
      </c>
      <c r="G328" t="s">
        <v>66</v>
      </c>
      <c r="H328" t="s">
        <v>67</v>
      </c>
      <c r="I328">
        <v>0</v>
      </c>
      <c r="J328" s="1">
        <v>406658.86300000001</v>
      </c>
      <c r="K328" s="1">
        <v>284827.63900000002</v>
      </c>
      <c r="L328" s="1">
        <v>406649.95199999999</v>
      </c>
      <c r="M328" s="1">
        <v>284835.83</v>
      </c>
      <c r="N328" t="s">
        <v>40</v>
      </c>
      <c r="P328" t="s">
        <v>40</v>
      </c>
      <c r="Q328">
        <v>0</v>
      </c>
      <c r="R328">
        <v>0</v>
      </c>
      <c r="S328">
        <v>201107</v>
      </c>
      <c r="T328">
        <v>6</v>
      </c>
      <c r="U328">
        <v>6</v>
      </c>
      <c r="V328">
        <v>1</v>
      </c>
      <c r="W328">
        <v>1</v>
      </c>
      <c r="X328" t="s">
        <v>40</v>
      </c>
      <c r="Y328">
        <v>3</v>
      </c>
      <c r="Z328">
        <v>5028</v>
      </c>
      <c r="AA328">
        <v>1</v>
      </c>
      <c r="AB328">
        <v>0</v>
      </c>
      <c r="AC328">
        <v>15.475</v>
      </c>
      <c r="AD328">
        <v>5059</v>
      </c>
      <c r="AE328" t="s">
        <v>74</v>
      </c>
      <c r="AH328">
        <v>0</v>
      </c>
      <c r="AI328">
        <v>0</v>
      </c>
      <c r="AL328" t="s">
        <v>40</v>
      </c>
      <c r="AM328" t="str">
        <f t="shared" si="24"/>
        <v>5028 1</v>
      </c>
      <c r="AN328" t="str">
        <f t="shared" si="25"/>
        <v>406658.863,284827.639</v>
      </c>
      <c r="AO328" t="str">
        <f t="shared" si="26"/>
        <v>406649.952,284835.83</v>
      </c>
      <c r="AQ328" t="s">
        <v>2194</v>
      </c>
      <c r="AR328" t="s">
        <v>711</v>
      </c>
    </row>
    <row r="329" spans="1:44" x14ac:dyDescent="0.3">
      <c r="A329">
        <v>3869</v>
      </c>
      <c r="B329">
        <v>4</v>
      </c>
      <c r="C329">
        <v>4019802</v>
      </c>
      <c r="D329">
        <v>16844</v>
      </c>
      <c r="E329">
        <v>2</v>
      </c>
      <c r="F329">
        <v>670050</v>
      </c>
      <c r="G329" t="s">
        <v>76</v>
      </c>
      <c r="H329" t="s">
        <v>54</v>
      </c>
      <c r="I329">
        <v>0</v>
      </c>
      <c r="J329" s="1">
        <v>405306.299</v>
      </c>
      <c r="K329" s="1">
        <v>282022.36700000003</v>
      </c>
      <c r="L329" s="1">
        <v>405382.16</v>
      </c>
      <c r="M329" s="1">
        <v>282060.49200000003</v>
      </c>
      <c r="N329" t="s">
        <v>40</v>
      </c>
      <c r="P329" t="s">
        <v>40</v>
      </c>
      <c r="Q329">
        <v>0</v>
      </c>
      <c r="R329">
        <v>0</v>
      </c>
      <c r="S329">
        <v>0</v>
      </c>
      <c r="T329">
        <v>6</v>
      </c>
      <c r="U329">
        <v>6</v>
      </c>
      <c r="V329">
        <v>1</v>
      </c>
      <c r="W329">
        <v>1</v>
      </c>
      <c r="X329" t="s">
        <v>40</v>
      </c>
      <c r="Y329">
        <v>3</v>
      </c>
      <c r="Z329">
        <v>89</v>
      </c>
      <c r="AA329">
        <v>1</v>
      </c>
      <c r="AB329">
        <v>0</v>
      </c>
      <c r="AC329">
        <v>126.91699999999999</v>
      </c>
      <c r="AD329">
        <v>5059</v>
      </c>
      <c r="AH329">
        <v>0</v>
      </c>
      <c r="AI329">
        <v>0</v>
      </c>
      <c r="AL329" t="s">
        <v>40</v>
      </c>
      <c r="AM329" t="str">
        <f t="shared" si="24"/>
        <v>89 1</v>
      </c>
      <c r="AN329" s="6" t="s">
        <v>316</v>
      </c>
      <c r="AO329" s="6" t="s">
        <v>1664</v>
      </c>
      <c r="AQ329" t="s">
        <v>724</v>
      </c>
      <c r="AR329" t="s">
        <v>1957</v>
      </c>
    </row>
    <row r="330" spans="1:44" x14ac:dyDescent="0.3">
      <c r="A330">
        <v>3869</v>
      </c>
      <c r="B330">
        <v>4</v>
      </c>
      <c r="C330">
        <v>4011963</v>
      </c>
      <c r="D330">
        <v>10630</v>
      </c>
      <c r="E330">
        <v>2</v>
      </c>
      <c r="F330">
        <v>670050</v>
      </c>
      <c r="G330" t="s">
        <v>76</v>
      </c>
      <c r="H330" t="s">
        <v>48</v>
      </c>
      <c r="I330">
        <v>0</v>
      </c>
      <c r="J330" s="1">
        <v>406367.99099999998</v>
      </c>
      <c r="K330" s="1">
        <v>282094.61900000001</v>
      </c>
      <c r="L330" s="1">
        <v>406361.136</v>
      </c>
      <c r="M330" s="1">
        <v>282092.74</v>
      </c>
      <c r="N330" t="s">
        <v>40</v>
      </c>
      <c r="P330" t="s">
        <v>40</v>
      </c>
      <c r="Q330">
        <v>0</v>
      </c>
      <c r="R330">
        <v>0</v>
      </c>
      <c r="S330">
        <v>0</v>
      </c>
      <c r="T330">
        <v>6</v>
      </c>
      <c r="U330">
        <v>6</v>
      </c>
      <c r="V330">
        <v>1</v>
      </c>
      <c r="W330">
        <v>1</v>
      </c>
      <c r="X330" t="s">
        <v>40</v>
      </c>
      <c r="Y330">
        <v>3</v>
      </c>
      <c r="Z330">
        <v>52</v>
      </c>
      <c r="AA330">
        <v>1</v>
      </c>
      <c r="AB330">
        <v>0</v>
      </c>
      <c r="AC330">
        <v>8.9469999999999992</v>
      </c>
      <c r="AD330">
        <v>5059</v>
      </c>
      <c r="AH330">
        <v>0</v>
      </c>
      <c r="AI330">
        <v>0</v>
      </c>
      <c r="AL330" t="s">
        <v>40</v>
      </c>
      <c r="AM330" t="str">
        <f t="shared" si="24"/>
        <v>52 1</v>
      </c>
      <c r="AN330" t="str">
        <f t="shared" si="25"/>
        <v>406367.991,282094.619</v>
      </c>
      <c r="AO330" t="str">
        <f t="shared" si="26"/>
        <v>406361.136,282092.74</v>
      </c>
      <c r="AQ330" t="s">
        <v>718</v>
      </c>
      <c r="AR330" t="s">
        <v>2236</v>
      </c>
    </row>
    <row r="331" spans="1:44" x14ac:dyDescent="0.3">
      <c r="A331">
        <v>3869</v>
      </c>
      <c r="B331">
        <v>4</v>
      </c>
      <c r="C331">
        <v>4019797</v>
      </c>
      <c r="D331">
        <v>41018</v>
      </c>
      <c r="E331">
        <v>2</v>
      </c>
      <c r="F331">
        <v>670050</v>
      </c>
      <c r="G331" t="s">
        <v>76</v>
      </c>
      <c r="H331" t="s">
        <v>54</v>
      </c>
      <c r="I331">
        <v>0</v>
      </c>
      <c r="J331" s="1">
        <v>405187.79399999999</v>
      </c>
      <c r="K331" s="1">
        <v>282133.255</v>
      </c>
      <c r="L331" s="1">
        <v>405233.71299999999</v>
      </c>
      <c r="M331" s="1">
        <v>282177.56300000002</v>
      </c>
      <c r="N331" t="s">
        <v>40</v>
      </c>
      <c r="P331" t="s">
        <v>40</v>
      </c>
      <c r="Q331">
        <v>0</v>
      </c>
      <c r="R331">
        <v>0</v>
      </c>
      <c r="S331">
        <v>0</v>
      </c>
      <c r="T331">
        <v>6</v>
      </c>
      <c r="U331">
        <v>6</v>
      </c>
      <c r="V331">
        <v>1</v>
      </c>
      <c r="W331">
        <v>3</v>
      </c>
      <c r="X331" t="s">
        <v>40</v>
      </c>
      <c r="Y331">
        <v>3</v>
      </c>
      <c r="Z331">
        <v>36</v>
      </c>
      <c r="AA331">
        <v>5001</v>
      </c>
      <c r="AB331">
        <v>0</v>
      </c>
      <c r="AC331">
        <v>271.63499999999999</v>
      </c>
      <c r="AD331">
        <v>5059</v>
      </c>
      <c r="AH331">
        <v>0</v>
      </c>
      <c r="AI331">
        <v>0</v>
      </c>
      <c r="AL331" t="s">
        <v>40</v>
      </c>
      <c r="AM331" t="str">
        <f t="shared" si="24"/>
        <v>36 5001</v>
      </c>
      <c r="AN331" s="6" t="s">
        <v>312</v>
      </c>
      <c r="AO331" s="6" t="s">
        <v>1664</v>
      </c>
      <c r="AQ331" t="s">
        <v>723</v>
      </c>
      <c r="AR331" t="s">
        <v>1957</v>
      </c>
    </row>
    <row r="332" spans="1:44" x14ac:dyDescent="0.3">
      <c r="A332">
        <v>3869</v>
      </c>
      <c r="B332">
        <v>4</v>
      </c>
      <c r="C332">
        <v>4011915</v>
      </c>
      <c r="D332">
        <v>11336</v>
      </c>
      <c r="E332">
        <v>2</v>
      </c>
      <c r="F332">
        <v>670050</v>
      </c>
      <c r="G332" t="s">
        <v>76</v>
      </c>
      <c r="H332" t="s">
        <v>48</v>
      </c>
      <c r="I332">
        <v>0</v>
      </c>
      <c r="J332" s="1">
        <v>406336.51400000002</v>
      </c>
      <c r="K332" s="1">
        <v>282301.12699999998</v>
      </c>
      <c r="L332" s="1">
        <v>406364.41200000001</v>
      </c>
      <c r="M332" s="1">
        <v>282316.158</v>
      </c>
      <c r="N332" t="s">
        <v>40</v>
      </c>
      <c r="P332" t="s">
        <v>40</v>
      </c>
      <c r="Q332">
        <v>0</v>
      </c>
      <c r="R332">
        <v>0</v>
      </c>
      <c r="S332">
        <v>0</v>
      </c>
      <c r="T332">
        <v>6</v>
      </c>
      <c r="U332">
        <v>6</v>
      </c>
      <c r="V332">
        <v>1</v>
      </c>
      <c r="W332">
        <v>1</v>
      </c>
      <c r="X332" t="s">
        <v>40</v>
      </c>
      <c r="Y332">
        <v>3</v>
      </c>
      <c r="Z332">
        <v>52</v>
      </c>
      <c r="AA332">
        <v>1</v>
      </c>
      <c r="AB332">
        <v>0</v>
      </c>
      <c r="AC332">
        <v>266.84100000000001</v>
      </c>
      <c r="AD332">
        <v>5059</v>
      </c>
      <c r="AH332">
        <v>0</v>
      </c>
      <c r="AI332">
        <v>0</v>
      </c>
      <c r="AL332" t="s">
        <v>40</v>
      </c>
      <c r="AM332" t="str">
        <f t="shared" si="24"/>
        <v>52 1</v>
      </c>
      <c r="AN332" s="6" t="s">
        <v>1086</v>
      </c>
      <c r="AO332" s="6" t="s">
        <v>1080</v>
      </c>
      <c r="AQ332" t="s">
        <v>2237</v>
      </c>
      <c r="AR332" t="s">
        <v>2238</v>
      </c>
    </row>
    <row r="333" spans="1:44" x14ac:dyDescent="0.3">
      <c r="A333">
        <v>3869</v>
      </c>
      <c r="B333">
        <v>4</v>
      </c>
      <c r="C333">
        <v>4019763</v>
      </c>
      <c r="D333">
        <v>16592</v>
      </c>
      <c r="E333">
        <v>2</v>
      </c>
      <c r="F333">
        <v>670050</v>
      </c>
      <c r="G333" t="s">
        <v>76</v>
      </c>
      <c r="H333" t="s">
        <v>54</v>
      </c>
      <c r="I333">
        <v>0</v>
      </c>
      <c r="J333" s="1">
        <v>405320.28600000002</v>
      </c>
      <c r="K333" s="1">
        <v>282005.8</v>
      </c>
      <c r="L333" s="1">
        <v>405314.83799999999</v>
      </c>
      <c r="M333" s="1">
        <v>282012.28100000002</v>
      </c>
      <c r="N333" t="s">
        <v>40</v>
      </c>
      <c r="P333" t="s">
        <v>40</v>
      </c>
      <c r="Q333">
        <v>0</v>
      </c>
      <c r="R333">
        <v>0</v>
      </c>
      <c r="S333">
        <v>0</v>
      </c>
      <c r="T333">
        <v>6</v>
      </c>
      <c r="U333">
        <v>6</v>
      </c>
      <c r="V333">
        <v>1</v>
      </c>
      <c r="W333">
        <v>1</v>
      </c>
      <c r="X333" t="s">
        <v>40</v>
      </c>
      <c r="Y333">
        <v>3</v>
      </c>
      <c r="Z333">
        <v>38</v>
      </c>
      <c r="AA333">
        <v>5001</v>
      </c>
      <c r="AB333">
        <v>0</v>
      </c>
      <c r="AC333">
        <v>8.4670000000000005</v>
      </c>
      <c r="AD333">
        <v>5059</v>
      </c>
      <c r="AH333">
        <v>0</v>
      </c>
      <c r="AI333">
        <v>0</v>
      </c>
      <c r="AL333" t="s">
        <v>40</v>
      </c>
      <c r="AM333" t="str">
        <f t="shared" si="24"/>
        <v>38 5001</v>
      </c>
      <c r="AN333" t="str">
        <f t="shared" si="25"/>
        <v>405320.286,282005.8</v>
      </c>
      <c r="AO333" t="str">
        <f t="shared" si="26"/>
        <v>405314.838,282012.281</v>
      </c>
      <c r="AQ333" t="s">
        <v>2239</v>
      </c>
      <c r="AR333" t="s">
        <v>1957</v>
      </c>
    </row>
    <row r="334" spans="1:44" x14ac:dyDescent="0.3">
      <c r="A334">
        <v>3869</v>
      </c>
      <c r="B334">
        <v>4</v>
      </c>
      <c r="C334">
        <v>4011941</v>
      </c>
      <c r="D334">
        <v>10631</v>
      </c>
      <c r="E334">
        <v>2</v>
      </c>
      <c r="F334">
        <v>670050</v>
      </c>
      <c r="G334" t="s">
        <v>76</v>
      </c>
      <c r="H334" t="s">
        <v>48</v>
      </c>
      <c r="I334">
        <v>0</v>
      </c>
      <c r="J334" s="1">
        <v>406367.734</v>
      </c>
      <c r="K334" s="1">
        <v>282094.77600000001</v>
      </c>
      <c r="L334" s="1">
        <v>406359.86099999998</v>
      </c>
      <c r="M334" s="1">
        <v>282091.49400000001</v>
      </c>
      <c r="N334" t="s">
        <v>40</v>
      </c>
      <c r="P334" t="s">
        <v>40</v>
      </c>
      <c r="Q334">
        <v>0</v>
      </c>
      <c r="R334">
        <v>0</v>
      </c>
      <c r="S334">
        <v>0</v>
      </c>
      <c r="T334">
        <v>6</v>
      </c>
      <c r="U334">
        <v>6</v>
      </c>
      <c r="V334">
        <v>1</v>
      </c>
      <c r="W334">
        <v>1</v>
      </c>
      <c r="X334" t="s">
        <v>40</v>
      </c>
      <c r="Y334">
        <v>3</v>
      </c>
      <c r="Z334">
        <v>52</v>
      </c>
      <c r="AA334">
        <v>1</v>
      </c>
      <c r="AB334">
        <v>0</v>
      </c>
      <c r="AC334">
        <v>10.680999999999999</v>
      </c>
      <c r="AD334">
        <v>5059</v>
      </c>
      <c r="AH334">
        <v>0</v>
      </c>
      <c r="AI334">
        <v>0</v>
      </c>
      <c r="AL334" t="s">
        <v>40</v>
      </c>
      <c r="AM334" t="str">
        <f t="shared" si="24"/>
        <v>52 1</v>
      </c>
      <c r="AN334" t="str">
        <f t="shared" si="25"/>
        <v>406367.734,282094.776</v>
      </c>
      <c r="AO334" t="str">
        <f t="shared" si="26"/>
        <v>406359.861,282091.494</v>
      </c>
      <c r="AQ334" t="s">
        <v>717</v>
      </c>
      <c r="AR334" t="s">
        <v>2240</v>
      </c>
    </row>
    <row r="335" spans="1:44" x14ac:dyDescent="0.3">
      <c r="A335">
        <v>3869</v>
      </c>
      <c r="B335">
        <v>4</v>
      </c>
      <c r="C335">
        <v>4011938</v>
      </c>
      <c r="D335">
        <v>10868</v>
      </c>
      <c r="E335">
        <v>2</v>
      </c>
      <c r="F335">
        <v>670050</v>
      </c>
      <c r="G335" t="s">
        <v>76</v>
      </c>
      <c r="H335" t="s">
        <v>48</v>
      </c>
      <c r="I335">
        <v>0</v>
      </c>
      <c r="J335" s="1">
        <v>406359.86099999998</v>
      </c>
      <c r="K335" s="1">
        <v>282091.49400000001</v>
      </c>
      <c r="L335" s="1">
        <v>406152.897</v>
      </c>
      <c r="M335" s="1">
        <v>282183.79200000002</v>
      </c>
      <c r="N335" t="s">
        <v>40</v>
      </c>
      <c r="P335" t="s">
        <v>40</v>
      </c>
      <c r="Q335">
        <v>0</v>
      </c>
      <c r="R335">
        <v>0</v>
      </c>
      <c r="S335">
        <v>0</v>
      </c>
      <c r="T335">
        <v>6</v>
      </c>
      <c r="U335">
        <v>6</v>
      </c>
      <c r="V335">
        <v>1</v>
      </c>
      <c r="W335">
        <v>1</v>
      </c>
      <c r="X335" t="s">
        <v>40</v>
      </c>
      <c r="Y335">
        <v>3</v>
      </c>
      <c r="Z335">
        <v>89</v>
      </c>
      <c r="AA335">
        <v>1</v>
      </c>
      <c r="AB335">
        <v>0</v>
      </c>
      <c r="AC335">
        <v>234.541</v>
      </c>
      <c r="AD335">
        <v>5059</v>
      </c>
      <c r="AH335">
        <v>0</v>
      </c>
      <c r="AI335">
        <v>0</v>
      </c>
      <c r="AL335" t="s">
        <v>40</v>
      </c>
      <c r="AM335" t="str">
        <f t="shared" si="24"/>
        <v>89 1</v>
      </c>
      <c r="AN335" t="str">
        <f t="shared" si="25"/>
        <v>406359.861,282091.494</v>
      </c>
      <c r="AO335" t="str">
        <f t="shared" si="26"/>
        <v>406152.897,282183.792</v>
      </c>
      <c r="AQ335" t="s">
        <v>2240</v>
      </c>
      <c r="AR335" t="s">
        <v>2238</v>
      </c>
    </row>
    <row r="336" spans="1:44" x14ac:dyDescent="0.3">
      <c r="A336">
        <v>3869</v>
      </c>
      <c r="B336">
        <v>4</v>
      </c>
      <c r="C336">
        <v>4012015</v>
      </c>
      <c r="D336">
        <v>11414</v>
      </c>
      <c r="E336">
        <v>2</v>
      </c>
      <c r="F336">
        <v>670050</v>
      </c>
      <c r="G336" t="s">
        <v>76</v>
      </c>
      <c r="H336" t="s">
        <v>48</v>
      </c>
      <c r="I336">
        <v>0</v>
      </c>
      <c r="J336" s="1">
        <v>406606.62400000001</v>
      </c>
      <c r="K336" s="1">
        <v>282237.054</v>
      </c>
      <c r="L336" s="1">
        <v>406577.68800000002</v>
      </c>
      <c r="M336" s="1">
        <v>282415.06099999999</v>
      </c>
      <c r="N336" t="s">
        <v>40</v>
      </c>
      <c r="P336" t="s">
        <v>40</v>
      </c>
      <c r="Q336">
        <v>0</v>
      </c>
      <c r="R336">
        <v>0</v>
      </c>
      <c r="S336">
        <v>0</v>
      </c>
      <c r="T336">
        <v>6</v>
      </c>
      <c r="U336">
        <v>6</v>
      </c>
      <c r="V336">
        <v>1</v>
      </c>
      <c r="W336">
        <v>1</v>
      </c>
      <c r="X336" t="s">
        <v>40</v>
      </c>
      <c r="Y336">
        <v>3</v>
      </c>
      <c r="Z336">
        <v>89</v>
      </c>
      <c r="AA336">
        <v>1</v>
      </c>
      <c r="AB336">
        <v>0</v>
      </c>
      <c r="AC336">
        <v>748.42700000000002</v>
      </c>
      <c r="AD336">
        <v>5059</v>
      </c>
      <c r="AH336">
        <v>0</v>
      </c>
      <c r="AI336">
        <v>0</v>
      </c>
      <c r="AL336" t="s">
        <v>40</v>
      </c>
      <c r="AM336" t="str">
        <f t="shared" si="24"/>
        <v>89 1</v>
      </c>
      <c r="AN336" s="6" t="s">
        <v>1668</v>
      </c>
      <c r="AO336" s="6" t="s">
        <v>1665</v>
      </c>
      <c r="AQ336" t="s">
        <v>2241</v>
      </c>
      <c r="AR336" t="s">
        <v>2236</v>
      </c>
    </row>
    <row r="337" spans="1:44" x14ac:dyDescent="0.3">
      <c r="A337">
        <v>3869</v>
      </c>
      <c r="B337">
        <v>4</v>
      </c>
      <c r="C337">
        <v>4012157</v>
      </c>
      <c r="D337">
        <v>12232</v>
      </c>
      <c r="E337">
        <v>2</v>
      </c>
      <c r="F337">
        <v>670050</v>
      </c>
      <c r="G337" t="s">
        <v>76</v>
      </c>
      <c r="H337" t="s">
        <v>48</v>
      </c>
      <c r="I337">
        <v>0</v>
      </c>
      <c r="J337" s="1">
        <v>406754.50199999998</v>
      </c>
      <c r="K337" s="1">
        <v>282973.71000000002</v>
      </c>
      <c r="L337" s="1">
        <v>406650.00599999999</v>
      </c>
      <c r="M337" s="1">
        <v>282944.212</v>
      </c>
      <c r="N337" t="s">
        <v>40</v>
      </c>
      <c r="P337" t="s">
        <v>40</v>
      </c>
      <c r="Q337">
        <v>0</v>
      </c>
      <c r="R337">
        <v>0</v>
      </c>
      <c r="S337">
        <v>0</v>
      </c>
      <c r="T337">
        <v>6</v>
      </c>
      <c r="U337">
        <v>6</v>
      </c>
      <c r="V337">
        <v>1</v>
      </c>
      <c r="W337">
        <v>1</v>
      </c>
      <c r="X337" t="s">
        <v>40</v>
      </c>
      <c r="Y337">
        <v>3</v>
      </c>
      <c r="Z337">
        <v>89</v>
      </c>
      <c r="AA337">
        <v>1</v>
      </c>
      <c r="AB337">
        <v>0</v>
      </c>
      <c r="AC337">
        <v>227.56200000000001</v>
      </c>
      <c r="AD337">
        <v>5059</v>
      </c>
      <c r="AH337">
        <v>0</v>
      </c>
      <c r="AI337">
        <v>0</v>
      </c>
      <c r="AL337" t="s">
        <v>40</v>
      </c>
      <c r="AM337" t="str">
        <f t="shared" si="24"/>
        <v>89 1</v>
      </c>
      <c r="AN337" s="6" t="s">
        <v>1087</v>
      </c>
      <c r="AO337" s="6" t="s">
        <v>1093</v>
      </c>
      <c r="AQ337" t="s">
        <v>2242</v>
      </c>
      <c r="AR337" t="s">
        <v>2243</v>
      </c>
    </row>
    <row r="338" spans="1:44" x14ac:dyDescent="0.3">
      <c r="A338">
        <v>3869</v>
      </c>
      <c r="B338">
        <v>4</v>
      </c>
      <c r="C338">
        <v>4012073</v>
      </c>
      <c r="D338">
        <v>25899</v>
      </c>
      <c r="E338">
        <v>2</v>
      </c>
      <c r="F338">
        <v>670050</v>
      </c>
      <c r="G338" t="s">
        <v>76</v>
      </c>
      <c r="H338" t="s">
        <v>48</v>
      </c>
      <c r="I338">
        <v>0</v>
      </c>
      <c r="J338" s="1">
        <v>406551.55200000003</v>
      </c>
      <c r="K338" s="1">
        <v>282599.14799999999</v>
      </c>
      <c r="L338" s="1">
        <v>406553.91399999999</v>
      </c>
      <c r="M338" s="1">
        <v>282598.49900000001</v>
      </c>
      <c r="N338" t="s">
        <v>40</v>
      </c>
      <c r="P338" t="s">
        <v>40</v>
      </c>
      <c r="Q338">
        <v>0</v>
      </c>
      <c r="R338">
        <v>0</v>
      </c>
      <c r="S338">
        <v>0</v>
      </c>
      <c r="T338">
        <v>6</v>
      </c>
      <c r="U338">
        <v>6</v>
      </c>
      <c r="V338">
        <v>1</v>
      </c>
      <c r="W338">
        <v>1</v>
      </c>
      <c r="X338" t="s">
        <v>40</v>
      </c>
      <c r="Y338">
        <v>3</v>
      </c>
      <c r="Z338">
        <v>5024</v>
      </c>
      <c r="AA338">
        <v>1</v>
      </c>
      <c r="AB338">
        <v>0</v>
      </c>
      <c r="AC338">
        <v>5.57</v>
      </c>
      <c r="AD338">
        <v>5059</v>
      </c>
      <c r="AH338">
        <v>0</v>
      </c>
      <c r="AI338">
        <v>0</v>
      </c>
      <c r="AL338" t="s">
        <v>40</v>
      </c>
      <c r="AM338" t="str">
        <f t="shared" si="24"/>
        <v>5024 1</v>
      </c>
      <c r="AN338" t="str">
        <f t="shared" si="25"/>
        <v>406551.552,282599.148</v>
      </c>
      <c r="AO338" t="str">
        <f t="shared" si="26"/>
        <v>406553.914,282598.499</v>
      </c>
      <c r="AQ338" t="s">
        <v>2244</v>
      </c>
      <c r="AR338" t="s">
        <v>723</v>
      </c>
    </row>
    <row r="339" spans="1:44" x14ac:dyDescent="0.3">
      <c r="A339">
        <v>3869</v>
      </c>
      <c r="B339">
        <v>4</v>
      </c>
      <c r="C339">
        <v>4012057</v>
      </c>
      <c r="D339">
        <v>25901</v>
      </c>
      <c r="E339">
        <v>2</v>
      </c>
      <c r="F339">
        <v>670050</v>
      </c>
      <c r="G339" t="s">
        <v>76</v>
      </c>
      <c r="H339" t="s">
        <v>48</v>
      </c>
      <c r="I339">
        <v>0</v>
      </c>
      <c r="J339" s="1">
        <v>406552.81599999999</v>
      </c>
      <c r="K339" s="1">
        <v>282600.34399999998</v>
      </c>
      <c r="L339" s="1">
        <v>406553.527</v>
      </c>
      <c r="M339" s="1">
        <v>282598.65999999997</v>
      </c>
      <c r="N339" t="s">
        <v>40</v>
      </c>
      <c r="P339" t="s">
        <v>40</v>
      </c>
      <c r="Q339">
        <v>0</v>
      </c>
      <c r="R339">
        <v>0</v>
      </c>
      <c r="S339">
        <v>0</v>
      </c>
      <c r="T339">
        <v>6</v>
      </c>
      <c r="U339">
        <v>6</v>
      </c>
      <c r="V339">
        <v>1</v>
      </c>
      <c r="W339">
        <v>3</v>
      </c>
      <c r="X339" t="s">
        <v>40</v>
      </c>
      <c r="Y339">
        <v>3</v>
      </c>
      <c r="Z339">
        <v>5017</v>
      </c>
      <c r="AA339">
        <v>1</v>
      </c>
      <c r="AB339">
        <v>0</v>
      </c>
      <c r="AC339">
        <v>3.0760000000000001</v>
      </c>
      <c r="AD339">
        <v>5059</v>
      </c>
      <c r="AH339">
        <v>0</v>
      </c>
      <c r="AI339">
        <v>0</v>
      </c>
      <c r="AL339" t="s">
        <v>40</v>
      </c>
      <c r="AM339" t="str">
        <f t="shared" si="24"/>
        <v>5017 1</v>
      </c>
      <c r="AN339" t="str">
        <f t="shared" si="25"/>
        <v>406552.816,282600.344</v>
      </c>
      <c r="AO339" t="str">
        <f t="shared" si="26"/>
        <v>406553.527,282598.66</v>
      </c>
      <c r="AQ339" t="s">
        <v>2245</v>
      </c>
      <c r="AR339" t="s">
        <v>723</v>
      </c>
    </row>
    <row r="340" spans="1:44" x14ac:dyDescent="0.3">
      <c r="A340">
        <v>3869</v>
      </c>
      <c r="B340">
        <v>4</v>
      </c>
      <c r="C340">
        <v>4012056</v>
      </c>
      <c r="D340">
        <v>25900</v>
      </c>
      <c r="E340">
        <v>2</v>
      </c>
      <c r="F340">
        <v>670050</v>
      </c>
      <c r="G340" t="s">
        <v>76</v>
      </c>
      <c r="H340" t="s">
        <v>48</v>
      </c>
      <c r="I340">
        <v>0</v>
      </c>
      <c r="J340" s="1">
        <v>406551.64899999998</v>
      </c>
      <c r="K340" s="1">
        <v>282598.76</v>
      </c>
      <c r="L340" s="1">
        <v>406553.87199999997</v>
      </c>
      <c r="M340" s="1">
        <v>282598.91600000003</v>
      </c>
      <c r="N340" t="s">
        <v>40</v>
      </c>
      <c r="P340" t="s">
        <v>40</v>
      </c>
      <c r="Q340">
        <v>0</v>
      </c>
      <c r="R340">
        <v>0</v>
      </c>
      <c r="S340">
        <v>0</v>
      </c>
      <c r="T340">
        <v>6</v>
      </c>
      <c r="U340">
        <v>6</v>
      </c>
      <c r="V340">
        <v>1</v>
      </c>
      <c r="W340">
        <v>1</v>
      </c>
      <c r="X340" t="s">
        <v>40</v>
      </c>
      <c r="Y340">
        <v>3</v>
      </c>
      <c r="Z340">
        <v>5024</v>
      </c>
      <c r="AA340">
        <v>1</v>
      </c>
      <c r="AB340">
        <v>0</v>
      </c>
      <c r="AC340">
        <v>2.355</v>
      </c>
      <c r="AD340">
        <v>5059</v>
      </c>
      <c r="AH340">
        <v>0</v>
      </c>
      <c r="AI340">
        <v>0</v>
      </c>
      <c r="AL340" t="s">
        <v>40</v>
      </c>
      <c r="AM340" t="str">
        <f t="shared" si="24"/>
        <v>5024 1</v>
      </c>
      <c r="AN340" t="str">
        <f t="shared" si="25"/>
        <v>406551.649,282598.76</v>
      </c>
      <c r="AO340" t="str">
        <f t="shared" si="26"/>
        <v>406553.872,282598.916</v>
      </c>
      <c r="AQ340" t="s">
        <v>2246</v>
      </c>
      <c r="AR340" t="s">
        <v>723</v>
      </c>
    </row>
    <row r="341" spans="1:44" x14ac:dyDescent="0.3">
      <c r="A341">
        <v>3869</v>
      </c>
      <c r="B341">
        <v>4</v>
      </c>
      <c r="C341">
        <v>4012050</v>
      </c>
      <c r="D341">
        <v>25898</v>
      </c>
      <c r="E341">
        <v>2</v>
      </c>
      <c r="F341">
        <v>670050</v>
      </c>
      <c r="G341" t="s">
        <v>76</v>
      </c>
      <c r="H341" t="s">
        <v>48</v>
      </c>
      <c r="I341">
        <v>0</v>
      </c>
      <c r="J341" s="1">
        <v>406552.81599999999</v>
      </c>
      <c r="K341" s="1">
        <v>282600.34399999998</v>
      </c>
      <c r="L341" s="1">
        <v>406551.44799999997</v>
      </c>
      <c r="M341" s="1">
        <v>282601.23499999999</v>
      </c>
      <c r="N341" t="s">
        <v>40</v>
      </c>
      <c r="P341" t="s">
        <v>40</v>
      </c>
      <c r="Q341">
        <v>0</v>
      </c>
      <c r="R341">
        <v>0</v>
      </c>
      <c r="S341">
        <v>0</v>
      </c>
      <c r="T341">
        <v>6</v>
      </c>
      <c r="U341">
        <v>6</v>
      </c>
      <c r="V341">
        <v>1</v>
      </c>
      <c r="W341">
        <v>3</v>
      </c>
      <c r="X341" t="s">
        <v>40</v>
      </c>
      <c r="Y341">
        <v>3</v>
      </c>
      <c r="Z341">
        <v>86</v>
      </c>
      <c r="AA341">
        <v>1</v>
      </c>
      <c r="AB341">
        <v>0</v>
      </c>
      <c r="AC341">
        <v>3.355</v>
      </c>
      <c r="AD341">
        <v>5059</v>
      </c>
      <c r="AH341">
        <v>0</v>
      </c>
      <c r="AI341">
        <v>0</v>
      </c>
      <c r="AL341" t="s">
        <v>40</v>
      </c>
      <c r="AM341" t="str">
        <f t="shared" si="24"/>
        <v>86 1</v>
      </c>
      <c r="AN341" t="str">
        <f t="shared" si="25"/>
        <v>406552.816,282600.344</v>
      </c>
      <c r="AO341" t="str">
        <f t="shared" si="26"/>
        <v>406551.448,282601.235</v>
      </c>
      <c r="AQ341" t="s">
        <v>2245</v>
      </c>
      <c r="AR341" t="s">
        <v>2247</v>
      </c>
    </row>
    <row r="342" spans="1:44" x14ac:dyDescent="0.3">
      <c r="A342">
        <v>3869</v>
      </c>
      <c r="B342">
        <v>4</v>
      </c>
      <c r="C342">
        <v>4012091</v>
      </c>
      <c r="D342">
        <v>11263</v>
      </c>
      <c r="E342">
        <v>2</v>
      </c>
      <c r="F342">
        <v>670050</v>
      </c>
      <c r="G342" t="s">
        <v>76</v>
      </c>
      <c r="H342" t="s">
        <v>48</v>
      </c>
      <c r="I342">
        <v>0</v>
      </c>
      <c r="J342" s="1">
        <v>406561.5</v>
      </c>
      <c r="K342" s="1">
        <v>282762.63699999999</v>
      </c>
      <c r="L342" s="1">
        <v>406525.07699999999</v>
      </c>
      <c r="M342" s="1">
        <v>282597.55300000001</v>
      </c>
      <c r="N342" t="s">
        <v>40</v>
      </c>
      <c r="P342" t="s">
        <v>40</v>
      </c>
      <c r="Q342">
        <v>0</v>
      </c>
      <c r="R342">
        <v>0</v>
      </c>
      <c r="S342">
        <v>0</v>
      </c>
      <c r="T342">
        <v>6</v>
      </c>
      <c r="U342">
        <v>6</v>
      </c>
      <c r="V342">
        <v>1</v>
      </c>
      <c r="W342">
        <v>1</v>
      </c>
      <c r="X342" t="s">
        <v>40</v>
      </c>
      <c r="Y342">
        <v>3</v>
      </c>
      <c r="Z342">
        <v>89</v>
      </c>
      <c r="AA342">
        <v>1</v>
      </c>
      <c r="AB342">
        <v>0</v>
      </c>
      <c r="AC342">
        <v>491.07600000000002</v>
      </c>
      <c r="AD342">
        <v>5059</v>
      </c>
      <c r="AH342">
        <v>0</v>
      </c>
      <c r="AI342">
        <v>0</v>
      </c>
      <c r="AL342" t="s">
        <v>40</v>
      </c>
      <c r="AM342" t="str">
        <f t="shared" si="24"/>
        <v>89 1</v>
      </c>
      <c r="AN342" s="6" t="s">
        <v>1667</v>
      </c>
      <c r="AO342" s="6" t="s">
        <v>1085</v>
      </c>
      <c r="AQ342" t="s">
        <v>2248</v>
      </c>
      <c r="AR342" t="s">
        <v>2249</v>
      </c>
    </row>
    <row r="343" spans="1:44" x14ac:dyDescent="0.3">
      <c r="A343">
        <v>3869</v>
      </c>
      <c r="B343">
        <v>4</v>
      </c>
      <c r="C343">
        <v>4011914</v>
      </c>
      <c r="D343">
        <v>25853</v>
      </c>
      <c r="E343">
        <v>2</v>
      </c>
      <c r="F343">
        <v>670050</v>
      </c>
      <c r="G343" t="s">
        <v>76</v>
      </c>
      <c r="H343" t="s">
        <v>48</v>
      </c>
      <c r="I343">
        <v>0</v>
      </c>
      <c r="J343" s="1">
        <v>406364.41200000001</v>
      </c>
      <c r="K343" s="1">
        <v>282316.158</v>
      </c>
      <c r="L343" s="1">
        <v>406366.08199999999</v>
      </c>
      <c r="M343" s="1">
        <v>282314.54599999997</v>
      </c>
      <c r="N343" t="s">
        <v>40</v>
      </c>
      <c r="P343" t="s">
        <v>40</v>
      </c>
      <c r="Q343">
        <v>0</v>
      </c>
      <c r="R343">
        <v>0</v>
      </c>
      <c r="S343">
        <v>0</v>
      </c>
      <c r="T343">
        <v>6</v>
      </c>
      <c r="U343">
        <v>6</v>
      </c>
      <c r="V343">
        <v>1</v>
      </c>
      <c r="W343">
        <v>1</v>
      </c>
      <c r="X343" t="s">
        <v>40</v>
      </c>
      <c r="Y343">
        <v>3</v>
      </c>
      <c r="Z343">
        <v>5024</v>
      </c>
      <c r="AA343">
        <v>1</v>
      </c>
      <c r="AB343">
        <v>0</v>
      </c>
      <c r="AC343">
        <v>2.3210000000000002</v>
      </c>
      <c r="AD343">
        <v>5059</v>
      </c>
      <c r="AH343">
        <v>0</v>
      </c>
      <c r="AI343">
        <v>0</v>
      </c>
      <c r="AL343" t="s">
        <v>40</v>
      </c>
      <c r="AM343" t="str">
        <f t="shared" si="24"/>
        <v>5024 1</v>
      </c>
      <c r="AN343" t="str">
        <f t="shared" si="25"/>
        <v>406364.412,282316.158</v>
      </c>
      <c r="AO343" t="str">
        <f t="shared" si="26"/>
        <v>406366.082,282314.546</v>
      </c>
      <c r="AQ343" t="s">
        <v>2237</v>
      </c>
      <c r="AR343" t="s">
        <v>717</v>
      </c>
    </row>
    <row r="344" spans="1:44" x14ac:dyDescent="0.3">
      <c r="A344">
        <v>3869</v>
      </c>
      <c r="B344">
        <v>4</v>
      </c>
      <c r="C344">
        <v>4019849</v>
      </c>
      <c r="D344">
        <v>17784</v>
      </c>
      <c r="E344">
        <v>2</v>
      </c>
      <c r="F344">
        <v>670050</v>
      </c>
      <c r="G344" t="s">
        <v>76</v>
      </c>
      <c r="H344" t="s">
        <v>54</v>
      </c>
      <c r="I344">
        <v>0</v>
      </c>
      <c r="J344" s="1">
        <v>405702.50099999999</v>
      </c>
      <c r="K344" s="1">
        <v>282000</v>
      </c>
      <c r="L344" s="1">
        <v>405710.59499999997</v>
      </c>
      <c r="M344" s="1">
        <v>282026.88299999997</v>
      </c>
      <c r="N344" t="s">
        <v>40</v>
      </c>
      <c r="P344" t="s">
        <v>40</v>
      </c>
      <c r="Q344">
        <v>0</v>
      </c>
      <c r="R344">
        <v>0</v>
      </c>
      <c r="S344">
        <v>0</v>
      </c>
      <c r="T344">
        <v>6</v>
      </c>
      <c r="U344">
        <v>6</v>
      </c>
      <c r="V344">
        <v>1</v>
      </c>
      <c r="W344">
        <v>1</v>
      </c>
      <c r="X344" t="s">
        <v>40</v>
      </c>
      <c r="Y344">
        <v>3</v>
      </c>
      <c r="Z344">
        <v>89</v>
      </c>
      <c r="AA344">
        <v>1</v>
      </c>
      <c r="AB344">
        <v>0</v>
      </c>
      <c r="AC344">
        <v>204.327</v>
      </c>
      <c r="AD344">
        <v>5059</v>
      </c>
      <c r="AH344">
        <v>0</v>
      </c>
      <c r="AI344">
        <v>0</v>
      </c>
      <c r="AL344" t="s">
        <v>40</v>
      </c>
      <c r="AM344" t="str">
        <f t="shared" si="24"/>
        <v>89 1</v>
      </c>
      <c r="AN344" s="6" t="s">
        <v>1106</v>
      </c>
      <c r="AO344" s="6" t="s">
        <v>1101</v>
      </c>
      <c r="AQ344" t="s">
        <v>2250</v>
      </c>
      <c r="AR344" t="s">
        <v>2251</v>
      </c>
    </row>
    <row r="345" spans="1:44" x14ac:dyDescent="0.3">
      <c r="A345">
        <v>3869</v>
      </c>
      <c r="B345">
        <v>4</v>
      </c>
      <c r="C345">
        <v>4012159</v>
      </c>
      <c r="D345">
        <v>12222</v>
      </c>
      <c r="E345">
        <v>2</v>
      </c>
      <c r="F345">
        <v>670050</v>
      </c>
      <c r="G345" t="s">
        <v>76</v>
      </c>
      <c r="H345" t="s">
        <v>48</v>
      </c>
      <c r="I345">
        <v>0</v>
      </c>
      <c r="J345" s="1">
        <v>406757.217</v>
      </c>
      <c r="K345" s="1">
        <v>282973.00099999999</v>
      </c>
      <c r="L345" s="1">
        <v>406759.228</v>
      </c>
      <c r="M345" s="1">
        <v>282964.51199999999</v>
      </c>
      <c r="N345" t="s">
        <v>40</v>
      </c>
      <c r="P345" t="s">
        <v>40</v>
      </c>
      <c r="Q345">
        <v>0</v>
      </c>
      <c r="R345">
        <v>0</v>
      </c>
      <c r="S345">
        <v>199804</v>
      </c>
      <c r="T345">
        <v>6</v>
      </c>
      <c r="U345">
        <v>6</v>
      </c>
      <c r="V345">
        <v>1</v>
      </c>
      <c r="W345">
        <v>1</v>
      </c>
      <c r="X345" t="s">
        <v>40</v>
      </c>
      <c r="Y345">
        <v>3</v>
      </c>
      <c r="Z345">
        <v>38</v>
      </c>
      <c r="AA345">
        <v>1</v>
      </c>
      <c r="AB345">
        <v>0</v>
      </c>
      <c r="AC345">
        <v>10.044</v>
      </c>
      <c r="AD345">
        <v>5059</v>
      </c>
      <c r="AH345">
        <v>0</v>
      </c>
      <c r="AI345">
        <v>0</v>
      </c>
      <c r="AL345" t="s">
        <v>40</v>
      </c>
      <c r="AM345" t="str">
        <f t="shared" si="24"/>
        <v>38 1</v>
      </c>
      <c r="AN345" t="str">
        <f t="shared" si="25"/>
        <v>406757.217,282973.001</v>
      </c>
      <c r="AO345" t="str">
        <f t="shared" si="26"/>
        <v>406759.228,282964.512</v>
      </c>
      <c r="AQ345" t="s">
        <v>2242</v>
      </c>
      <c r="AR345" t="s">
        <v>2252</v>
      </c>
    </row>
    <row r="346" spans="1:44" x14ac:dyDescent="0.3">
      <c r="A346">
        <v>3869</v>
      </c>
      <c r="B346">
        <v>4</v>
      </c>
      <c r="C346">
        <v>4012030</v>
      </c>
      <c r="D346">
        <v>11256</v>
      </c>
      <c r="E346">
        <v>2</v>
      </c>
      <c r="F346">
        <v>670050</v>
      </c>
      <c r="G346" t="s">
        <v>76</v>
      </c>
      <c r="H346" t="s">
        <v>48</v>
      </c>
      <c r="I346">
        <v>0</v>
      </c>
      <c r="J346" s="1">
        <v>406551.64899999998</v>
      </c>
      <c r="K346" s="1">
        <v>282598.76</v>
      </c>
      <c r="L346" s="1">
        <v>406526.23499999999</v>
      </c>
      <c r="M346" s="1">
        <v>282592.141</v>
      </c>
      <c r="N346" t="s">
        <v>40</v>
      </c>
      <c r="P346" t="s">
        <v>40</v>
      </c>
      <c r="Q346">
        <v>0</v>
      </c>
      <c r="R346">
        <v>0</v>
      </c>
      <c r="S346">
        <v>0</v>
      </c>
      <c r="T346">
        <v>6</v>
      </c>
      <c r="U346">
        <v>6</v>
      </c>
      <c r="V346">
        <v>1</v>
      </c>
      <c r="W346">
        <v>1</v>
      </c>
      <c r="X346" t="s">
        <v>40</v>
      </c>
      <c r="Y346">
        <v>3</v>
      </c>
      <c r="Z346">
        <v>90</v>
      </c>
      <c r="AA346">
        <v>1</v>
      </c>
      <c r="AB346">
        <v>0</v>
      </c>
      <c r="AC346">
        <v>27.98</v>
      </c>
      <c r="AD346">
        <v>5059</v>
      </c>
      <c r="AH346">
        <v>0</v>
      </c>
      <c r="AI346">
        <v>0</v>
      </c>
      <c r="AL346" t="s">
        <v>40</v>
      </c>
      <c r="AM346" t="str">
        <f t="shared" si="24"/>
        <v>90 1</v>
      </c>
      <c r="AN346" t="str">
        <f t="shared" si="25"/>
        <v>406551.649,282598.76</v>
      </c>
      <c r="AO346" t="str">
        <f t="shared" si="26"/>
        <v>406526.235,282592.141</v>
      </c>
      <c r="AQ346" t="s">
        <v>2246</v>
      </c>
      <c r="AR346" t="s">
        <v>2241</v>
      </c>
    </row>
    <row r="347" spans="1:44" x14ac:dyDescent="0.3">
      <c r="A347">
        <v>3869</v>
      </c>
      <c r="B347">
        <v>4</v>
      </c>
      <c r="C347">
        <v>4012190</v>
      </c>
      <c r="D347">
        <v>11930</v>
      </c>
      <c r="E347">
        <v>2</v>
      </c>
      <c r="F347">
        <v>670050</v>
      </c>
      <c r="G347" t="s">
        <v>76</v>
      </c>
      <c r="H347" t="s">
        <v>48</v>
      </c>
      <c r="I347">
        <v>0</v>
      </c>
      <c r="J347" s="1">
        <v>407000</v>
      </c>
      <c r="K347" s="1">
        <v>282668.65899999999</v>
      </c>
      <c r="L347" s="1">
        <v>406923.07500000001</v>
      </c>
      <c r="M347" s="1">
        <v>282736.09100000001</v>
      </c>
      <c r="N347" t="s">
        <v>40</v>
      </c>
      <c r="P347" t="s">
        <v>40</v>
      </c>
      <c r="Q347">
        <v>0</v>
      </c>
      <c r="R347">
        <v>0</v>
      </c>
      <c r="S347">
        <v>0</v>
      </c>
      <c r="T347">
        <v>6</v>
      </c>
      <c r="U347">
        <v>6</v>
      </c>
      <c r="V347">
        <v>1</v>
      </c>
      <c r="W347">
        <v>3</v>
      </c>
      <c r="X347" t="s">
        <v>40</v>
      </c>
      <c r="Y347">
        <v>3</v>
      </c>
      <c r="Z347">
        <v>36</v>
      </c>
      <c r="AA347">
        <v>1</v>
      </c>
      <c r="AB347">
        <v>0</v>
      </c>
      <c r="AC347">
        <v>268.483</v>
      </c>
      <c r="AD347">
        <v>5059</v>
      </c>
      <c r="AH347">
        <v>0</v>
      </c>
      <c r="AI347">
        <v>0</v>
      </c>
      <c r="AL347" t="s">
        <v>40</v>
      </c>
      <c r="AM347" t="str">
        <f t="shared" si="24"/>
        <v>36 1</v>
      </c>
      <c r="AN347" s="6" t="s">
        <v>1108</v>
      </c>
      <c r="AO347" s="6" t="s">
        <v>1090</v>
      </c>
      <c r="AQ347" t="s">
        <v>2253</v>
      </c>
      <c r="AR347" t="s">
        <v>1978</v>
      </c>
    </row>
    <row r="348" spans="1:44" x14ac:dyDescent="0.3">
      <c r="A348">
        <v>3869</v>
      </c>
      <c r="B348">
        <v>4</v>
      </c>
      <c r="C348">
        <v>4019762</v>
      </c>
      <c r="D348">
        <v>16640</v>
      </c>
      <c r="E348">
        <v>2</v>
      </c>
      <c r="F348">
        <v>670050</v>
      </c>
      <c r="G348" t="s">
        <v>76</v>
      </c>
      <c r="H348" t="s">
        <v>54</v>
      </c>
      <c r="I348">
        <v>0</v>
      </c>
      <c r="J348" s="1">
        <v>405320.28600000002</v>
      </c>
      <c r="K348" s="1">
        <v>282005.8</v>
      </c>
      <c r="L348" s="1">
        <v>405325.20699999999</v>
      </c>
      <c r="M348" s="1">
        <v>282000</v>
      </c>
      <c r="N348" t="s">
        <v>40</v>
      </c>
      <c r="P348" t="s">
        <v>40</v>
      </c>
      <c r="Q348">
        <v>0</v>
      </c>
      <c r="R348">
        <v>0</v>
      </c>
      <c r="S348">
        <v>0</v>
      </c>
      <c r="T348">
        <v>6</v>
      </c>
      <c r="U348">
        <v>6</v>
      </c>
      <c r="V348">
        <v>1</v>
      </c>
      <c r="W348">
        <v>1</v>
      </c>
      <c r="X348" t="s">
        <v>40</v>
      </c>
      <c r="Y348">
        <v>3</v>
      </c>
      <c r="Z348">
        <v>89</v>
      </c>
      <c r="AA348">
        <v>1</v>
      </c>
      <c r="AB348">
        <v>0</v>
      </c>
      <c r="AC348">
        <v>128.99600000000001</v>
      </c>
      <c r="AD348">
        <v>5059</v>
      </c>
      <c r="AH348">
        <v>0</v>
      </c>
      <c r="AI348">
        <v>0</v>
      </c>
      <c r="AL348" t="s">
        <v>40</v>
      </c>
      <c r="AM348" t="str">
        <f t="shared" si="24"/>
        <v>89 1</v>
      </c>
      <c r="AN348" s="6" t="s">
        <v>1107</v>
      </c>
      <c r="AO348" s="6" t="s">
        <v>1079</v>
      </c>
      <c r="AQ348" t="s">
        <v>2254</v>
      </c>
      <c r="AR348" t="s">
        <v>2239</v>
      </c>
    </row>
    <row r="349" spans="1:44" x14ac:dyDescent="0.3">
      <c r="A349">
        <v>3869</v>
      </c>
      <c r="B349">
        <v>4</v>
      </c>
      <c r="C349">
        <v>4012201</v>
      </c>
      <c r="D349">
        <v>29554</v>
      </c>
      <c r="E349">
        <v>2</v>
      </c>
      <c r="F349">
        <v>670050</v>
      </c>
      <c r="G349" t="s">
        <v>76</v>
      </c>
      <c r="H349" t="s">
        <v>48</v>
      </c>
      <c r="I349">
        <v>0</v>
      </c>
      <c r="J349" s="1">
        <v>406827.40899999999</v>
      </c>
      <c r="K349" s="1">
        <v>282865.59100000001</v>
      </c>
      <c r="L349" s="1">
        <v>406811.75799999997</v>
      </c>
      <c r="M349" s="1">
        <v>282848.26400000002</v>
      </c>
      <c r="N349" t="s">
        <v>40</v>
      </c>
      <c r="P349" t="s">
        <v>40</v>
      </c>
      <c r="Q349">
        <v>0</v>
      </c>
      <c r="R349">
        <v>0</v>
      </c>
      <c r="S349">
        <v>199905</v>
      </c>
      <c r="T349">
        <v>6</v>
      </c>
      <c r="U349">
        <v>6</v>
      </c>
      <c r="V349">
        <v>1</v>
      </c>
      <c r="W349">
        <v>1</v>
      </c>
      <c r="X349" t="s">
        <v>40</v>
      </c>
      <c r="Y349">
        <v>3</v>
      </c>
      <c r="Z349">
        <v>5024</v>
      </c>
      <c r="AA349">
        <v>1</v>
      </c>
      <c r="AB349">
        <v>0</v>
      </c>
      <c r="AC349">
        <v>26.172000000000001</v>
      </c>
      <c r="AD349">
        <v>5059</v>
      </c>
      <c r="AH349">
        <v>0</v>
      </c>
      <c r="AI349">
        <v>0</v>
      </c>
      <c r="AL349" t="s">
        <v>40</v>
      </c>
      <c r="AM349" t="str">
        <f t="shared" si="24"/>
        <v>5024 1</v>
      </c>
      <c r="AN349" t="str">
        <f t="shared" si="25"/>
        <v>406827.409,282865.591</v>
      </c>
      <c r="AO349" t="str">
        <f t="shared" si="26"/>
        <v>406811.758,282848.264</v>
      </c>
      <c r="AQ349" t="s">
        <v>2255</v>
      </c>
      <c r="AR349" t="s">
        <v>729</v>
      </c>
    </row>
    <row r="350" spans="1:44" x14ac:dyDescent="0.3">
      <c r="A350">
        <v>3869</v>
      </c>
      <c r="B350">
        <v>4</v>
      </c>
      <c r="C350">
        <v>4012218</v>
      </c>
      <c r="D350">
        <v>29555</v>
      </c>
      <c r="E350">
        <v>2</v>
      </c>
      <c r="F350">
        <v>670050</v>
      </c>
      <c r="G350" t="s">
        <v>76</v>
      </c>
      <c r="H350" t="s">
        <v>48</v>
      </c>
      <c r="I350">
        <v>0</v>
      </c>
      <c r="J350" s="1">
        <v>406825.984</v>
      </c>
      <c r="K350" s="1">
        <v>282868.234</v>
      </c>
      <c r="L350" s="1">
        <v>406811.511</v>
      </c>
      <c r="M350" s="1">
        <v>282848.66200000001</v>
      </c>
      <c r="N350" t="s">
        <v>40</v>
      </c>
      <c r="P350" t="s">
        <v>40</v>
      </c>
      <c r="Q350">
        <v>0</v>
      </c>
      <c r="R350">
        <v>0</v>
      </c>
      <c r="S350">
        <v>199905</v>
      </c>
      <c r="T350">
        <v>6</v>
      </c>
      <c r="U350">
        <v>6</v>
      </c>
      <c r="V350">
        <v>1</v>
      </c>
      <c r="W350">
        <v>1</v>
      </c>
      <c r="X350" t="s">
        <v>40</v>
      </c>
      <c r="Y350">
        <v>3</v>
      </c>
      <c r="Z350">
        <v>5024</v>
      </c>
      <c r="AA350">
        <v>1</v>
      </c>
      <c r="AB350">
        <v>0</v>
      </c>
      <c r="AC350">
        <v>28.332000000000001</v>
      </c>
      <c r="AD350">
        <v>5059</v>
      </c>
      <c r="AH350">
        <v>0</v>
      </c>
      <c r="AI350">
        <v>0</v>
      </c>
      <c r="AL350" t="s">
        <v>40</v>
      </c>
      <c r="AM350" t="str">
        <f t="shared" si="24"/>
        <v>5024 1</v>
      </c>
      <c r="AN350" t="str">
        <f t="shared" si="25"/>
        <v>406825.984,282868.234</v>
      </c>
      <c r="AO350" t="str">
        <f t="shared" si="26"/>
        <v>406811.511,282848.662</v>
      </c>
      <c r="AQ350" t="s">
        <v>2256</v>
      </c>
      <c r="AR350" t="s">
        <v>729</v>
      </c>
    </row>
    <row r="351" spans="1:44" x14ac:dyDescent="0.3">
      <c r="A351">
        <v>3869</v>
      </c>
      <c r="B351">
        <v>4</v>
      </c>
      <c r="C351">
        <v>4012074</v>
      </c>
      <c r="D351">
        <v>11255</v>
      </c>
      <c r="E351">
        <v>2</v>
      </c>
      <c r="F351">
        <v>670050</v>
      </c>
      <c r="G351" t="s">
        <v>76</v>
      </c>
      <c r="H351" t="s">
        <v>48</v>
      </c>
      <c r="I351">
        <v>0</v>
      </c>
      <c r="J351" s="1">
        <v>406551.55200000003</v>
      </c>
      <c r="K351" s="1">
        <v>282599.14799999999</v>
      </c>
      <c r="L351" s="1">
        <v>406525.07699999999</v>
      </c>
      <c r="M351" s="1">
        <v>282597.55300000001</v>
      </c>
      <c r="N351" t="s">
        <v>40</v>
      </c>
      <c r="P351" t="s">
        <v>40</v>
      </c>
      <c r="Q351">
        <v>0</v>
      </c>
      <c r="R351">
        <v>0</v>
      </c>
      <c r="S351">
        <v>0</v>
      </c>
      <c r="T351">
        <v>6</v>
      </c>
      <c r="U351">
        <v>6</v>
      </c>
      <c r="V351">
        <v>1</v>
      </c>
      <c r="W351">
        <v>1</v>
      </c>
      <c r="X351" t="s">
        <v>40</v>
      </c>
      <c r="Y351">
        <v>3</v>
      </c>
      <c r="Z351">
        <v>90</v>
      </c>
      <c r="AA351">
        <v>1</v>
      </c>
      <c r="AB351">
        <v>0</v>
      </c>
      <c r="AC351">
        <v>29.064</v>
      </c>
      <c r="AD351">
        <v>5059</v>
      </c>
      <c r="AH351">
        <v>0</v>
      </c>
      <c r="AI351">
        <v>0</v>
      </c>
      <c r="AL351" t="s">
        <v>40</v>
      </c>
      <c r="AM351" t="str">
        <f t="shared" si="24"/>
        <v>90 1</v>
      </c>
      <c r="AN351" t="str">
        <f t="shared" si="25"/>
        <v>406551.552,282599.148</v>
      </c>
      <c r="AO351" t="str">
        <f t="shared" si="26"/>
        <v>406525.077,282597.553</v>
      </c>
      <c r="AQ351" t="s">
        <v>2244</v>
      </c>
      <c r="AR351" t="s">
        <v>2248</v>
      </c>
    </row>
    <row r="352" spans="1:44" x14ac:dyDescent="0.3">
      <c r="A352">
        <v>3869</v>
      </c>
      <c r="B352">
        <v>4</v>
      </c>
      <c r="C352">
        <v>4024355</v>
      </c>
      <c r="D352">
        <v>22948</v>
      </c>
      <c r="E352">
        <v>2</v>
      </c>
      <c r="F352">
        <v>670050</v>
      </c>
      <c r="G352" t="s">
        <v>76</v>
      </c>
      <c r="H352" t="s">
        <v>43</v>
      </c>
      <c r="I352">
        <v>0</v>
      </c>
      <c r="J352" s="1">
        <v>405146.79700000002</v>
      </c>
      <c r="K352" s="1">
        <v>281000</v>
      </c>
      <c r="L352" s="1">
        <v>405145.299</v>
      </c>
      <c r="M352" s="1">
        <v>280998.462</v>
      </c>
      <c r="N352" t="s">
        <v>40</v>
      </c>
      <c r="P352" t="s">
        <v>40</v>
      </c>
      <c r="Q352">
        <v>0</v>
      </c>
      <c r="R352">
        <v>0</v>
      </c>
      <c r="S352">
        <v>0</v>
      </c>
      <c r="T352">
        <v>6</v>
      </c>
      <c r="U352">
        <v>6</v>
      </c>
      <c r="V352">
        <v>1</v>
      </c>
      <c r="W352">
        <v>1</v>
      </c>
      <c r="X352" t="s">
        <v>40</v>
      </c>
      <c r="Y352">
        <v>3</v>
      </c>
      <c r="Z352">
        <v>91</v>
      </c>
      <c r="AA352">
        <v>99</v>
      </c>
      <c r="AB352">
        <v>0</v>
      </c>
      <c r="AC352">
        <v>2.5859999999999999</v>
      </c>
      <c r="AD352">
        <v>5059</v>
      </c>
      <c r="AH352">
        <v>0</v>
      </c>
      <c r="AI352">
        <v>0</v>
      </c>
      <c r="AL352" t="s">
        <v>40</v>
      </c>
      <c r="AM352" t="str">
        <f t="shared" ref="AM352:AM390" si="27">_xlfn.CONCAT(Z352, " ",AA352)</f>
        <v>91 99</v>
      </c>
      <c r="AN352" t="str">
        <f t="shared" si="25"/>
        <v>405146.797,281000</v>
      </c>
      <c r="AO352" t="str">
        <f t="shared" si="26"/>
        <v>405145.299,280998.462</v>
      </c>
      <c r="AQ352" t="s">
        <v>2257</v>
      </c>
      <c r="AR352" t="s">
        <v>2258</v>
      </c>
    </row>
    <row r="353" spans="1:44" x14ac:dyDescent="0.3">
      <c r="A353">
        <v>3869</v>
      </c>
      <c r="B353">
        <v>4</v>
      </c>
      <c r="C353">
        <v>4012175</v>
      </c>
      <c r="D353">
        <v>11794</v>
      </c>
      <c r="E353">
        <v>2</v>
      </c>
      <c r="F353">
        <v>670050</v>
      </c>
      <c r="G353" t="s">
        <v>76</v>
      </c>
      <c r="H353" t="s">
        <v>48</v>
      </c>
      <c r="I353">
        <v>0</v>
      </c>
      <c r="J353" s="1">
        <v>406844.73300000001</v>
      </c>
      <c r="K353" s="1">
        <v>282836.42800000001</v>
      </c>
      <c r="L353" s="1">
        <v>406834.967</v>
      </c>
      <c r="M353" s="1">
        <v>282827.46899999998</v>
      </c>
      <c r="N353" t="s">
        <v>40</v>
      </c>
      <c r="P353" t="s">
        <v>40</v>
      </c>
      <c r="Q353">
        <v>0</v>
      </c>
      <c r="R353">
        <v>0</v>
      </c>
      <c r="S353">
        <v>0</v>
      </c>
      <c r="T353">
        <v>6</v>
      </c>
      <c r="U353">
        <v>6</v>
      </c>
      <c r="V353">
        <v>1</v>
      </c>
      <c r="W353">
        <v>1</v>
      </c>
      <c r="X353" t="s">
        <v>40</v>
      </c>
      <c r="Y353">
        <v>3</v>
      </c>
      <c r="Z353">
        <v>89</v>
      </c>
      <c r="AA353">
        <v>1</v>
      </c>
      <c r="AB353">
        <v>0</v>
      </c>
      <c r="AC353">
        <v>220.73</v>
      </c>
      <c r="AD353">
        <v>5059</v>
      </c>
      <c r="AH353">
        <v>0</v>
      </c>
      <c r="AI353">
        <v>0</v>
      </c>
      <c r="AL353" t="s">
        <v>40</v>
      </c>
      <c r="AM353" t="str">
        <f t="shared" si="27"/>
        <v>89 1</v>
      </c>
      <c r="AN353" s="6" t="s">
        <v>1088</v>
      </c>
      <c r="AO353" s="6" t="s">
        <v>1092</v>
      </c>
      <c r="AQ353" t="s">
        <v>2255</v>
      </c>
      <c r="AR353" t="s">
        <v>2252</v>
      </c>
    </row>
    <row r="354" spans="1:44" x14ac:dyDescent="0.3">
      <c r="A354">
        <v>3869</v>
      </c>
      <c r="B354">
        <v>4</v>
      </c>
      <c r="C354">
        <v>4012139</v>
      </c>
      <c r="D354">
        <v>25959</v>
      </c>
      <c r="E354">
        <v>2</v>
      </c>
      <c r="F354">
        <v>670050</v>
      </c>
      <c r="G354" t="s">
        <v>76</v>
      </c>
      <c r="H354" t="s">
        <v>48</v>
      </c>
      <c r="I354">
        <v>0</v>
      </c>
      <c r="J354" s="1">
        <v>406556.97399999999</v>
      </c>
      <c r="K354" s="1">
        <v>282972.09100000001</v>
      </c>
      <c r="L354" s="1">
        <v>406556.55900000001</v>
      </c>
      <c r="M354" s="1">
        <v>282969.32299999997</v>
      </c>
      <c r="N354" t="s">
        <v>40</v>
      </c>
      <c r="P354" t="s">
        <v>40</v>
      </c>
      <c r="Q354">
        <v>0</v>
      </c>
      <c r="R354">
        <v>0</v>
      </c>
      <c r="S354">
        <v>200906</v>
      </c>
      <c r="T354">
        <v>6</v>
      </c>
      <c r="U354">
        <v>6</v>
      </c>
      <c r="V354">
        <v>1</v>
      </c>
      <c r="W354">
        <v>1</v>
      </c>
      <c r="X354" t="s">
        <v>40</v>
      </c>
      <c r="Y354">
        <v>3</v>
      </c>
      <c r="Z354">
        <v>5023</v>
      </c>
      <c r="AA354">
        <v>1</v>
      </c>
      <c r="AB354">
        <v>0</v>
      </c>
      <c r="AC354">
        <v>2.8</v>
      </c>
      <c r="AD354">
        <v>5059</v>
      </c>
      <c r="AH354">
        <v>0</v>
      </c>
      <c r="AI354">
        <v>0</v>
      </c>
      <c r="AL354" t="s">
        <v>40</v>
      </c>
      <c r="AM354" t="str">
        <f t="shared" si="27"/>
        <v>5023 1</v>
      </c>
      <c r="AN354" t="str">
        <f t="shared" ref="AN354:AN391" si="28">ROUND(J354,3)&amp;","&amp;ROUND(K354,3)</f>
        <v>406556.974,282972.091</v>
      </c>
      <c r="AO354" t="str">
        <f t="shared" ref="AO354:AO391" si="29">ROUND(L354,3)&amp;","&amp;ROUND(M354,3)</f>
        <v>406556.559,282969.323</v>
      </c>
      <c r="AQ354" t="s">
        <v>2243</v>
      </c>
      <c r="AR354" t="s">
        <v>2259</v>
      </c>
    </row>
    <row r="355" spans="1:44" x14ac:dyDescent="0.3">
      <c r="A355">
        <v>3869</v>
      </c>
      <c r="B355">
        <v>4</v>
      </c>
      <c r="C355">
        <v>4012098</v>
      </c>
      <c r="D355">
        <v>25917</v>
      </c>
      <c r="E355">
        <v>2</v>
      </c>
      <c r="F355">
        <v>670050</v>
      </c>
      <c r="G355" t="s">
        <v>76</v>
      </c>
      <c r="H355" t="s">
        <v>48</v>
      </c>
      <c r="I355">
        <v>0</v>
      </c>
      <c r="J355" s="1">
        <v>406557.52</v>
      </c>
      <c r="K355" s="1">
        <v>282973.11900000001</v>
      </c>
      <c r="L355" s="1">
        <v>406556.78</v>
      </c>
      <c r="M355" s="1">
        <v>282968.22600000002</v>
      </c>
      <c r="N355" t="s">
        <v>40</v>
      </c>
      <c r="P355" t="s">
        <v>40</v>
      </c>
      <c r="Q355">
        <v>0</v>
      </c>
      <c r="R355">
        <v>0</v>
      </c>
      <c r="S355">
        <v>200906</v>
      </c>
      <c r="T355">
        <v>6</v>
      </c>
      <c r="U355">
        <v>6</v>
      </c>
      <c r="V355">
        <v>1</v>
      </c>
      <c r="W355">
        <v>1</v>
      </c>
      <c r="X355" t="s">
        <v>40</v>
      </c>
      <c r="Y355">
        <v>3</v>
      </c>
      <c r="Z355">
        <v>5023</v>
      </c>
      <c r="AA355">
        <v>1</v>
      </c>
      <c r="AB355">
        <v>0</v>
      </c>
      <c r="AC355">
        <v>4.9489999999999998</v>
      </c>
      <c r="AD355">
        <v>5059</v>
      </c>
      <c r="AH355">
        <v>0</v>
      </c>
      <c r="AI355">
        <v>0</v>
      </c>
      <c r="AL355" t="s">
        <v>40</v>
      </c>
      <c r="AM355" t="str">
        <f t="shared" si="27"/>
        <v>5023 1</v>
      </c>
      <c r="AN355" t="str">
        <f t="shared" si="28"/>
        <v>406557.52,282973.119</v>
      </c>
      <c r="AO355" t="str">
        <f t="shared" si="29"/>
        <v>406556.78,282968.226</v>
      </c>
      <c r="AQ355" t="s">
        <v>2249</v>
      </c>
      <c r="AR355" t="s">
        <v>730</v>
      </c>
    </row>
    <row r="356" spans="1:44" x14ac:dyDescent="0.3">
      <c r="A356">
        <v>3869</v>
      </c>
      <c r="B356">
        <v>4</v>
      </c>
      <c r="C356">
        <v>4019314</v>
      </c>
      <c r="D356">
        <v>52779</v>
      </c>
      <c r="E356">
        <v>2</v>
      </c>
      <c r="F356">
        <v>670050</v>
      </c>
      <c r="G356" t="s">
        <v>76</v>
      </c>
      <c r="H356" t="s">
        <v>52</v>
      </c>
      <c r="I356">
        <v>0</v>
      </c>
      <c r="J356" s="1">
        <v>407659.15600000002</v>
      </c>
      <c r="K356" s="1">
        <v>283291.18300000002</v>
      </c>
      <c r="L356" s="1">
        <v>407654.50400000002</v>
      </c>
      <c r="M356" s="1">
        <v>283287.02899999998</v>
      </c>
      <c r="N356" t="s">
        <v>40</v>
      </c>
      <c r="P356" t="s">
        <v>40</v>
      </c>
      <c r="Q356">
        <v>0</v>
      </c>
      <c r="R356">
        <v>0</v>
      </c>
      <c r="S356">
        <v>201003</v>
      </c>
      <c r="T356">
        <v>6</v>
      </c>
      <c r="U356">
        <v>6</v>
      </c>
      <c r="V356">
        <v>1</v>
      </c>
      <c r="W356">
        <v>1</v>
      </c>
      <c r="X356" t="s">
        <v>40</v>
      </c>
      <c r="Y356">
        <v>3</v>
      </c>
      <c r="Z356">
        <v>5028</v>
      </c>
      <c r="AA356">
        <v>1</v>
      </c>
      <c r="AB356">
        <v>0</v>
      </c>
      <c r="AC356">
        <v>8.1270000000000007</v>
      </c>
      <c r="AD356">
        <v>5059</v>
      </c>
      <c r="AE356" t="s">
        <v>77</v>
      </c>
      <c r="AH356">
        <v>0</v>
      </c>
      <c r="AI356">
        <v>0</v>
      </c>
      <c r="AL356" t="s">
        <v>40</v>
      </c>
      <c r="AM356" t="str">
        <f t="shared" si="27"/>
        <v>5028 1</v>
      </c>
      <c r="AN356" t="str">
        <f t="shared" si="28"/>
        <v>407659.156,283291.183</v>
      </c>
      <c r="AO356" t="str">
        <f t="shared" si="29"/>
        <v>407654.504,283287.029</v>
      </c>
      <c r="AQ356" t="s">
        <v>2260</v>
      </c>
      <c r="AR356" t="s">
        <v>725</v>
      </c>
    </row>
    <row r="357" spans="1:44" x14ac:dyDescent="0.3">
      <c r="A357">
        <v>3869</v>
      </c>
      <c r="B357">
        <v>4</v>
      </c>
      <c r="C357">
        <v>4019859</v>
      </c>
      <c r="D357">
        <v>17753</v>
      </c>
      <c r="E357">
        <v>2</v>
      </c>
      <c r="F357">
        <v>670050</v>
      </c>
      <c r="G357" t="s">
        <v>76</v>
      </c>
      <c r="H357" t="s">
        <v>54</v>
      </c>
      <c r="I357">
        <v>0</v>
      </c>
      <c r="J357" s="1">
        <v>405768.53600000002</v>
      </c>
      <c r="K357" s="1">
        <v>282020.83299999998</v>
      </c>
      <c r="L357" s="1">
        <v>405752.55699999997</v>
      </c>
      <c r="M357" s="1">
        <v>282008.28200000001</v>
      </c>
      <c r="N357" t="s">
        <v>40</v>
      </c>
      <c r="P357" t="s">
        <v>40</v>
      </c>
      <c r="Q357">
        <v>0</v>
      </c>
      <c r="R357">
        <v>0</v>
      </c>
      <c r="S357">
        <v>0</v>
      </c>
      <c r="T357">
        <v>6</v>
      </c>
      <c r="U357">
        <v>6</v>
      </c>
      <c r="V357">
        <v>1</v>
      </c>
      <c r="W357">
        <v>1</v>
      </c>
      <c r="X357" t="s">
        <v>40</v>
      </c>
      <c r="Y357">
        <v>3</v>
      </c>
      <c r="Z357">
        <v>38</v>
      </c>
      <c r="AA357">
        <v>1</v>
      </c>
      <c r="AB357">
        <v>0</v>
      </c>
      <c r="AC357">
        <v>20.318999999999999</v>
      </c>
      <c r="AD357">
        <v>5059</v>
      </c>
      <c r="AH357">
        <v>0</v>
      </c>
      <c r="AI357">
        <v>0</v>
      </c>
      <c r="AL357" t="s">
        <v>40</v>
      </c>
      <c r="AM357" t="str">
        <f t="shared" si="27"/>
        <v>38 1</v>
      </c>
      <c r="AN357" t="str">
        <f t="shared" si="28"/>
        <v>405768.536,282020.833</v>
      </c>
      <c r="AO357" t="str">
        <f t="shared" si="29"/>
        <v>405752.557,282008.282</v>
      </c>
      <c r="AQ357" t="s">
        <v>2261</v>
      </c>
      <c r="AR357" t="s">
        <v>2262</v>
      </c>
    </row>
    <row r="358" spans="1:44" x14ac:dyDescent="0.3">
      <c r="A358">
        <v>3869</v>
      </c>
      <c r="B358">
        <v>4</v>
      </c>
      <c r="C358">
        <v>4026987</v>
      </c>
      <c r="D358">
        <v>26333</v>
      </c>
      <c r="E358">
        <v>2</v>
      </c>
      <c r="F358">
        <v>670050</v>
      </c>
      <c r="G358" t="s">
        <v>76</v>
      </c>
      <c r="H358" t="s">
        <v>41</v>
      </c>
      <c r="I358">
        <v>0</v>
      </c>
      <c r="J358" s="1">
        <v>405553.87199999997</v>
      </c>
      <c r="K358" s="1">
        <v>281713.92800000001</v>
      </c>
      <c r="L358" s="1">
        <v>405557.723</v>
      </c>
      <c r="M358" s="1">
        <v>281704.28600000002</v>
      </c>
      <c r="N358" t="s">
        <v>40</v>
      </c>
      <c r="P358" t="s">
        <v>40</v>
      </c>
      <c r="Q358">
        <v>0</v>
      </c>
      <c r="R358">
        <v>0</v>
      </c>
      <c r="S358">
        <v>0</v>
      </c>
      <c r="T358">
        <v>6</v>
      </c>
      <c r="U358">
        <v>6</v>
      </c>
      <c r="V358">
        <v>1</v>
      </c>
      <c r="W358">
        <v>1</v>
      </c>
      <c r="X358" t="s">
        <v>40</v>
      </c>
      <c r="Y358">
        <v>3</v>
      </c>
      <c r="Z358">
        <v>38</v>
      </c>
      <c r="AA358">
        <v>5001</v>
      </c>
      <c r="AB358">
        <v>0</v>
      </c>
      <c r="AC358">
        <v>10.382999999999999</v>
      </c>
      <c r="AD358">
        <v>5059</v>
      </c>
      <c r="AH358">
        <v>0</v>
      </c>
      <c r="AI358">
        <v>0</v>
      </c>
      <c r="AL358" t="s">
        <v>40</v>
      </c>
      <c r="AM358" t="str">
        <f t="shared" si="27"/>
        <v>38 5001</v>
      </c>
      <c r="AN358" t="str">
        <f t="shared" si="28"/>
        <v>405553.872,281713.928</v>
      </c>
      <c r="AO358" t="str">
        <f t="shared" si="29"/>
        <v>405557.723,281704.286</v>
      </c>
      <c r="AQ358" t="s">
        <v>2263</v>
      </c>
      <c r="AR358" t="s">
        <v>2264</v>
      </c>
    </row>
    <row r="359" spans="1:44" x14ac:dyDescent="0.3">
      <c r="A359">
        <v>3869</v>
      </c>
      <c r="B359">
        <v>4</v>
      </c>
      <c r="C359">
        <v>4026986</v>
      </c>
      <c r="D359">
        <v>26346</v>
      </c>
      <c r="E359">
        <v>2</v>
      </c>
      <c r="F359">
        <v>670050</v>
      </c>
      <c r="G359" t="s">
        <v>76</v>
      </c>
      <c r="H359" t="s">
        <v>41</v>
      </c>
      <c r="I359">
        <v>0</v>
      </c>
      <c r="J359" s="1">
        <v>405580.174</v>
      </c>
      <c r="K359" s="1">
        <v>281632.63</v>
      </c>
      <c r="L359" s="1">
        <v>405557.723</v>
      </c>
      <c r="M359" s="1">
        <v>281704.28600000002</v>
      </c>
      <c r="N359" t="s">
        <v>40</v>
      </c>
      <c r="P359" t="s">
        <v>40</v>
      </c>
      <c r="Q359">
        <v>0</v>
      </c>
      <c r="R359">
        <v>0</v>
      </c>
      <c r="S359">
        <v>0</v>
      </c>
      <c r="T359">
        <v>6</v>
      </c>
      <c r="U359">
        <v>6</v>
      </c>
      <c r="V359">
        <v>1</v>
      </c>
      <c r="W359">
        <v>1</v>
      </c>
      <c r="X359" t="s">
        <v>40</v>
      </c>
      <c r="Y359">
        <v>3</v>
      </c>
      <c r="Z359">
        <v>90</v>
      </c>
      <c r="AA359">
        <v>1</v>
      </c>
      <c r="AB359">
        <v>0</v>
      </c>
      <c r="AC359">
        <v>97.408999999999992</v>
      </c>
      <c r="AD359">
        <v>5059</v>
      </c>
      <c r="AH359">
        <v>0</v>
      </c>
      <c r="AI359">
        <v>0</v>
      </c>
      <c r="AL359" t="s">
        <v>40</v>
      </c>
      <c r="AM359" t="str">
        <f t="shared" si="27"/>
        <v>90 1</v>
      </c>
      <c r="AN359" s="6" t="s">
        <v>1672</v>
      </c>
      <c r="AO359" s="6" t="s">
        <v>1675</v>
      </c>
      <c r="AQ359" t="s">
        <v>2264</v>
      </c>
      <c r="AR359" t="s">
        <v>2265</v>
      </c>
    </row>
    <row r="360" spans="1:44" x14ac:dyDescent="0.3">
      <c r="A360">
        <v>3869</v>
      </c>
      <c r="B360">
        <v>4</v>
      </c>
      <c r="C360">
        <v>4012247</v>
      </c>
      <c r="D360">
        <v>11925</v>
      </c>
      <c r="E360">
        <v>2</v>
      </c>
      <c r="F360">
        <v>670050</v>
      </c>
      <c r="G360" t="s">
        <v>76</v>
      </c>
      <c r="H360" t="s">
        <v>48</v>
      </c>
      <c r="I360">
        <v>0</v>
      </c>
      <c r="J360" s="1">
        <v>407000</v>
      </c>
      <c r="K360" s="1">
        <v>282986.32500000001</v>
      </c>
      <c r="L360" s="1">
        <v>406993.39199999999</v>
      </c>
      <c r="M360" s="1">
        <v>282986.08199999999</v>
      </c>
      <c r="N360" t="s">
        <v>40</v>
      </c>
      <c r="P360" t="s">
        <v>40</v>
      </c>
      <c r="Q360">
        <v>0</v>
      </c>
      <c r="R360">
        <v>0</v>
      </c>
      <c r="S360">
        <v>0</v>
      </c>
      <c r="T360">
        <v>6</v>
      </c>
      <c r="U360">
        <v>6</v>
      </c>
      <c r="V360">
        <v>1</v>
      </c>
      <c r="W360">
        <v>1</v>
      </c>
      <c r="X360" t="s">
        <v>40</v>
      </c>
      <c r="Y360">
        <v>3</v>
      </c>
      <c r="Z360">
        <v>89</v>
      </c>
      <c r="AA360">
        <v>1</v>
      </c>
      <c r="AB360">
        <v>0</v>
      </c>
      <c r="AC360">
        <v>434.14700000000005</v>
      </c>
      <c r="AD360">
        <v>5059</v>
      </c>
      <c r="AH360">
        <v>0</v>
      </c>
      <c r="AI360">
        <v>0</v>
      </c>
      <c r="AL360" t="s">
        <v>40</v>
      </c>
      <c r="AM360" t="str">
        <f t="shared" si="27"/>
        <v>89 1</v>
      </c>
      <c r="AN360" s="6" t="s">
        <v>1115</v>
      </c>
      <c r="AO360" s="6" t="s">
        <v>1089</v>
      </c>
      <c r="AQ360" t="s">
        <v>2266</v>
      </c>
      <c r="AR360" t="s">
        <v>2256</v>
      </c>
    </row>
    <row r="361" spans="1:44" x14ac:dyDescent="0.3">
      <c r="A361">
        <v>3869</v>
      </c>
      <c r="B361">
        <v>4</v>
      </c>
      <c r="C361">
        <v>4026990</v>
      </c>
      <c r="D361">
        <v>26448</v>
      </c>
      <c r="E361">
        <v>2</v>
      </c>
      <c r="F361">
        <v>670050</v>
      </c>
      <c r="G361" t="s">
        <v>76</v>
      </c>
      <c r="H361" t="s">
        <v>41</v>
      </c>
      <c r="I361">
        <v>0</v>
      </c>
      <c r="J361" s="1">
        <v>405469.93099999998</v>
      </c>
      <c r="K361" s="1">
        <v>281857.31</v>
      </c>
      <c r="L361" s="1">
        <v>405488.136</v>
      </c>
      <c r="M361" s="1">
        <v>281838.43599999999</v>
      </c>
      <c r="N361" t="s">
        <v>40</v>
      </c>
      <c r="P361" t="s">
        <v>40</v>
      </c>
      <c r="Q361">
        <v>0</v>
      </c>
      <c r="R361">
        <v>0</v>
      </c>
      <c r="S361">
        <v>0</v>
      </c>
      <c r="T361">
        <v>6</v>
      </c>
      <c r="U361">
        <v>6</v>
      </c>
      <c r="V361">
        <v>1</v>
      </c>
      <c r="W361">
        <v>1</v>
      </c>
      <c r="X361" t="s">
        <v>40</v>
      </c>
      <c r="Y361">
        <v>3</v>
      </c>
      <c r="Z361">
        <v>89</v>
      </c>
      <c r="AA361">
        <v>1</v>
      </c>
      <c r="AB361">
        <v>0</v>
      </c>
      <c r="AC361">
        <v>167.34500000000003</v>
      </c>
      <c r="AD361">
        <v>5059</v>
      </c>
      <c r="AH361">
        <v>0</v>
      </c>
      <c r="AI361">
        <v>0</v>
      </c>
      <c r="AL361" t="s">
        <v>40</v>
      </c>
      <c r="AM361" t="str">
        <f t="shared" si="27"/>
        <v>89 1</v>
      </c>
      <c r="AN361" s="6" t="s">
        <v>1096</v>
      </c>
      <c r="AO361" s="6" t="s">
        <v>1097</v>
      </c>
      <c r="AQ361" t="s">
        <v>2263</v>
      </c>
      <c r="AR361" t="s">
        <v>2267</v>
      </c>
    </row>
    <row r="362" spans="1:44" x14ac:dyDescent="0.3">
      <c r="A362">
        <v>3869</v>
      </c>
      <c r="B362">
        <v>4</v>
      </c>
      <c r="C362">
        <v>4026983</v>
      </c>
      <c r="D362">
        <v>26242</v>
      </c>
      <c r="E362">
        <v>2</v>
      </c>
      <c r="F362">
        <v>670050</v>
      </c>
      <c r="G362" t="s">
        <v>76</v>
      </c>
      <c r="H362" t="s">
        <v>41</v>
      </c>
      <c r="I362">
        <v>0</v>
      </c>
      <c r="J362" s="1">
        <v>405569.81800000003</v>
      </c>
      <c r="K362" s="1">
        <v>281615.658</v>
      </c>
      <c r="L362" s="1">
        <v>405580.484</v>
      </c>
      <c r="M362" s="1">
        <v>281617.03399999999</v>
      </c>
      <c r="N362" t="s">
        <v>40</v>
      </c>
      <c r="P362" t="s">
        <v>40</v>
      </c>
      <c r="Q362">
        <v>0</v>
      </c>
      <c r="R362">
        <v>0</v>
      </c>
      <c r="S362">
        <v>200507</v>
      </c>
      <c r="T362">
        <v>6</v>
      </c>
      <c r="U362">
        <v>6</v>
      </c>
      <c r="V362">
        <v>1</v>
      </c>
      <c r="W362">
        <v>2</v>
      </c>
      <c r="X362" t="s">
        <v>40</v>
      </c>
      <c r="Y362">
        <v>3</v>
      </c>
      <c r="Z362">
        <v>5028</v>
      </c>
      <c r="AA362">
        <v>1</v>
      </c>
      <c r="AB362">
        <v>0</v>
      </c>
      <c r="AC362">
        <v>10.756</v>
      </c>
      <c r="AD362">
        <v>5059</v>
      </c>
      <c r="AH362">
        <v>0</v>
      </c>
      <c r="AI362">
        <v>0</v>
      </c>
      <c r="AL362" t="s">
        <v>40</v>
      </c>
      <c r="AM362" t="str">
        <f t="shared" si="27"/>
        <v>5028 1</v>
      </c>
      <c r="AN362" t="str">
        <f t="shared" si="28"/>
        <v>405569.818,281615.658</v>
      </c>
      <c r="AO362" t="str">
        <f t="shared" si="29"/>
        <v>405580.484,281617.034</v>
      </c>
      <c r="AQ362" t="s">
        <v>1895</v>
      </c>
      <c r="AR362" t="s">
        <v>2268</v>
      </c>
    </row>
    <row r="363" spans="1:44" x14ac:dyDescent="0.3">
      <c r="A363">
        <v>3869</v>
      </c>
      <c r="B363">
        <v>4</v>
      </c>
      <c r="C363">
        <v>4026991</v>
      </c>
      <c r="D363">
        <v>24827</v>
      </c>
      <c r="E363">
        <v>2</v>
      </c>
      <c r="F363">
        <v>670050</v>
      </c>
      <c r="G363" t="s">
        <v>76</v>
      </c>
      <c r="H363" t="s">
        <v>41</v>
      </c>
      <c r="I363">
        <v>0</v>
      </c>
      <c r="J363" s="1">
        <v>405427.30099999998</v>
      </c>
      <c r="K363" s="1">
        <v>281896.56</v>
      </c>
      <c r="L363" s="1">
        <v>405469.93099999998</v>
      </c>
      <c r="M363" s="1">
        <v>281857.31</v>
      </c>
      <c r="N363" t="s">
        <v>40</v>
      </c>
      <c r="P363" t="s">
        <v>40</v>
      </c>
      <c r="Q363">
        <v>0</v>
      </c>
      <c r="R363">
        <v>0</v>
      </c>
      <c r="S363">
        <v>0</v>
      </c>
      <c r="T363">
        <v>6</v>
      </c>
      <c r="U363">
        <v>6</v>
      </c>
      <c r="V363">
        <v>1</v>
      </c>
      <c r="W363">
        <v>1</v>
      </c>
      <c r="X363" t="s">
        <v>40</v>
      </c>
      <c r="Y363">
        <v>3</v>
      </c>
      <c r="Z363">
        <v>38</v>
      </c>
      <c r="AA363">
        <v>1</v>
      </c>
      <c r="AB363">
        <v>0</v>
      </c>
      <c r="AC363">
        <v>58.466999999999999</v>
      </c>
      <c r="AD363">
        <v>5059</v>
      </c>
      <c r="AH363">
        <v>0</v>
      </c>
      <c r="AI363">
        <v>0</v>
      </c>
      <c r="AL363" t="s">
        <v>40</v>
      </c>
      <c r="AM363" t="str">
        <f t="shared" si="27"/>
        <v>38 1</v>
      </c>
      <c r="AN363" t="str">
        <f t="shared" si="28"/>
        <v>405427.301,281896.56</v>
      </c>
      <c r="AO363" t="str">
        <f t="shared" si="29"/>
        <v>405469.931,281857.31</v>
      </c>
      <c r="AQ363" t="s">
        <v>2269</v>
      </c>
      <c r="AR363" t="s">
        <v>2267</v>
      </c>
    </row>
    <row r="364" spans="1:44" x14ac:dyDescent="0.3">
      <c r="A364">
        <v>3869</v>
      </c>
      <c r="B364">
        <v>4</v>
      </c>
      <c r="C364">
        <v>4026982</v>
      </c>
      <c r="D364">
        <v>26270</v>
      </c>
      <c r="E364">
        <v>2</v>
      </c>
      <c r="F364">
        <v>670050</v>
      </c>
      <c r="G364" t="s">
        <v>76</v>
      </c>
      <c r="H364" t="s">
        <v>41</v>
      </c>
      <c r="I364">
        <v>0</v>
      </c>
      <c r="J364" s="1">
        <v>405580.484</v>
      </c>
      <c r="K364" s="1">
        <v>281617.03399999999</v>
      </c>
      <c r="L364" s="1">
        <v>405601.174</v>
      </c>
      <c r="M364" s="1">
        <v>281623.07699999999</v>
      </c>
      <c r="N364" t="s">
        <v>40</v>
      </c>
      <c r="P364" t="s">
        <v>40</v>
      </c>
      <c r="Q364">
        <v>0</v>
      </c>
      <c r="R364">
        <v>0</v>
      </c>
      <c r="S364">
        <v>0</v>
      </c>
      <c r="T364">
        <v>6</v>
      </c>
      <c r="U364">
        <v>6</v>
      </c>
      <c r="V364">
        <v>1</v>
      </c>
      <c r="W364">
        <v>2</v>
      </c>
      <c r="X364" t="s">
        <v>40</v>
      </c>
      <c r="Y364">
        <v>3</v>
      </c>
      <c r="Z364">
        <v>90</v>
      </c>
      <c r="AA364">
        <v>1</v>
      </c>
      <c r="AB364">
        <v>0</v>
      </c>
      <c r="AC364">
        <v>69.974000000000004</v>
      </c>
      <c r="AD364">
        <v>5059</v>
      </c>
      <c r="AH364">
        <v>0</v>
      </c>
      <c r="AI364">
        <v>0</v>
      </c>
      <c r="AL364" t="s">
        <v>40</v>
      </c>
      <c r="AM364" t="str">
        <f t="shared" si="27"/>
        <v>90 1</v>
      </c>
      <c r="AN364" s="6" t="s">
        <v>304</v>
      </c>
      <c r="AO364" s="6" t="s">
        <v>1100</v>
      </c>
      <c r="AQ364" t="s">
        <v>721</v>
      </c>
      <c r="AR364" t="s">
        <v>2268</v>
      </c>
    </row>
    <row r="365" spans="1:44" x14ac:dyDescent="0.3">
      <c r="A365">
        <v>3869</v>
      </c>
      <c r="B365">
        <v>4</v>
      </c>
      <c r="C365">
        <v>4019850</v>
      </c>
      <c r="D365">
        <v>17755</v>
      </c>
      <c r="E365">
        <v>2</v>
      </c>
      <c r="F365">
        <v>670050</v>
      </c>
      <c r="G365" t="s">
        <v>76</v>
      </c>
      <c r="H365" t="s">
        <v>54</v>
      </c>
      <c r="I365">
        <v>0</v>
      </c>
      <c r="J365" s="1">
        <v>405710.59499999997</v>
      </c>
      <c r="K365" s="1">
        <v>282026.88299999997</v>
      </c>
      <c r="L365" s="1">
        <v>405713.63</v>
      </c>
      <c r="M365" s="1">
        <v>282026.33500000002</v>
      </c>
      <c r="N365" t="s">
        <v>40</v>
      </c>
      <c r="P365" t="s">
        <v>40</v>
      </c>
      <c r="Q365">
        <v>0</v>
      </c>
      <c r="R365">
        <v>0</v>
      </c>
      <c r="S365">
        <v>0</v>
      </c>
      <c r="T365">
        <v>6</v>
      </c>
      <c r="U365">
        <v>6</v>
      </c>
      <c r="V365">
        <v>1</v>
      </c>
      <c r="W365">
        <v>1</v>
      </c>
      <c r="X365" t="s">
        <v>40</v>
      </c>
      <c r="Y365">
        <v>3</v>
      </c>
      <c r="Z365">
        <v>92</v>
      </c>
      <c r="AA365">
        <v>1</v>
      </c>
      <c r="AB365">
        <v>0</v>
      </c>
      <c r="AC365">
        <v>4.8220000000000001</v>
      </c>
      <c r="AD365">
        <v>5059</v>
      </c>
      <c r="AH365">
        <v>0</v>
      </c>
      <c r="AI365">
        <v>0</v>
      </c>
      <c r="AL365" t="s">
        <v>40</v>
      </c>
      <c r="AM365" t="str">
        <f t="shared" si="27"/>
        <v>92 1</v>
      </c>
      <c r="AN365" t="str">
        <f t="shared" si="28"/>
        <v>405710.595,282026.883</v>
      </c>
      <c r="AO365" t="str">
        <f t="shared" si="29"/>
        <v>405713.63,282026.335</v>
      </c>
      <c r="AQ365" t="s">
        <v>2251</v>
      </c>
      <c r="AR365" t="s">
        <v>2270</v>
      </c>
    </row>
    <row r="366" spans="1:44" x14ac:dyDescent="0.3">
      <c r="A366">
        <v>3869</v>
      </c>
      <c r="B366">
        <v>4</v>
      </c>
      <c r="C366">
        <v>4019851</v>
      </c>
      <c r="D366">
        <v>17767</v>
      </c>
      <c r="E366">
        <v>2</v>
      </c>
      <c r="F366">
        <v>670050</v>
      </c>
      <c r="G366" t="s">
        <v>76</v>
      </c>
      <c r="H366" t="s">
        <v>54</v>
      </c>
      <c r="I366">
        <v>0</v>
      </c>
      <c r="J366" s="1">
        <v>405720.02799999999</v>
      </c>
      <c r="K366" s="1">
        <v>282000</v>
      </c>
      <c r="L366" s="1">
        <v>405713.63</v>
      </c>
      <c r="M366" s="1">
        <v>282026.33500000002</v>
      </c>
      <c r="N366" t="s">
        <v>40</v>
      </c>
      <c r="P366" t="s">
        <v>40</v>
      </c>
      <c r="Q366">
        <v>0</v>
      </c>
      <c r="R366">
        <v>0</v>
      </c>
      <c r="S366">
        <v>0</v>
      </c>
      <c r="T366">
        <v>6</v>
      </c>
      <c r="U366">
        <v>6</v>
      </c>
      <c r="V366">
        <v>1</v>
      </c>
      <c r="W366">
        <v>1</v>
      </c>
      <c r="X366" t="s">
        <v>40</v>
      </c>
      <c r="Y366">
        <v>3</v>
      </c>
      <c r="Z366">
        <v>89</v>
      </c>
      <c r="AA366">
        <v>1</v>
      </c>
      <c r="AB366">
        <v>0</v>
      </c>
      <c r="AC366">
        <v>44.882999999999996</v>
      </c>
      <c r="AD366">
        <v>5059</v>
      </c>
      <c r="AH366">
        <v>0</v>
      </c>
      <c r="AI366">
        <v>0</v>
      </c>
      <c r="AL366" t="s">
        <v>40</v>
      </c>
      <c r="AM366" t="str">
        <f t="shared" si="27"/>
        <v>89 1</v>
      </c>
      <c r="AN366" s="6" t="s">
        <v>1673</v>
      </c>
      <c r="AO366" s="6" t="s">
        <v>1105</v>
      </c>
      <c r="AQ366" t="s">
        <v>2270</v>
      </c>
      <c r="AR366" t="s">
        <v>2271</v>
      </c>
    </row>
    <row r="367" spans="1:44" x14ac:dyDescent="0.3">
      <c r="A367">
        <v>3869</v>
      </c>
      <c r="B367">
        <v>4</v>
      </c>
      <c r="C367">
        <v>4019858</v>
      </c>
      <c r="D367">
        <v>17765</v>
      </c>
      <c r="E367">
        <v>2</v>
      </c>
      <c r="F367">
        <v>670050</v>
      </c>
      <c r="G367" t="s">
        <v>76</v>
      </c>
      <c r="H367" t="s">
        <v>54</v>
      </c>
      <c r="I367">
        <v>0</v>
      </c>
      <c r="J367" s="1">
        <v>405741.06099999999</v>
      </c>
      <c r="K367" s="1">
        <v>282000</v>
      </c>
      <c r="L367" s="1">
        <v>405752.55699999997</v>
      </c>
      <c r="M367" s="1">
        <v>282008.28200000001</v>
      </c>
      <c r="N367" t="s">
        <v>40</v>
      </c>
      <c r="P367" t="s">
        <v>40</v>
      </c>
      <c r="Q367">
        <v>0</v>
      </c>
      <c r="R367">
        <v>0</v>
      </c>
      <c r="S367">
        <v>0</v>
      </c>
      <c r="T367">
        <v>6</v>
      </c>
      <c r="U367">
        <v>6</v>
      </c>
      <c r="V367">
        <v>1</v>
      </c>
      <c r="W367">
        <v>1</v>
      </c>
      <c r="X367" t="s">
        <v>40</v>
      </c>
      <c r="Y367">
        <v>3</v>
      </c>
      <c r="Z367">
        <v>38</v>
      </c>
      <c r="AA367">
        <v>5001</v>
      </c>
      <c r="AB367">
        <v>0</v>
      </c>
      <c r="AC367">
        <v>21.585000000000001</v>
      </c>
      <c r="AD367">
        <v>5059</v>
      </c>
      <c r="AH367">
        <v>0</v>
      </c>
      <c r="AI367">
        <v>0</v>
      </c>
      <c r="AL367" t="s">
        <v>40</v>
      </c>
      <c r="AM367" t="str">
        <f t="shared" si="27"/>
        <v>38 5001</v>
      </c>
      <c r="AN367" s="6" t="s">
        <v>1671</v>
      </c>
      <c r="AO367" s="6" t="s">
        <v>1105</v>
      </c>
      <c r="AQ367" t="s">
        <v>2262</v>
      </c>
      <c r="AR367" t="s">
        <v>2271</v>
      </c>
    </row>
    <row r="368" spans="1:44" x14ac:dyDescent="0.3">
      <c r="A368">
        <v>3869</v>
      </c>
      <c r="B368">
        <v>4</v>
      </c>
      <c r="C368">
        <v>4026904</v>
      </c>
      <c r="D368">
        <v>25976</v>
      </c>
      <c r="E368">
        <v>2</v>
      </c>
      <c r="F368">
        <v>670050</v>
      </c>
      <c r="G368" t="s">
        <v>76</v>
      </c>
      <c r="H368" t="s">
        <v>41</v>
      </c>
      <c r="I368">
        <v>0</v>
      </c>
      <c r="J368" s="1">
        <v>405507.17300000001</v>
      </c>
      <c r="K368" s="1">
        <v>281599.96500000003</v>
      </c>
      <c r="L368" s="1">
        <v>405569.81800000003</v>
      </c>
      <c r="M368" s="1">
        <v>281615.658</v>
      </c>
      <c r="N368" t="s">
        <v>40</v>
      </c>
      <c r="P368" t="s">
        <v>40</v>
      </c>
      <c r="Q368">
        <v>0</v>
      </c>
      <c r="R368">
        <v>0</v>
      </c>
      <c r="S368">
        <v>0</v>
      </c>
      <c r="T368">
        <v>6</v>
      </c>
      <c r="U368">
        <v>6</v>
      </c>
      <c r="V368">
        <v>1</v>
      </c>
      <c r="W368">
        <v>1</v>
      </c>
      <c r="X368" t="s">
        <v>40</v>
      </c>
      <c r="Y368">
        <v>3</v>
      </c>
      <c r="Z368">
        <v>90</v>
      </c>
      <c r="AA368">
        <v>1</v>
      </c>
      <c r="AB368">
        <v>0</v>
      </c>
      <c r="AC368">
        <v>246.14699999999999</v>
      </c>
      <c r="AD368">
        <v>5059</v>
      </c>
      <c r="AH368">
        <v>0</v>
      </c>
      <c r="AI368">
        <v>0</v>
      </c>
      <c r="AL368" t="s">
        <v>40</v>
      </c>
      <c r="AM368" t="str">
        <f t="shared" si="27"/>
        <v>90 1</v>
      </c>
      <c r="AN368" s="6" t="s">
        <v>1098</v>
      </c>
      <c r="AO368" s="6" t="s">
        <v>1674</v>
      </c>
      <c r="AQ368" t="s">
        <v>1895</v>
      </c>
      <c r="AR368" t="s">
        <v>2272</v>
      </c>
    </row>
    <row r="369" spans="1:44" x14ac:dyDescent="0.3">
      <c r="A369">
        <v>3869</v>
      </c>
      <c r="B369">
        <v>4</v>
      </c>
      <c r="C369">
        <v>4026889</v>
      </c>
      <c r="D369">
        <v>23487</v>
      </c>
      <c r="E369">
        <v>2</v>
      </c>
      <c r="F369">
        <v>670050</v>
      </c>
      <c r="G369" t="s">
        <v>76</v>
      </c>
      <c r="H369" t="s">
        <v>41</v>
      </c>
      <c r="I369">
        <v>0</v>
      </c>
      <c r="J369" s="1">
        <v>405344.05800000002</v>
      </c>
      <c r="K369" s="1">
        <v>281493.27</v>
      </c>
      <c r="L369" s="1">
        <v>405355.40100000001</v>
      </c>
      <c r="M369" s="1">
        <v>281501.95199999999</v>
      </c>
      <c r="N369" t="s">
        <v>40</v>
      </c>
      <c r="P369" t="s">
        <v>40</v>
      </c>
      <c r="Q369">
        <v>0</v>
      </c>
      <c r="R369">
        <v>0</v>
      </c>
      <c r="S369">
        <v>0</v>
      </c>
      <c r="T369">
        <v>7</v>
      </c>
      <c r="U369">
        <v>6</v>
      </c>
      <c r="V369">
        <v>1</v>
      </c>
      <c r="W369">
        <v>1</v>
      </c>
      <c r="X369" t="s">
        <v>40</v>
      </c>
      <c r="Y369">
        <v>3</v>
      </c>
      <c r="Z369">
        <v>255</v>
      </c>
      <c r="AA369">
        <v>18</v>
      </c>
      <c r="AB369">
        <v>0</v>
      </c>
      <c r="AC369">
        <v>614.17000000000007</v>
      </c>
      <c r="AD369">
        <v>5059</v>
      </c>
      <c r="AH369">
        <v>0</v>
      </c>
      <c r="AI369">
        <v>0</v>
      </c>
      <c r="AL369" t="s">
        <v>40</v>
      </c>
      <c r="AM369" t="str">
        <f t="shared" si="27"/>
        <v>255 18</v>
      </c>
      <c r="AN369" s="6" t="s">
        <v>1681</v>
      </c>
      <c r="AO369" s="6" t="s">
        <v>1674</v>
      </c>
      <c r="AQ369" t="s">
        <v>2273</v>
      </c>
      <c r="AR369" t="s">
        <v>2272</v>
      </c>
    </row>
    <row r="370" spans="1:44" x14ac:dyDescent="0.3">
      <c r="A370">
        <v>3869</v>
      </c>
      <c r="B370">
        <v>4</v>
      </c>
      <c r="C370">
        <v>4008452</v>
      </c>
      <c r="D370">
        <v>7024</v>
      </c>
      <c r="E370">
        <v>2</v>
      </c>
      <c r="F370">
        <v>670050</v>
      </c>
      <c r="G370" t="s">
        <v>76</v>
      </c>
      <c r="H370" t="s">
        <v>71</v>
      </c>
      <c r="I370">
        <v>0</v>
      </c>
      <c r="J370" s="1">
        <v>406919.02299999999</v>
      </c>
      <c r="K370" s="1">
        <v>283120.89899999998</v>
      </c>
      <c r="L370" s="1">
        <v>406917.22700000001</v>
      </c>
      <c r="M370" s="1">
        <v>283127.60399999999</v>
      </c>
      <c r="N370" t="s">
        <v>40</v>
      </c>
      <c r="P370" t="s">
        <v>40</v>
      </c>
      <c r="Q370">
        <v>0</v>
      </c>
      <c r="R370">
        <v>0</v>
      </c>
      <c r="S370">
        <v>200709</v>
      </c>
      <c r="T370">
        <v>6</v>
      </c>
      <c r="U370">
        <v>6</v>
      </c>
      <c r="V370">
        <v>1</v>
      </c>
      <c r="W370">
        <v>1</v>
      </c>
      <c r="X370" t="s">
        <v>40</v>
      </c>
      <c r="Y370">
        <v>3</v>
      </c>
      <c r="Z370">
        <v>5028</v>
      </c>
      <c r="AA370">
        <v>1</v>
      </c>
      <c r="AB370">
        <v>0</v>
      </c>
      <c r="AC370">
        <v>9.1579999999999995</v>
      </c>
      <c r="AD370">
        <v>5059</v>
      </c>
      <c r="AH370">
        <v>0</v>
      </c>
      <c r="AI370">
        <v>0</v>
      </c>
      <c r="AL370" t="s">
        <v>40</v>
      </c>
      <c r="AM370" t="str">
        <f t="shared" si="27"/>
        <v>5028 1</v>
      </c>
      <c r="AN370" t="str">
        <f t="shared" si="28"/>
        <v>406919.023,283120.899</v>
      </c>
      <c r="AO370" t="str">
        <f t="shared" si="29"/>
        <v>406917.227,283127.604</v>
      </c>
      <c r="AQ370" t="s">
        <v>2274</v>
      </c>
      <c r="AR370" t="s">
        <v>720</v>
      </c>
    </row>
    <row r="371" spans="1:44" x14ac:dyDescent="0.3">
      <c r="A371">
        <v>3869</v>
      </c>
      <c r="B371">
        <v>4</v>
      </c>
      <c r="C371">
        <v>4026984</v>
      </c>
      <c r="D371">
        <v>26243</v>
      </c>
      <c r="E371">
        <v>2</v>
      </c>
      <c r="F371">
        <v>670050</v>
      </c>
      <c r="G371" t="s">
        <v>76</v>
      </c>
      <c r="H371" t="s">
        <v>41</v>
      </c>
      <c r="I371">
        <v>0</v>
      </c>
      <c r="J371" s="1">
        <v>405569.81800000003</v>
      </c>
      <c r="K371" s="1">
        <v>281615.658</v>
      </c>
      <c r="L371" s="1">
        <v>405575.03200000001</v>
      </c>
      <c r="M371" s="1">
        <v>281614.82400000002</v>
      </c>
      <c r="N371" t="s">
        <v>40</v>
      </c>
      <c r="P371" t="s">
        <v>40</v>
      </c>
      <c r="Q371">
        <v>0</v>
      </c>
      <c r="R371">
        <v>0</v>
      </c>
      <c r="S371">
        <v>200507</v>
      </c>
      <c r="T371">
        <v>6</v>
      </c>
      <c r="U371">
        <v>6</v>
      </c>
      <c r="V371">
        <v>1</v>
      </c>
      <c r="W371">
        <v>1</v>
      </c>
      <c r="X371" t="s">
        <v>40</v>
      </c>
      <c r="Y371">
        <v>3</v>
      </c>
      <c r="Z371">
        <v>5028</v>
      </c>
      <c r="AA371">
        <v>1</v>
      </c>
      <c r="AB371">
        <v>0</v>
      </c>
      <c r="AC371">
        <v>5.2869999999999999</v>
      </c>
      <c r="AD371">
        <v>5059</v>
      </c>
      <c r="AH371">
        <v>0</v>
      </c>
      <c r="AI371">
        <v>0</v>
      </c>
      <c r="AL371" t="s">
        <v>40</v>
      </c>
      <c r="AM371" t="str">
        <f t="shared" si="27"/>
        <v>5028 1</v>
      </c>
      <c r="AN371" t="str">
        <f t="shared" si="28"/>
        <v>405569.818,281615.658</v>
      </c>
      <c r="AO371" t="str">
        <f t="shared" si="29"/>
        <v>405575.032,281614.824</v>
      </c>
      <c r="AQ371" t="s">
        <v>1895</v>
      </c>
      <c r="AR371" t="s">
        <v>2265</v>
      </c>
    </row>
    <row r="372" spans="1:44" x14ac:dyDescent="0.3">
      <c r="A372">
        <v>3869</v>
      </c>
      <c r="B372">
        <v>4</v>
      </c>
      <c r="C372">
        <v>4019276</v>
      </c>
      <c r="D372">
        <v>51278</v>
      </c>
      <c r="E372">
        <v>2</v>
      </c>
      <c r="F372">
        <v>670050</v>
      </c>
      <c r="G372" t="s">
        <v>76</v>
      </c>
      <c r="H372" t="s">
        <v>52</v>
      </c>
      <c r="I372">
        <v>0</v>
      </c>
      <c r="J372" s="1">
        <v>407146.66</v>
      </c>
      <c r="K372" s="1">
        <v>283000</v>
      </c>
      <c r="L372" s="1">
        <v>407207.304</v>
      </c>
      <c r="M372" s="1">
        <v>283108.63500000001</v>
      </c>
      <c r="N372" t="s">
        <v>40</v>
      </c>
      <c r="P372" t="s">
        <v>40</v>
      </c>
      <c r="Q372">
        <v>0</v>
      </c>
      <c r="R372">
        <v>0</v>
      </c>
      <c r="S372">
        <v>201004</v>
      </c>
      <c r="T372">
        <v>6</v>
      </c>
      <c r="U372">
        <v>6</v>
      </c>
      <c r="V372">
        <v>1</v>
      </c>
      <c r="W372">
        <v>1</v>
      </c>
      <c r="X372" t="s">
        <v>40</v>
      </c>
      <c r="Y372">
        <v>3</v>
      </c>
      <c r="Z372">
        <v>5028</v>
      </c>
      <c r="AA372">
        <v>1</v>
      </c>
      <c r="AB372">
        <v>0</v>
      </c>
      <c r="AC372">
        <v>186.67700000000002</v>
      </c>
      <c r="AD372">
        <v>5059</v>
      </c>
      <c r="AE372" t="s">
        <v>78</v>
      </c>
      <c r="AH372">
        <v>0</v>
      </c>
      <c r="AI372">
        <v>0</v>
      </c>
      <c r="AL372" t="s">
        <v>40</v>
      </c>
      <c r="AM372" t="str">
        <f t="shared" si="27"/>
        <v>5028 1</v>
      </c>
      <c r="AN372" s="6" t="s">
        <v>298</v>
      </c>
      <c r="AO372" s="6" t="s">
        <v>1119</v>
      </c>
      <c r="AQ372" t="s">
        <v>718</v>
      </c>
      <c r="AR372" t="s">
        <v>2275</v>
      </c>
    </row>
    <row r="373" spans="1:44" x14ac:dyDescent="0.3">
      <c r="A373">
        <v>3869</v>
      </c>
      <c r="B373">
        <v>4</v>
      </c>
      <c r="C373">
        <v>4011913</v>
      </c>
      <c r="D373">
        <v>25869</v>
      </c>
      <c r="E373">
        <v>2</v>
      </c>
      <c r="F373">
        <v>670050</v>
      </c>
      <c r="G373" t="s">
        <v>76</v>
      </c>
      <c r="H373" t="s">
        <v>48</v>
      </c>
      <c r="I373">
        <v>0</v>
      </c>
      <c r="J373" s="1">
        <v>406365.38400000002</v>
      </c>
      <c r="K373" s="1">
        <v>282313.57699999999</v>
      </c>
      <c r="L373" s="1">
        <v>406363.728</v>
      </c>
      <c r="M373" s="1">
        <v>282313.978</v>
      </c>
      <c r="N373" t="s">
        <v>40</v>
      </c>
      <c r="P373" t="s">
        <v>40</v>
      </c>
      <c r="Q373">
        <v>0</v>
      </c>
      <c r="R373">
        <v>0</v>
      </c>
      <c r="S373">
        <v>0</v>
      </c>
      <c r="T373">
        <v>6</v>
      </c>
      <c r="U373">
        <v>6</v>
      </c>
      <c r="V373">
        <v>1</v>
      </c>
      <c r="W373">
        <v>3</v>
      </c>
      <c r="X373" t="s">
        <v>40</v>
      </c>
      <c r="Y373">
        <v>3</v>
      </c>
      <c r="Z373">
        <v>5017</v>
      </c>
      <c r="AA373">
        <v>1</v>
      </c>
      <c r="AB373">
        <v>0</v>
      </c>
      <c r="AC373">
        <v>3.302</v>
      </c>
      <c r="AD373">
        <v>5059</v>
      </c>
      <c r="AH373">
        <v>0</v>
      </c>
      <c r="AI373">
        <v>0</v>
      </c>
      <c r="AL373" t="s">
        <v>40</v>
      </c>
      <c r="AM373" t="str">
        <f t="shared" si="27"/>
        <v>5017 1</v>
      </c>
      <c r="AN373" s="6" t="s">
        <v>1676</v>
      </c>
      <c r="AO373" s="6" t="s">
        <v>294</v>
      </c>
      <c r="AQ373" t="s">
        <v>2276</v>
      </c>
      <c r="AR373" t="s">
        <v>717</v>
      </c>
    </row>
    <row r="374" spans="1:44" x14ac:dyDescent="0.3">
      <c r="A374">
        <v>3869</v>
      </c>
      <c r="B374">
        <v>4</v>
      </c>
      <c r="C374">
        <v>4011896</v>
      </c>
      <c r="D374">
        <v>25852</v>
      </c>
      <c r="E374">
        <v>2</v>
      </c>
      <c r="F374">
        <v>670050</v>
      </c>
      <c r="G374" t="s">
        <v>76</v>
      </c>
      <c r="H374" t="s">
        <v>48</v>
      </c>
      <c r="I374">
        <v>0</v>
      </c>
      <c r="J374" s="1">
        <v>406364.69500000001</v>
      </c>
      <c r="K374" s="1">
        <v>282316.44099999999</v>
      </c>
      <c r="L374" s="1">
        <v>406366.33</v>
      </c>
      <c r="M374" s="1">
        <v>282314.77600000001</v>
      </c>
      <c r="N374" t="s">
        <v>40</v>
      </c>
      <c r="P374" t="s">
        <v>40</v>
      </c>
      <c r="Q374">
        <v>0</v>
      </c>
      <c r="R374">
        <v>0</v>
      </c>
      <c r="S374">
        <v>0</v>
      </c>
      <c r="T374">
        <v>6</v>
      </c>
      <c r="U374">
        <v>6</v>
      </c>
      <c r="V374">
        <v>1</v>
      </c>
      <c r="W374">
        <v>1</v>
      </c>
      <c r="X374" t="s">
        <v>40</v>
      </c>
      <c r="Y374">
        <v>3</v>
      </c>
      <c r="Z374">
        <v>5024</v>
      </c>
      <c r="AA374">
        <v>1</v>
      </c>
      <c r="AB374">
        <v>0</v>
      </c>
      <c r="AC374">
        <v>2.3340000000000001</v>
      </c>
      <c r="AD374">
        <v>5059</v>
      </c>
      <c r="AH374">
        <v>0</v>
      </c>
      <c r="AI374">
        <v>0</v>
      </c>
      <c r="AL374" t="s">
        <v>40</v>
      </c>
      <c r="AM374" t="str">
        <f t="shared" si="27"/>
        <v>5024 1</v>
      </c>
      <c r="AN374" t="str">
        <f t="shared" si="28"/>
        <v>406364.695,282316.441</v>
      </c>
      <c r="AO374" t="str">
        <f t="shared" si="29"/>
        <v>406366.33,282314.776</v>
      </c>
      <c r="AQ374" t="s">
        <v>2277</v>
      </c>
      <c r="AR374" t="s">
        <v>716</v>
      </c>
    </row>
    <row r="375" spans="1:44" x14ac:dyDescent="0.3">
      <c r="A375">
        <v>3869</v>
      </c>
      <c r="B375">
        <v>4</v>
      </c>
      <c r="C375">
        <v>4011873</v>
      </c>
      <c r="D375">
        <v>11337</v>
      </c>
      <c r="E375">
        <v>2</v>
      </c>
      <c r="F375">
        <v>670050</v>
      </c>
      <c r="G375" t="s">
        <v>76</v>
      </c>
      <c r="H375" t="s">
        <v>48</v>
      </c>
      <c r="I375">
        <v>0</v>
      </c>
      <c r="J375" s="1">
        <v>406364.69500000001</v>
      </c>
      <c r="K375" s="1">
        <v>282316.44099999999</v>
      </c>
      <c r="L375" s="1">
        <v>406336.72399999999</v>
      </c>
      <c r="M375" s="1">
        <v>282301.864</v>
      </c>
      <c r="N375" t="s">
        <v>40</v>
      </c>
      <c r="P375" t="s">
        <v>40</v>
      </c>
      <c r="Q375">
        <v>0</v>
      </c>
      <c r="R375">
        <v>0</v>
      </c>
      <c r="S375">
        <v>0</v>
      </c>
      <c r="T375">
        <v>6</v>
      </c>
      <c r="U375">
        <v>6</v>
      </c>
      <c r="V375">
        <v>1</v>
      </c>
      <c r="W375">
        <v>1</v>
      </c>
      <c r="X375" t="s">
        <v>40</v>
      </c>
      <c r="Y375">
        <v>3</v>
      </c>
      <c r="Z375">
        <v>54</v>
      </c>
      <c r="AA375">
        <v>1</v>
      </c>
      <c r="AB375">
        <v>0</v>
      </c>
      <c r="AC375">
        <v>267.66899999999998</v>
      </c>
      <c r="AD375">
        <v>5059</v>
      </c>
      <c r="AH375">
        <v>0</v>
      </c>
      <c r="AI375">
        <v>0</v>
      </c>
      <c r="AL375" t="s">
        <v>40</v>
      </c>
      <c r="AM375" t="str">
        <f t="shared" si="27"/>
        <v>54 1</v>
      </c>
      <c r="AN375" s="6" t="s">
        <v>1104</v>
      </c>
      <c r="AO375" s="6" t="s">
        <v>1103</v>
      </c>
      <c r="AQ375" t="s">
        <v>2278</v>
      </c>
      <c r="AR375" t="s">
        <v>2277</v>
      </c>
    </row>
    <row r="376" spans="1:44" x14ac:dyDescent="0.3">
      <c r="A376">
        <v>3869</v>
      </c>
      <c r="B376">
        <v>4</v>
      </c>
      <c r="C376">
        <v>4008451</v>
      </c>
      <c r="D376">
        <v>7192</v>
      </c>
      <c r="E376">
        <v>2</v>
      </c>
      <c r="F376">
        <v>670050</v>
      </c>
      <c r="G376" t="s">
        <v>76</v>
      </c>
      <c r="H376" t="s">
        <v>71</v>
      </c>
      <c r="I376">
        <v>0</v>
      </c>
      <c r="J376" s="1">
        <v>407000</v>
      </c>
      <c r="K376" s="1">
        <v>283098.50599999999</v>
      </c>
      <c r="L376" s="1">
        <v>406919.02299999999</v>
      </c>
      <c r="M376" s="1">
        <v>283120.89899999998</v>
      </c>
      <c r="N376" t="s">
        <v>40</v>
      </c>
      <c r="P376" t="s">
        <v>40</v>
      </c>
      <c r="Q376">
        <v>0</v>
      </c>
      <c r="R376">
        <v>0</v>
      </c>
      <c r="S376">
        <v>0</v>
      </c>
      <c r="T376">
        <v>6</v>
      </c>
      <c r="U376">
        <v>6</v>
      </c>
      <c r="V376">
        <v>1</v>
      </c>
      <c r="W376">
        <v>1</v>
      </c>
      <c r="X376" t="s">
        <v>40</v>
      </c>
      <c r="Y376">
        <v>3</v>
      </c>
      <c r="Z376">
        <v>90</v>
      </c>
      <c r="AA376">
        <v>1</v>
      </c>
      <c r="AB376">
        <v>0</v>
      </c>
      <c r="AC376">
        <v>220.697</v>
      </c>
      <c r="AD376">
        <v>5059</v>
      </c>
      <c r="AH376">
        <v>0</v>
      </c>
      <c r="AI376">
        <v>0</v>
      </c>
      <c r="AL376" t="s">
        <v>40</v>
      </c>
      <c r="AM376" t="str">
        <f t="shared" si="27"/>
        <v>90 1</v>
      </c>
      <c r="AN376" s="6" t="s">
        <v>1115</v>
      </c>
      <c r="AO376" s="6" t="s">
        <v>1102</v>
      </c>
      <c r="AQ376" t="s">
        <v>2266</v>
      </c>
      <c r="AR376" t="s">
        <v>2274</v>
      </c>
    </row>
    <row r="377" spans="1:44" x14ac:dyDescent="0.3">
      <c r="A377">
        <v>3869</v>
      </c>
      <c r="B377">
        <v>4</v>
      </c>
      <c r="C377">
        <v>4019293</v>
      </c>
      <c r="D377">
        <v>51279</v>
      </c>
      <c r="E377">
        <v>2</v>
      </c>
      <c r="F377">
        <v>670050</v>
      </c>
      <c r="G377" t="s">
        <v>76</v>
      </c>
      <c r="H377" t="s">
        <v>52</v>
      </c>
      <c r="I377">
        <v>0</v>
      </c>
      <c r="J377" s="1">
        <v>407146.97200000001</v>
      </c>
      <c r="K377" s="1">
        <v>283000</v>
      </c>
      <c r="L377" s="1">
        <v>407207.342</v>
      </c>
      <c r="M377" s="1">
        <v>283108.245</v>
      </c>
      <c r="N377" t="s">
        <v>40</v>
      </c>
      <c r="P377" t="s">
        <v>40</v>
      </c>
      <c r="Q377">
        <v>0</v>
      </c>
      <c r="R377">
        <v>0</v>
      </c>
      <c r="S377">
        <v>201004</v>
      </c>
      <c r="T377">
        <v>6</v>
      </c>
      <c r="U377">
        <v>6</v>
      </c>
      <c r="V377">
        <v>1</v>
      </c>
      <c r="W377">
        <v>1</v>
      </c>
      <c r="X377" t="s">
        <v>40</v>
      </c>
      <c r="Y377">
        <v>3</v>
      </c>
      <c r="Z377">
        <v>5028</v>
      </c>
      <c r="AA377">
        <v>1</v>
      </c>
      <c r="AB377">
        <v>0</v>
      </c>
      <c r="AC377">
        <v>186.97200000000001</v>
      </c>
      <c r="AD377">
        <v>5059</v>
      </c>
      <c r="AE377" t="s">
        <v>78</v>
      </c>
      <c r="AH377">
        <v>0</v>
      </c>
      <c r="AI377">
        <v>0</v>
      </c>
      <c r="AL377" t="s">
        <v>40</v>
      </c>
      <c r="AM377" t="str">
        <f t="shared" si="27"/>
        <v>5028 1</v>
      </c>
      <c r="AN377" s="6" t="s">
        <v>299</v>
      </c>
      <c r="AO377" s="6" t="s">
        <v>1117</v>
      </c>
      <c r="AQ377" t="s">
        <v>719</v>
      </c>
      <c r="AR377" t="s">
        <v>2279</v>
      </c>
    </row>
    <row r="378" spans="1:44" x14ac:dyDescent="0.3">
      <c r="A378">
        <v>3869</v>
      </c>
      <c r="B378">
        <v>4</v>
      </c>
      <c r="C378">
        <v>4019272</v>
      </c>
      <c r="D378">
        <v>15947</v>
      </c>
      <c r="E378">
        <v>2</v>
      </c>
      <c r="F378">
        <v>670050</v>
      </c>
      <c r="G378" t="s">
        <v>76</v>
      </c>
      <c r="H378" t="s">
        <v>52</v>
      </c>
      <c r="I378">
        <v>0</v>
      </c>
      <c r="J378" s="1">
        <v>407053.61200000002</v>
      </c>
      <c r="K378" s="1">
        <v>283000</v>
      </c>
      <c r="L378" s="1">
        <v>407000</v>
      </c>
      <c r="M378" s="1">
        <v>283098.86</v>
      </c>
      <c r="N378" t="s">
        <v>40</v>
      </c>
      <c r="P378" t="s">
        <v>40</v>
      </c>
      <c r="Q378">
        <v>0</v>
      </c>
      <c r="R378">
        <v>0</v>
      </c>
      <c r="S378">
        <v>0</v>
      </c>
      <c r="T378">
        <v>6</v>
      </c>
      <c r="U378">
        <v>6</v>
      </c>
      <c r="V378">
        <v>1</v>
      </c>
      <c r="W378">
        <v>1</v>
      </c>
      <c r="X378" t="s">
        <v>40</v>
      </c>
      <c r="Y378">
        <v>3</v>
      </c>
      <c r="Z378">
        <v>90</v>
      </c>
      <c r="AA378">
        <v>1</v>
      </c>
      <c r="AB378">
        <v>0</v>
      </c>
      <c r="AC378">
        <v>218.76300000000001</v>
      </c>
      <c r="AD378">
        <v>5059</v>
      </c>
      <c r="AH378">
        <v>0</v>
      </c>
      <c r="AI378">
        <v>0</v>
      </c>
      <c r="AL378" t="s">
        <v>40</v>
      </c>
      <c r="AM378" t="str">
        <f t="shared" si="27"/>
        <v>90 1</v>
      </c>
      <c r="AN378" s="6" t="s">
        <v>1118</v>
      </c>
      <c r="AO378" s="6" t="s">
        <v>1122</v>
      </c>
      <c r="AQ378" t="s">
        <v>2280</v>
      </c>
      <c r="AR378" t="s">
        <v>2281</v>
      </c>
    </row>
    <row r="379" spans="1:44" x14ac:dyDescent="0.3">
      <c r="A379">
        <v>3869</v>
      </c>
      <c r="B379">
        <v>4</v>
      </c>
      <c r="C379">
        <v>4027010</v>
      </c>
      <c r="D379">
        <v>26729</v>
      </c>
      <c r="E379">
        <v>2</v>
      </c>
      <c r="F379">
        <v>670050</v>
      </c>
      <c r="G379" t="s">
        <v>76</v>
      </c>
      <c r="H379" t="s">
        <v>41</v>
      </c>
      <c r="I379">
        <v>0</v>
      </c>
      <c r="J379" s="1">
        <v>405522.29399999999</v>
      </c>
      <c r="K379" s="1">
        <v>281934.37099999998</v>
      </c>
      <c r="L379" s="1">
        <v>405578.12300000002</v>
      </c>
      <c r="M379" s="1">
        <v>281886.88099999999</v>
      </c>
      <c r="N379" t="s">
        <v>40</v>
      </c>
      <c r="P379" t="s">
        <v>40</v>
      </c>
      <c r="Q379">
        <v>0</v>
      </c>
      <c r="R379">
        <v>0</v>
      </c>
      <c r="S379">
        <v>0</v>
      </c>
      <c r="T379">
        <v>6</v>
      </c>
      <c r="U379">
        <v>6</v>
      </c>
      <c r="V379">
        <v>1</v>
      </c>
      <c r="W379">
        <v>1</v>
      </c>
      <c r="X379" t="s">
        <v>40</v>
      </c>
      <c r="Y379">
        <v>3</v>
      </c>
      <c r="Z379">
        <v>88</v>
      </c>
      <c r="AA379">
        <v>1</v>
      </c>
      <c r="AB379">
        <v>0</v>
      </c>
      <c r="AC379">
        <v>266.44399999999996</v>
      </c>
      <c r="AD379">
        <v>5059</v>
      </c>
      <c r="AH379">
        <v>0</v>
      </c>
      <c r="AI379">
        <v>0</v>
      </c>
      <c r="AL379" t="s">
        <v>40</v>
      </c>
      <c r="AM379" t="str">
        <f t="shared" si="27"/>
        <v>88 1</v>
      </c>
      <c r="AN379" s="6" t="s">
        <v>317</v>
      </c>
      <c r="AO379" s="6" t="s">
        <v>1106</v>
      </c>
      <c r="AQ379" t="s">
        <v>724</v>
      </c>
      <c r="AR379" t="s">
        <v>2250</v>
      </c>
    </row>
    <row r="380" spans="1:44" x14ac:dyDescent="0.3">
      <c r="A380">
        <v>3869</v>
      </c>
      <c r="B380">
        <v>4</v>
      </c>
      <c r="C380">
        <v>4026992</v>
      </c>
      <c r="D380">
        <v>24721</v>
      </c>
      <c r="E380">
        <v>2</v>
      </c>
      <c r="F380">
        <v>670050</v>
      </c>
      <c r="G380" t="s">
        <v>76</v>
      </c>
      <c r="H380" t="s">
        <v>41</v>
      </c>
      <c r="I380">
        <v>0</v>
      </c>
      <c r="J380" s="1">
        <v>405407.935</v>
      </c>
      <c r="K380" s="1">
        <v>281911.74300000002</v>
      </c>
      <c r="L380" s="1">
        <v>405427.30099999998</v>
      </c>
      <c r="M380" s="1">
        <v>281896.56</v>
      </c>
      <c r="N380" t="s">
        <v>40</v>
      </c>
      <c r="P380" t="s">
        <v>40</v>
      </c>
      <c r="Q380">
        <v>0</v>
      </c>
      <c r="R380">
        <v>0</v>
      </c>
      <c r="S380">
        <v>0</v>
      </c>
      <c r="T380">
        <v>6</v>
      </c>
      <c r="U380">
        <v>6</v>
      </c>
      <c r="V380">
        <v>1</v>
      </c>
      <c r="W380">
        <v>1</v>
      </c>
      <c r="X380" t="s">
        <v>40</v>
      </c>
      <c r="Y380">
        <v>3</v>
      </c>
      <c r="Z380">
        <v>38</v>
      </c>
      <c r="AA380">
        <v>5001</v>
      </c>
      <c r="AB380">
        <v>0</v>
      </c>
      <c r="AC380">
        <v>24.623999999999999</v>
      </c>
      <c r="AD380">
        <v>5059</v>
      </c>
      <c r="AH380">
        <v>0</v>
      </c>
      <c r="AI380">
        <v>0</v>
      </c>
      <c r="AL380" t="s">
        <v>40</v>
      </c>
      <c r="AM380" t="str">
        <f t="shared" si="27"/>
        <v>38 5001</v>
      </c>
      <c r="AN380" t="str">
        <f t="shared" si="28"/>
        <v>405407.935,281911.743</v>
      </c>
      <c r="AO380" t="str">
        <f t="shared" si="29"/>
        <v>405427.301,281896.56</v>
      </c>
      <c r="AQ380" t="s">
        <v>2254</v>
      </c>
      <c r="AR380" t="s">
        <v>2269</v>
      </c>
    </row>
    <row r="381" spans="1:44" x14ac:dyDescent="0.3">
      <c r="A381">
        <v>3869</v>
      </c>
      <c r="B381">
        <v>4</v>
      </c>
      <c r="C381">
        <v>4019379</v>
      </c>
      <c r="D381">
        <v>47864</v>
      </c>
      <c r="E381">
        <v>2</v>
      </c>
      <c r="F381">
        <v>670050</v>
      </c>
      <c r="G381" t="s">
        <v>76</v>
      </c>
      <c r="H381" t="s">
        <v>50</v>
      </c>
      <c r="I381">
        <v>0</v>
      </c>
      <c r="J381" s="1">
        <v>407186.24200000003</v>
      </c>
      <c r="K381" s="1">
        <v>282752.34600000002</v>
      </c>
      <c r="L381" s="1">
        <v>407182.31900000002</v>
      </c>
      <c r="M381" s="1">
        <v>282755.087</v>
      </c>
      <c r="N381" t="s">
        <v>40</v>
      </c>
      <c r="P381" t="s">
        <v>40</v>
      </c>
      <c r="Q381">
        <v>0</v>
      </c>
      <c r="R381">
        <v>0</v>
      </c>
      <c r="S381">
        <v>200510</v>
      </c>
      <c r="T381">
        <v>6</v>
      </c>
      <c r="U381">
        <v>6</v>
      </c>
      <c r="V381">
        <v>1</v>
      </c>
      <c r="W381">
        <v>3</v>
      </c>
      <c r="X381" t="s">
        <v>40</v>
      </c>
      <c r="Y381">
        <v>3</v>
      </c>
      <c r="Z381">
        <v>67</v>
      </c>
      <c r="AA381">
        <v>1</v>
      </c>
      <c r="AB381">
        <v>0</v>
      </c>
      <c r="AC381">
        <v>6.6340000000000003</v>
      </c>
      <c r="AD381">
        <v>5059</v>
      </c>
      <c r="AH381">
        <v>0</v>
      </c>
      <c r="AI381">
        <v>0</v>
      </c>
      <c r="AL381" t="s">
        <v>40</v>
      </c>
      <c r="AM381" t="str">
        <f t="shared" si="27"/>
        <v>67 1</v>
      </c>
      <c r="AN381" t="str">
        <f t="shared" si="28"/>
        <v>407186.242,282752.346</v>
      </c>
      <c r="AO381" t="str">
        <f t="shared" si="29"/>
        <v>407182.319,282755.087</v>
      </c>
      <c r="AQ381" t="s">
        <v>2282</v>
      </c>
      <c r="AR381" t="s">
        <v>2283</v>
      </c>
    </row>
    <row r="382" spans="1:44" x14ac:dyDescent="0.3">
      <c r="A382">
        <v>3869</v>
      </c>
      <c r="B382">
        <v>4</v>
      </c>
      <c r="C382">
        <v>4019378</v>
      </c>
      <c r="D382">
        <v>17198</v>
      </c>
      <c r="E382">
        <v>2</v>
      </c>
      <c r="F382">
        <v>670050</v>
      </c>
      <c r="G382" t="s">
        <v>76</v>
      </c>
      <c r="H382" t="s">
        <v>50</v>
      </c>
      <c r="I382">
        <v>0</v>
      </c>
      <c r="J382" s="1">
        <v>407187.48</v>
      </c>
      <c r="K382" s="1">
        <v>282753.50099999999</v>
      </c>
      <c r="L382" s="1">
        <v>407188.06</v>
      </c>
      <c r="M382" s="1">
        <v>282753.90399999998</v>
      </c>
      <c r="N382" t="s">
        <v>40</v>
      </c>
      <c r="P382" t="s">
        <v>40</v>
      </c>
      <c r="Q382">
        <v>0</v>
      </c>
      <c r="R382">
        <v>0</v>
      </c>
      <c r="S382">
        <v>200510</v>
      </c>
      <c r="T382">
        <v>6</v>
      </c>
      <c r="U382">
        <v>6</v>
      </c>
      <c r="V382">
        <v>1</v>
      </c>
      <c r="W382">
        <v>3</v>
      </c>
      <c r="X382" t="s">
        <v>40</v>
      </c>
      <c r="Y382">
        <v>3</v>
      </c>
      <c r="Z382">
        <v>36</v>
      </c>
      <c r="AA382">
        <v>1</v>
      </c>
      <c r="AB382">
        <v>0</v>
      </c>
      <c r="AC382">
        <v>5.0839999999999996</v>
      </c>
      <c r="AD382">
        <v>5059</v>
      </c>
      <c r="AH382">
        <v>0</v>
      </c>
      <c r="AI382">
        <v>0</v>
      </c>
      <c r="AL382" t="s">
        <v>40</v>
      </c>
      <c r="AM382" t="str">
        <f t="shared" si="27"/>
        <v>36 1</v>
      </c>
      <c r="AN382" s="6" t="s">
        <v>1109</v>
      </c>
      <c r="AO382" s="6" t="s">
        <v>1110</v>
      </c>
      <c r="AQ382" t="s">
        <v>2282</v>
      </c>
      <c r="AR382" t="s">
        <v>2284</v>
      </c>
    </row>
    <row r="383" spans="1:44" x14ac:dyDescent="0.3">
      <c r="A383">
        <v>3869</v>
      </c>
      <c r="B383">
        <v>4</v>
      </c>
      <c r="C383">
        <v>4019359</v>
      </c>
      <c r="D383">
        <v>17250</v>
      </c>
      <c r="E383">
        <v>2</v>
      </c>
      <c r="F383">
        <v>670050</v>
      </c>
      <c r="G383" t="s">
        <v>76</v>
      </c>
      <c r="H383" t="s">
        <v>50</v>
      </c>
      <c r="I383">
        <v>0</v>
      </c>
      <c r="J383" s="1">
        <v>407188.94900000002</v>
      </c>
      <c r="K383" s="1">
        <v>282755.98499999999</v>
      </c>
      <c r="L383" s="1">
        <v>407198.12400000001</v>
      </c>
      <c r="M383" s="1">
        <v>282782.63900000002</v>
      </c>
      <c r="N383" t="s">
        <v>40</v>
      </c>
      <c r="P383" t="s">
        <v>40</v>
      </c>
      <c r="Q383">
        <v>0</v>
      </c>
      <c r="R383">
        <v>0</v>
      </c>
      <c r="S383">
        <v>200510</v>
      </c>
      <c r="T383">
        <v>6</v>
      </c>
      <c r="U383">
        <v>6</v>
      </c>
      <c r="V383">
        <v>1</v>
      </c>
      <c r="W383">
        <v>3</v>
      </c>
      <c r="X383" t="s">
        <v>40</v>
      </c>
      <c r="Y383">
        <v>3</v>
      </c>
      <c r="Z383">
        <v>36</v>
      </c>
      <c r="AA383">
        <v>5001</v>
      </c>
      <c r="AB383">
        <v>0</v>
      </c>
      <c r="AC383">
        <v>28.818999999999999</v>
      </c>
      <c r="AD383">
        <v>5059</v>
      </c>
      <c r="AH383">
        <v>0</v>
      </c>
      <c r="AI383">
        <v>0</v>
      </c>
      <c r="AL383" t="s">
        <v>40</v>
      </c>
      <c r="AM383" t="str">
        <f t="shared" si="27"/>
        <v>36 5001</v>
      </c>
      <c r="AN383" t="str">
        <f t="shared" si="28"/>
        <v>407188.949,282755.985</v>
      </c>
      <c r="AO383" t="str">
        <f t="shared" si="29"/>
        <v>407198.124,282782.639</v>
      </c>
      <c r="AQ383" t="s">
        <v>2285</v>
      </c>
      <c r="AR383" t="s">
        <v>2286</v>
      </c>
    </row>
    <row r="384" spans="1:44" x14ac:dyDescent="0.3">
      <c r="A384">
        <v>3869</v>
      </c>
      <c r="B384">
        <v>4</v>
      </c>
      <c r="C384">
        <v>4019344</v>
      </c>
      <c r="D384">
        <v>17272</v>
      </c>
      <c r="E384">
        <v>2</v>
      </c>
      <c r="F384">
        <v>670050</v>
      </c>
      <c r="G384" t="s">
        <v>76</v>
      </c>
      <c r="H384" t="s">
        <v>50</v>
      </c>
      <c r="I384">
        <v>0</v>
      </c>
      <c r="J384" s="1">
        <v>407303.57799999998</v>
      </c>
      <c r="K384" s="1">
        <v>282859.658</v>
      </c>
      <c r="L384" s="1">
        <v>407207.55800000002</v>
      </c>
      <c r="M384" s="1">
        <v>282779.41499999998</v>
      </c>
      <c r="N384" t="s">
        <v>40</v>
      </c>
      <c r="P384" t="s">
        <v>40</v>
      </c>
      <c r="Q384">
        <v>0</v>
      </c>
      <c r="R384">
        <v>0</v>
      </c>
      <c r="S384">
        <v>200510</v>
      </c>
      <c r="T384">
        <v>6</v>
      </c>
      <c r="U384">
        <v>6</v>
      </c>
      <c r="V384">
        <v>1</v>
      </c>
      <c r="W384">
        <v>3</v>
      </c>
      <c r="X384" t="s">
        <v>40</v>
      </c>
      <c r="Y384">
        <v>3</v>
      </c>
      <c r="Z384">
        <v>5015</v>
      </c>
      <c r="AA384">
        <v>1</v>
      </c>
      <c r="AB384">
        <v>0</v>
      </c>
      <c r="AC384">
        <v>198.97200000000001</v>
      </c>
      <c r="AD384">
        <v>5059</v>
      </c>
      <c r="AH384">
        <v>0</v>
      </c>
      <c r="AI384">
        <v>0</v>
      </c>
      <c r="AL384" t="s">
        <v>40</v>
      </c>
      <c r="AM384" t="str">
        <f t="shared" si="27"/>
        <v>5015 1</v>
      </c>
      <c r="AN384" s="6" t="s">
        <v>1123</v>
      </c>
      <c r="AO384" s="6" t="s">
        <v>1112</v>
      </c>
      <c r="AQ384" t="s">
        <v>2286</v>
      </c>
      <c r="AR384" t="s">
        <v>2287</v>
      </c>
    </row>
    <row r="385" spans="1:44" x14ac:dyDescent="0.3">
      <c r="A385">
        <v>3869</v>
      </c>
      <c r="B385">
        <v>4</v>
      </c>
      <c r="C385">
        <v>4013501</v>
      </c>
      <c r="D385">
        <v>44400</v>
      </c>
      <c r="E385">
        <v>2</v>
      </c>
      <c r="F385">
        <v>670050</v>
      </c>
      <c r="G385" t="s">
        <v>76</v>
      </c>
      <c r="H385" t="s">
        <v>48</v>
      </c>
      <c r="I385">
        <v>0</v>
      </c>
      <c r="J385" s="1">
        <v>406150.61200000002</v>
      </c>
      <c r="K385" s="1">
        <v>282185.53600000002</v>
      </c>
      <c r="L385" s="1">
        <v>406069.29700000002</v>
      </c>
      <c r="M385" s="1">
        <v>282169.087</v>
      </c>
      <c r="N385" t="s">
        <v>40</v>
      </c>
      <c r="P385" t="s">
        <v>40</v>
      </c>
      <c r="Q385">
        <v>0</v>
      </c>
      <c r="R385">
        <v>0</v>
      </c>
      <c r="S385">
        <v>0</v>
      </c>
      <c r="T385">
        <v>6</v>
      </c>
      <c r="U385">
        <v>6</v>
      </c>
      <c r="V385">
        <v>1</v>
      </c>
      <c r="W385">
        <v>1</v>
      </c>
      <c r="X385" t="s">
        <v>40</v>
      </c>
      <c r="Y385">
        <v>3</v>
      </c>
      <c r="Z385">
        <v>89</v>
      </c>
      <c r="AA385">
        <v>1</v>
      </c>
      <c r="AB385">
        <v>0</v>
      </c>
      <c r="AC385">
        <v>94.716999999999999</v>
      </c>
      <c r="AD385">
        <v>5059</v>
      </c>
      <c r="AH385">
        <v>0</v>
      </c>
      <c r="AI385">
        <v>0</v>
      </c>
      <c r="AL385" t="s">
        <v>40</v>
      </c>
      <c r="AM385" t="str">
        <f t="shared" si="27"/>
        <v>89 1</v>
      </c>
      <c r="AN385" t="str">
        <f t="shared" si="28"/>
        <v>406150.612,282185.536</v>
      </c>
      <c r="AO385" t="str">
        <f t="shared" si="29"/>
        <v>406069.297,282169.087</v>
      </c>
      <c r="AQ385" t="s">
        <v>2278</v>
      </c>
      <c r="AR385" t="s">
        <v>2288</v>
      </c>
    </row>
    <row r="386" spans="1:44" x14ac:dyDescent="0.3">
      <c r="A386">
        <v>3869</v>
      </c>
      <c r="B386">
        <v>4</v>
      </c>
      <c r="C386">
        <v>4019336</v>
      </c>
      <c r="D386">
        <v>17802</v>
      </c>
      <c r="E386">
        <v>2</v>
      </c>
      <c r="F386">
        <v>670050</v>
      </c>
      <c r="G386" t="s">
        <v>76</v>
      </c>
      <c r="H386" t="s">
        <v>50</v>
      </c>
      <c r="I386">
        <v>0</v>
      </c>
      <c r="J386" s="1">
        <v>407303.57799999998</v>
      </c>
      <c r="K386" s="1">
        <v>282859.658</v>
      </c>
      <c r="L386" s="1">
        <v>407329.63099999999</v>
      </c>
      <c r="M386" s="1">
        <v>282910.61800000002</v>
      </c>
      <c r="N386" t="s">
        <v>40</v>
      </c>
      <c r="P386" t="s">
        <v>40</v>
      </c>
      <c r="Q386">
        <v>0</v>
      </c>
      <c r="R386">
        <v>0</v>
      </c>
      <c r="S386">
        <v>0</v>
      </c>
      <c r="T386">
        <v>6</v>
      </c>
      <c r="U386">
        <v>6</v>
      </c>
      <c r="V386">
        <v>1</v>
      </c>
      <c r="W386">
        <v>1</v>
      </c>
      <c r="X386" t="s">
        <v>40</v>
      </c>
      <c r="Y386">
        <v>3</v>
      </c>
      <c r="Z386">
        <v>5028</v>
      </c>
      <c r="AA386">
        <v>1</v>
      </c>
      <c r="AB386">
        <v>0</v>
      </c>
      <c r="AC386">
        <v>99.012</v>
      </c>
      <c r="AD386">
        <v>5059</v>
      </c>
      <c r="AH386">
        <v>0</v>
      </c>
      <c r="AI386">
        <v>0</v>
      </c>
      <c r="AL386" t="s">
        <v>40</v>
      </c>
      <c r="AM386" t="str">
        <f t="shared" si="27"/>
        <v>5028 1</v>
      </c>
      <c r="AN386" t="str">
        <f t="shared" si="28"/>
        <v>407303.578,282859.658</v>
      </c>
      <c r="AO386" t="str">
        <f t="shared" si="29"/>
        <v>407329.631,282910.618</v>
      </c>
      <c r="AQ386" t="s">
        <v>2287</v>
      </c>
      <c r="AR386" t="s">
        <v>2289</v>
      </c>
    </row>
    <row r="387" spans="1:44" x14ac:dyDescent="0.3">
      <c r="A387">
        <v>3869</v>
      </c>
      <c r="B387">
        <v>4</v>
      </c>
      <c r="C387">
        <v>4019335</v>
      </c>
      <c r="D387">
        <v>17770</v>
      </c>
      <c r="E387">
        <v>2</v>
      </c>
      <c r="F387">
        <v>670050</v>
      </c>
      <c r="G387" t="s">
        <v>76</v>
      </c>
      <c r="H387" t="s">
        <v>50</v>
      </c>
      <c r="I387">
        <v>0</v>
      </c>
      <c r="J387" s="1">
        <v>407329.63099999999</v>
      </c>
      <c r="K387" s="1">
        <v>282910.61800000002</v>
      </c>
      <c r="L387" s="1">
        <v>407338.32199999999</v>
      </c>
      <c r="M387" s="1">
        <v>282919.14399999997</v>
      </c>
      <c r="N387" t="s">
        <v>40</v>
      </c>
      <c r="P387" t="s">
        <v>40</v>
      </c>
      <c r="Q387">
        <v>0</v>
      </c>
      <c r="R387">
        <v>0</v>
      </c>
      <c r="S387">
        <v>0</v>
      </c>
      <c r="T387">
        <v>6</v>
      </c>
      <c r="U387">
        <v>6</v>
      </c>
      <c r="V387">
        <v>1</v>
      </c>
      <c r="W387">
        <v>1</v>
      </c>
      <c r="X387" t="s">
        <v>40</v>
      </c>
      <c r="Y387">
        <v>3</v>
      </c>
      <c r="Z387">
        <v>90</v>
      </c>
      <c r="AA387">
        <v>1</v>
      </c>
      <c r="AB387">
        <v>0</v>
      </c>
      <c r="AC387">
        <v>21.370999999999999</v>
      </c>
      <c r="AD387">
        <v>5059</v>
      </c>
      <c r="AH387">
        <v>0</v>
      </c>
      <c r="AI387">
        <v>0</v>
      </c>
      <c r="AL387" t="s">
        <v>40</v>
      </c>
      <c r="AM387" t="str">
        <f t="shared" si="27"/>
        <v>90 1</v>
      </c>
      <c r="AN387" t="str">
        <f t="shared" si="28"/>
        <v>407329.631,282910.618</v>
      </c>
      <c r="AO387" t="str">
        <f t="shared" si="29"/>
        <v>407338.322,282919.144</v>
      </c>
      <c r="AQ387" t="s">
        <v>2289</v>
      </c>
      <c r="AR387" t="s">
        <v>2290</v>
      </c>
    </row>
    <row r="388" spans="1:44" x14ac:dyDescent="0.3">
      <c r="A388">
        <v>3869</v>
      </c>
      <c r="B388">
        <v>7</v>
      </c>
      <c r="C388">
        <v>4013509</v>
      </c>
      <c r="D388">
        <v>71424</v>
      </c>
      <c r="E388">
        <v>2</v>
      </c>
      <c r="F388">
        <v>670050</v>
      </c>
      <c r="G388" t="s">
        <v>76</v>
      </c>
      <c r="H388" t="s">
        <v>48</v>
      </c>
      <c r="I388">
        <v>0</v>
      </c>
      <c r="J388" s="1">
        <v>406006.935</v>
      </c>
      <c r="K388" s="1">
        <v>282144.65299999999</v>
      </c>
      <c r="L388" s="1">
        <v>406069.29700000002</v>
      </c>
      <c r="M388" s="1">
        <v>282169.087</v>
      </c>
      <c r="N388" t="s">
        <v>40</v>
      </c>
      <c r="P388" t="s">
        <v>40</v>
      </c>
      <c r="Q388">
        <v>0</v>
      </c>
      <c r="R388">
        <v>0</v>
      </c>
      <c r="S388">
        <v>201304</v>
      </c>
      <c r="T388">
        <v>6</v>
      </c>
      <c r="U388">
        <v>6</v>
      </c>
      <c r="V388">
        <v>1</v>
      </c>
      <c r="W388">
        <v>1</v>
      </c>
      <c r="X388" t="s">
        <v>40</v>
      </c>
      <c r="Y388">
        <v>3</v>
      </c>
      <c r="Z388">
        <v>5023</v>
      </c>
      <c r="AA388">
        <v>1</v>
      </c>
      <c r="AB388">
        <v>0</v>
      </c>
      <c r="AC388">
        <v>68.120999999999995</v>
      </c>
      <c r="AD388">
        <v>8022</v>
      </c>
      <c r="AE388" t="s">
        <v>49</v>
      </c>
      <c r="AH388">
        <v>0</v>
      </c>
      <c r="AI388">
        <v>2</v>
      </c>
      <c r="AL388" t="s">
        <v>40</v>
      </c>
      <c r="AM388" t="str">
        <f t="shared" si="27"/>
        <v>5023 1</v>
      </c>
      <c r="AN388" t="str">
        <f t="shared" si="28"/>
        <v>406006.935,282144.653</v>
      </c>
      <c r="AO388" t="str">
        <f t="shared" si="29"/>
        <v>406069.297,282169.087</v>
      </c>
      <c r="AQ388" t="s">
        <v>2291</v>
      </c>
      <c r="AR388" t="s">
        <v>2288</v>
      </c>
    </row>
    <row r="389" spans="1:44" x14ac:dyDescent="0.3">
      <c r="A389">
        <v>3869</v>
      </c>
      <c r="B389">
        <v>4</v>
      </c>
      <c r="C389">
        <v>4019278</v>
      </c>
      <c r="D389">
        <v>44329</v>
      </c>
      <c r="E389">
        <v>2</v>
      </c>
      <c r="F389">
        <v>670050</v>
      </c>
      <c r="G389" t="s">
        <v>76</v>
      </c>
      <c r="H389" t="s">
        <v>50</v>
      </c>
      <c r="I389">
        <v>0</v>
      </c>
      <c r="J389" s="1">
        <v>407031.05800000002</v>
      </c>
      <c r="K389" s="1">
        <v>282646.94799999997</v>
      </c>
      <c r="L389" s="1">
        <v>407046.35200000001</v>
      </c>
      <c r="M389" s="1">
        <v>282612.37400000001</v>
      </c>
      <c r="N389" t="s">
        <v>40</v>
      </c>
      <c r="P389" t="s">
        <v>40</v>
      </c>
      <c r="Q389">
        <v>0</v>
      </c>
      <c r="R389">
        <v>0</v>
      </c>
      <c r="S389">
        <v>0</v>
      </c>
      <c r="T389">
        <v>6</v>
      </c>
      <c r="U389">
        <v>6</v>
      </c>
      <c r="V389">
        <v>1</v>
      </c>
      <c r="W389">
        <v>3</v>
      </c>
      <c r="X389" t="s">
        <v>40</v>
      </c>
      <c r="Y389">
        <v>3</v>
      </c>
      <c r="Z389">
        <v>5017</v>
      </c>
      <c r="AA389">
        <v>1</v>
      </c>
      <c r="AB389">
        <v>0</v>
      </c>
      <c r="AC389">
        <v>50.091000000000001</v>
      </c>
      <c r="AD389">
        <v>5059</v>
      </c>
      <c r="AH389">
        <v>0</v>
      </c>
      <c r="AI389">
        <v>0</v>
      </c>
      <c r="AL389" t="s">
        <v>40</v>
      </c>
      <c r="AM389" t="str">
        <f t="shared" si="27"/>
        <v>5017 1</v>
      </c>
      <c r="AN389" t="str">
        <f t="shared" si="28"/>
        <v>407031.058,282646.948</v>
      </c>
      <c r="AO389" t="str">
        <f t="shared" si="29"/>
        <v>407046.352,282612.374</v>
      </c>
      <c r="AQ389" t="s">
        <v>2253</v>
      </c>
      <c r="AR389" t="s">
        <v>728</v>
      </c>
    </row>
    <row r="390" spans="1:44" x14ac:dyDescent="0.3">
      <c r="A390">
        <v>3869</v>
      </c>
      <c r="B390">
        <v>4</v>
      </c>
      <c r="C390">
        <v>4019406</v>
      </c>
      <c r="D390">
        <v>47874</v>
      </c>
      <c r="E390">
        <v>2</v>
      </c>
      <c r="F390">
        <v>670050</v>
      </c>
      <c r="G390" t="s">
        <v>76</v>
      </c>
      <c r="H390" t="s">
        <v>50</v>
      </c>
      <c r="I390">
        <v>0</v>
      </c>
      <c r="J390" s="1">
        <v>407303.57799999998</v>
      </c>
      <c r="K390" s="1">
        <v>282859.658</v>
      </c>
      <c r="L390" s="1">
        <v>407304.66100000002</v>
      </c>
      <c r="M390" s="1">
        <v>282860.60600000003</v>
      </c>
      <c r="N390" t="s">
        <v>40</v>
      </c>
      <c r="P390" t="s">
        <v>40</v>
      </c>
      <c r="Q390">
        <v>0</v>
      </c>
      <c r="R390">
        <v>0</v>
      </c>
      <c r="S390">
        <v>0</v>
      </c>
      <c r="T390">
        <v>6</v>
      </c>
      <c r="U390">
        <v>6</v>
      </c>
      <c r="V390">
        <v>1</v>
      </c>
      <c r="W390">
        <v>1</v>
      </c>
      <c r="X390" t="s">
        <v>40</v>
      </c>
      <c r="Y390">
        <v>3</v>
      </c>
      <c r="Z390">
        <v>5028</v>
      </c>
      <c r="AA390">
        <v>1</v>
      </c>
      <c r="AB390">
        <v>0</v>
      </c>
      <c r="AC390">
        <v>1.4390000000000001</v>
      </c>
      <c r="AD390">
        <v>5059</v>
      </c>
      <c r="AH390">
        <v>0</v>
      </c>
      <c r="AI390">
        <v>0</v>
      </c>
      <c r="AL390" t="s">
        <v>40</v>
      </c>
      <c r="AM390" t="str">
        <f t="shared" si="27"/>
        <v>5028 1</v>
      </c>
      <c r="AN390" t="str">
        <f t="shared" si="28"/>
        <v>407303.578,282859.658</v>
      </c>
      <c r="AO390" t="str">
        <f t="shared" si="29"/>
        <v>407304.661,282860.606</v>
      </c>
      <c r="AQ390" t="s">
        <v>2287</v>
      </c>
      <c r="AR390" t="s">
        <v>729</v>
      </c>
    </row>
    <row r="391" spans="1:44" x14ac:dyDescent="0.3">
      <c r="A391">
        <v>3869</v>
      </c>
      <c r="B391">
        <v>4</v>
      </c>
      <c r="C391">
        <v>4019321</v>
      </c>
      <c r="D391">
        <v>17293</v>
      </c>
      <c r="E391">
        <v>2</v>
      </c>
      <c r="F391">
        <v>670050</v>
      </c>
      <c r="G391" t="s">
        <v>76</v>
      </c>
      <c r="H391" t="s">
        <v>50</v>
      </c>
      <c r="I391">
        <v>0</v>
      </c>
      <c r="J391" s="1">
        <v>407216.54399999999</v>
      </c>
      <c r="K391" s="1">
        <v>282950.75300000003</v>
      </c>
      <c r="L391" s="1">
        <v>407227.04100000003</v>
      </c>
      <c r="M391" s="1">
        <v>282947.98700000002</v>
      </c>
      <c r="N391" t="s">
        <v>40</v>
      </c>
      <c r="P391" t="s">
        <v>40</v>
      </c>
      <c r="Q391">
        <v>0</v>
      </c>
      <c r="R391">
        <v>0</v>
      </c>
      <c r="S391">
        <v>0</v>
      </c>
      <c r="T391">
        <v>6</v>
      </c>
      <c r="U391">
        <v>6</v>
      </c>
      <c r="V391">
        <v>1</v>
      </c>
      <c r="W391">
        <v>1</v>
      </c>
      <c r="X391" t="s">
        <v>40</v>
      </c>
      <c r="Y391">
        <v>3</v>
      </c>
      <c r="Z391">
        <v>5028</v>
      </c>
      <c r="AA391">
        <v>1</v>
      </c>
      <c r="AB391">
        <v>0</v>
      </c>
      <c r="AC391">
        <v>10.855</v>
      </c>
      <c r="AD391">
        <v>5059</v>
      </c>
      <c r="AH391">
        <v>0</v>
      </c>
      <c r="AI391">
        <v>0</v>
      </c>
      <c r="AL391" t="s">
        <v>40</v>
      </c>
      <c r="AM391" t="str">
        <f t="shared" ref="AM391:AM421" si="30">_xlfn.CONCAT(Z391, " ",AA391)</f>
        <v>5028 1</v>
      </c>
      <c r="AN391" t="str">
        <f t="shared" si="28"/>
        <v>407216.544,282950.753</v>
      </c>
      <c r="AO391" t="str">
        <f t="shared" si="29"/>
        <v>407227.041,282947.987</v>
      </c>
      <c r="AQ391" t="s">
        <v>2292</v>
      </c>
      <c r="AR391" t="s">
        <v>2293</v>
      </c>
    </row>
    <row r="392" spans="1:44" x14ac:dyDescent="0.3">
      <c r="A392">
        <v>3869</v>
      </c>
      <c r="B392">
        <v>4</v>
      </c>
      <c r="C392">
        <v>4019320</v>
      </c>
      <c r="D392">
        <v>17301</v>
      </c>
      <c r="E392">
        <v>2</v>
      </c>
      <c r="F392">
        <v>670050</v>
      </c>
      <c r="G392" t="s">
        <v>76</v>
      </c>
      <c r="H392" t="s">
        <v>50</v>
      </c>
      <c r="I392">
        <v>0</v>
      </c>
      <c r="J392" s="1">
        <v>407167.13900000002</v>
      </c>
      <c r="K392" s="1">
        <v>282963.55300000001</v>
      </c>
      <c r="L392" s="1">
        <v>407216.54399999999</v>
      </c>
      <c r="M392" s="1">
        <v>282950.75300000003</v>
      </c>
      <c r="N392" t="s">
        <v>40</v>
      </c>
      <c r="P392" t="s">
        <v>40</v>
      </c>
      <c r="Q392">
        <v>0</v>
      </c>
      <c r="R392">
        <v>0</v>
      </c>
      <c r="S392">
        <v>0</v>
      </c>
      <c r="T392">
        <v>6</v>
      </c>
      <c r="U392">
        <v>6</v>
      </c>
      <c r="V392">
        <v>1</v>
      </c>
      <c r="W392">
        <v>1</v>
      </c>
      <c r="X392" t="s">
        <v>40</v>
      </c>
      <c r="Y392">
        <v>3</v>
      </c>
      <c r="Z392">
        <v>89</v>
      </c>
      <c r="AA392">
        <v>1</v>
      </c>
      <c r="AB392">
        <v>0</v>
      </c>
      <c r="AC392">
        <v>68.275999999999996</v>
      </c>
      <c r="AD392">
        <v>5059</v>
      </c>
      <c r="AH392">
        <v>0</v>
      </c>
      <c r="AI392">
        <v>0</v>
      </c>
      <c r="AL392" t="s">
        <v>40</v>
      </c>
      <c r="AM392" t="str">
        <f t="shared" si="30"/>
        <v>89 1</v>
      </c>
      <c r="AN392" s="6" t="s">
        <v>1116</v>
      </c>
      <c r="AO392" s="6" t="s">
        <v>1117</v>
      </c>
      <c r="AQ392" t="s">
        <v>2292</v>
      </c>
      <c r="AR392" t="s">
        <v>2279</v>
      </c>
    </row>
    <row r="393" spans="1:44" x14ac:dyDescent="0.3">
      <c r="A393">
        <v>3869</v>
      </c>
      <c r="B393">
        <v>4</v>
      </c>
      <c r="C393">
        <v>4019297</v>
      </c>
      <c r="D393">
        <v>17355</v>
      </c>
      <c r="E393">
        <v>2</v>
      </c>
      <c r="F393">
        <v>670050</v>
      </c>
      <c r="G393" t="s">
        <v>76</v>
      </c>
      <c r="H393" t="s">
        <v>50</v>
      </c>
      <c r="I393">
        <v>0</v>
      </c>
      <c r="J393" s="1">
        <v>407063.57699999999</v>
      </c>
      <c r="K393" s="1">
        <v>282990.53000000003</v>
      </c>
      <c r="L393" s="1">
        <v>407148.37900000002</v>
      </c>
      <c r="M393" s="1">
        <v>282968.51</v>
      </c>
      <c r="N393" t="s">
        <v>40</v>
      </c>
      <c r="P393" t="s">
        <v>40</v>
      </c>
      <c r="Q393">
        <v>0</v>
      </c>
      <c r="R393">
        <v>0</v>
      </c>
      <c r="S393">
        <v>0</v>
      </c>
      <c r="T393">
        <v>6</v>
      </c>
      <c r="U393">
        <v>6</v>
      </c>
      <c r="V393">
        <v>1</v>
      </c>
      <c r="W393">
        <v>1</v>
      </c>
      <c r="X393" t="s">
        <v>40</v>
      </c>
      <c r="Y393">
        <v>3</v>
      </c>
      <c r="Z393">
        <v>89</v>
      </c>
      <c r="AA393">
        <v>1</v>
      </c>
      <c r="AB393">
        <v>0</v>
      </c>
      <c r="AC393">
        <v>90.796000000000006</v>
      </c>
      <c r="AD393">
        <v>5059</v>
      </c>
      <c r="AH393">
        <v>0</v>
      </c>
      <c r="AI393">
        <v>0</v>
      </c>
      <c r="AL393" t="s">
        <v>40</v>
      </c>
      <c r="AM393" t="str">
        <f t="shared" si="30"/>
        <v>89 1</v>
      </c>
      <c r="AN393" t="str">
        <f t="shared" ref="AN393:AN421" si="31">ROUND(J393,3)&amp;","&amp;ROUND(K393,3)</f>
        <v>407063.577,282990.53</v>
      </c>
      <c r="AO393" t="str">
        <f t="shared" ref="AO393:AO421" si="32">ROUND(L393,3)&amp;","&amp;ROUND(M393,3)</f>
        <v>407148.379,282968.51</v>
      </c>
      <c r="AQ393" t="s">
        <v>2280</v>
      </c>
      <c r="AR393" t="s">
        <v>2275</v>
      </c>
    </row>
    <row r="394" spans="1:44" x14ac:dyDescent="0.3">
      <c r="A394">
        <v>3869</v>
      </c>
      <c r="B394">
        <v>4</v>
      </c>
      <c r="C394">
        <v>4019322</v>
      </c>
      <c r="D394">
        <v>17943</v>
      </c>
      <c r="E394">
        <v>2</v>
      </c>
      <c r="F394">
        <v>670050</v>
      </c>
      <c r="G394" t="s">
        <v>76</v>
      </c>
      <c r="H394" t="s">
        <v>50</v>
      </c>
      <c r="I394">
        <v>0</v>
      </c>
      <c r="J394" s="1">
        <v>407227.04100000003</v>
      </c>
      <c r="K394" s="1">
        <v>282947.98700000002</v>
      </c>
      <c r="L394" s="1">
        <v>407338.32199999999</v>
      </c>
      <c r="M394" s="1">
        <v>282919.14399999997</v>
      </c>
      <c r="N394" t="s">
        <v>40</v>
      </c>
      <c r="P394" t="s">
        <v>40</v>
      </c>
      <c r="Q394">
        <v>0</v>
      </c>
      <c r="R394">
        <v>0</v>
      </c>
      <c r="S394">
        <v>200501</v>
      </c>
      <c r="T394">
        <v>6</v>
      </c>
      <c r="U394">
        <v>6</v>
      </c>
      <c r="V394">
        <v>1</v>
      </c>
      <c r="W394">
        <v>1</v>
      </c>
      <c r="X394" t="s">
        <v>40</v>
      </c>
      <c r="Y394">
        <v>3</v>
      </c>
      <c r="Z394">
        <v>89</v>
      </c>
      <c r="AA394">
        <v>1</v>
      </c>
      <c r="AB394">
        <v>0</v>
      </c>
      <c r="AC394">
        <v>114.958</v>
      </c>
      <c r="AD394">
        <v>5059</v>
      </c>
      <c r="AH394">
        <v>0</v>
      </c>
      <c r="AI394">
        <v>0</v>
      </c>
      <c r="AL394" t="s">
        <v>40</v>
      </c>
      <c r="AM394" t="str">
        <f t="shared" si="30"/>
        <v>89 1</v>
      </c>
      <c r="AN394" t="str">
        <f t="shared" si="31"/>
        <v>407227.041,282947.987</v>
      </c>
      <c r="AO394" t="str">
        <f t="shared" si="32"/>
        <v>407338.322,282919.144</v>
      </c>
      <c r="AQ394" t="s">
        <v>2293</v>
      </c>
      <c r="AR394" t="s">
        <v>2290</v>
      </c>
    </row>
    <row r="395" spans="1:44" x14ac:dyDescent="0.3">
      <c r="A395">
        <v>3869</v>
      </c>
      <c r="B395">
        <v>4</v>
      </c>
      <c r="C395">
        <v>4026860</v>
      </c>
      <c r="D395">
        <v>22510</v>
      </c>
      <c r="E395">
        <v>2</v>
      </c>
      <c r="F395">
        <v>670050</v>
      </c>
      <c r="G395" t="s">
        <v>76</v>
      </c>
      <c r="H395" t="s">
        <v>41</v>
      </c>
      <c r="I395">
        <v>0</v>
      </c>
      <c r="J395" s="1">
        <v>405146.73300000001</v>
      </c>
      <c r="K395" s="1">
        <v>281000.49599999998</v>
      </c>
      <c r="L395" s="1">
        <v>405146.79700000002</v>
      </c>
      <c r="M395" s="1">
        <v>281000</v>
      </c>
      <c r="N395" t="s">
        <v>40</v>
      </c>
      <c r="P395" t="s">
        <v>40</v>
      </c>
      <c r="Q395">
        <v>0</v>
      </c>
      <c r="R395">
        <v>0</v>
      </c>
      <c r="S395">
        <v>0</v>
      </c>
      <c r="T395">
        <v>6</v>
      </c>
      <c r="U395">
        <v>6</v>
      </c>
      <c r="V395">
        <v>1</v>
      </c>
      <c r="W395">
        <v>1</v>
      </c>
      <c r="X395" t="s">
        <v>40</v>
      </c>
      <c r="Y395">
        <v>3</v>
      </c>
      <c r="Z395">
        <v>91</v>
      </c>
      <c r="AA395">
        <v>1</v>
      </c>
      <c r="AB395">
        <v>0</v>
      </c>
      <c r="AC395">
        <v>60.926000000000002</v>
      </c>
      <c r="AD395">
        <v>5059</v>
      </c>
      <c r="AH395">
        <v>0</v>
      </c>
      <c r="AI395">
        <v>0</v>
      </c>
      <c r="AL395" t="s">
        <v>40</v>
      </c>
      <c r="AM395" t="str">
        <f t="shared" si="30"/>
        <v>91 1</v>
      </c>
      <c r="AN395" s="6" t="s">
        <v>1091</v>
      </c>
      <c r="AO395" s="6" t="s">
        <v>1681</v>
      </c>
      <c r="AQ395" t="s">
        <v>2257</v>
      </c>
      <c r="AR395" t="s">
        <v>2273</v>
      </c>
    </row>
    <row r="396" spans="1:44" x14ac:dyDescent="0.3">
      <c r="A396">
        <v>3869</v>
      </c>
      <c r="B396">
        <v>4</v>
      </c>
      <c r="C396">
        <v>4019910</v>
      </c>
      <c r="D396">
        <v>18056</v>
      </c>
      <c r="E396">
        <v>2</v>
      </c>
      <c r="F396">
        <v>670050</v>
      </c>
      <c r="G396" t="s">
        <v>76</v>
      </c>
      <c r="H396" t="s">
        <v>54</v>
      </c>
      <c r="I396">
        <v>0</v>
      </c>
      <c r="J396" s="1">
        <v>405991.89600000001</v>
      </c>
      <c r="K396" s="1">
        <v>282144.83199999999</v>
      </c>
      <c r="L396" s="1">
        <v>405991.984</v>
      </c>
      <c r="M396" s="1">
        <v>282143.31199999998</v>
      </c>
      <c r="N396" t="s">
        <v>40</v>
      </c>
      <c r="P396" t="s">
        <v>40</v>
      </c>
      <c r="Q396">
        <v>0</v>
      </c>
      <c r="R396">
        <v>0</v>
      </c>
      <c r="S396">
        <v>0</v>
      </c>
      <c r="T396">
        <v>6</v>
      </c>
      <c r="U396">
        <v>6</v>
      </c>
      <c r="V396">
        <v>1</v>
      </c>
      <c r="W396">
        <v>3</v>
      </c>
      <c r="X396" t="s">
        <v>40</v>
      </c>
      <c r="Y396">
        <v>3</v>
      </c>
      <c r="Z396">
        <v>169</v>
      </c>
      <c r="AA396">
        <v>1</v>
      </c>
      <c r="AB396">
        <v>0</v>
      </c>
      <c r="AC396">
        <v>2.8929999999999998</v>
      </c>
      <c r="AD396">
        <v>5059</v>
      </c>
      <c r="AH396">
        <v>0</v>
      </c>
      <c r="AI396">
        <v>0</v>
      </c>
      <c r="AL396" t="s">
        <v>40</v>
      </c>
      <c r="AM396" t="str">
        <f t="shared" si="30"/>
        <v>169 1</v>
      </c>
      <c r="AN396" s="6" t="s">
        <v>1680</v>
      </c>
      <c r="AO396" s="6" t="s">
        <v>308</v>
      </c>
      <c r="AQ396" t="s">
        <v>2294</v>
      </c>
      <c r="AR396" t="s">
        <v>722</v>
      </c>
    </row>
    <row r="397" spans="1:44" x14ac:dyDescent="0.3">
      <c r="A397">
        <v>3869</v>
      </c>
      <c r="B397">
        <v>4</v>
      </c>
      <c r="C397">
        <v>4019871</v>
      </c>
      <c r="D397">
        <v>18325</v>
      </c>
      <c r="E397">
        <v>2</v>
      </c>
      <c r="F397">
        <v>670050</v>
      </c>
      <c r="G397" t="s">
        <v>76</v>
      </c>
      <c r="H397" t="s">
        <v>54</v>
      </c>
      <c r="I397">
        <v>0</v>
      </c>
      <c r="J397" s="1">
        <v>405775.93599999999</v>
      </c>
      <c r="K397" s="1">
        <v>282026.68599999999</v>
      </c>
      <c r="L397" s="1">
        <v>405991.78700000001</v>
      </c>
      <c r="M397" s="1">
        <v>282141.10100000002</v>
      </c>
      <c r="N397" t="s">
        <v>40</v>
      </c>
      <c r="P397" t="s">
        <v>40</v>
      </c>
      <c r="Q397">
        <v>0</v>
      </c>
      <c r="R397">
        <v>0</v>
      </c>
      <c r="S397">
        <v>200612</v>
      </c>
      <c r="T397">
        <v>6</v>
      </c>
      <c r="U397">
        <v>6</v>
      </c>
      <c r="V397">
        <v>1</v>
      </c>
      <c r="W397">
        <v>1</v>
      </c>
      <c r="X397" t="s">
        <v>40</v>
      </c>
      <c r="Y397">
        <v>3</v>
      </c>
      <c r="Z397">
        <v>5023</v>
      </c>
      <c r="AA397">
        <v>1</v>
      </c>
      <c r="AB397">
        <v>0</v>
      </c>
      <c r="AC397">
        <v>251.91300000000001</v>
      </c>
      <c r="AD397">
        <v>5059</v>
      </c>
      <c r="AH397">
        <v>0</v>
      </c>
      <c r="AI397">
        <v>0</v>
      </c>
      <c r="AL397" t="s">
        <v>40</v>
      </c>
      <c r="AM397" t="str">
        <f t="shared" si="30"/>
        <v>5023 1</v>
      </c>
      <c r="AN397" t="str">
        <f t="shared" si="31"/>
        <v>405775.936,282026.686</v>
      </c>
      <c r="AO397" t="str">
        <f t="shared" si="32"/>
        <v>405991.787,282141.101</v>
      </c>
      <c r="AQ397" t="s">
        <v>2295</v>
      </c>
      <c r="AR397" t="s">
        <v>721</v>
      </c>
    </row>
    <row r="398" spans="1:44" x14ac:dyDescent="0.3">
      <c r="A398">
        <v>3869</v>
      </c>
      <c r="B398">
        <v>4</v>
      </c>
      <c r="C398">
        <v>4008473</v>
      </c>
      <c r="D398">
        <v>7025</v>
      </c>
      <c r="E398">
        <v>2</v>
      </c>
      <c r="F398">
        <v>670050</v>
      </c>
      <c r="G398" t="s">
        <v>76</v>
      </c>
      <c r="H398" t="s">
        <v>71</v>
      </c>
      <c r="I398">
        <v>0</v>
      </c>
      <c r="J398" s="1">
        <v>406920.33399999997</v>
      </c>
      <c r="K398" s="1">
        <v>283120.84100000001</v>
      </c>
      <c r="L398" s="1">
        <v>406917.63099999999</v>
      </c>
      <c r="M398" s="1">
        <v>283127.50099999999</v>
      </c>
      <c r="N398" t="s">
        <v>40</v>
      </c>
      <c r="P398" t="s">
        <v>40</v>
      </c>
      <c r="Q398">
        <v>0</v>
      </c>
      <c r="R398">
        <v>0</v>
      </c>
      <c r="S398">
        <v>200709</v>
      </c>
      <c r="T398">
        <v>6</v>
      </c>
      <c r="U398">
        <v>6</v>
      </c>
      <c r="V398">
        <v>1</v>
      </c>
      <c r="W398">
        <v>1</v>
      </c>
      <c r="X398" t="s">
        <v>40</v>
      </c>
      <c r="Y398">
        <v>3</v>
      </c>
      <c r="Z398">
        <v>5028</v>
      </c>
      <c r="AA398">
        <v>1</v>
      </c>
      <c r="AB398">
        <v>0</v>
      </c>
      <c r="AC398">
        <v>9.8350000000000009</v>
      </c>
      <c r="AD398">
        <v>5059</v>
      </c>
      <c r="AH398">
        <v>0</v>
      </c>
      <c r="AI398">
        <v>0</v>
      </c>
      <c r="AL398" t="s">
        <v>40</v>
      </c>
      <c r="AM398" t="str">
        <f t="shared" si="30"/>
        <v>5028 1</v>
      </c>
      <c r="AN398" t="str">
        <f t="shared" si="31"/>
        <v>406920.334,283120.841</v>
      </c>
      <c r="AO398" t="str">
        <f t="shared" si="32"/>
        <v>406917.631,283127.501</v>
      </c>
      <c r="AQ398" t="s">
        <v>2281</v>
      </c>
      <c r="AR398" t="s">
        <v>720</v>
      </c>
    </row>
    <row r="399" spans="1:44" x14ac:dyDescent="0.3">
      <c r="A399">
        <v>3869</v>
      </c>
      <c r="B399">
        <v>4</v>
      </c>
      <c r="C399">
        <v>4012579</v>
      </c>
      <c r="D399">
        <v>49575</v>
      </c>
      <c r="E399">
        <v>2</v>
      </c>
      <c r="F399">
        <v>670050</v>
      </c>
      <c r="G399" t="s">
        <v>76</v>
      </c>
      <c r="H399" t="s">
        <v>48</v>
      </c>
      <c r="I399">
        <v>0</v>
      </c>
      <c r="J399" s="1">
        <v>406006.935</v>
      </c>
      <c r="K399" s="1">
        <v>282144.65299999999</v>
      </c>
      <c r="L399" s="1">
        <v>406000</v>
      </c>
      <c r="M399" s="1">
        <v>282141.94099999999</v>
      </c>
      <c r="N399" t="s">
        <v>40</v>
      </c>
      <c r="P399" t="s">
        <v>40</v>
      </c>
      <c r="Q399">
        <v>0</v>
      </c>
      <c r="R399">
        <v>0</v>
      </c>
      <c r="S399">
        <v>0</v>
      </c>
      <c r="T399">
        <v>6</v>
      </c>
      <c r="U399">
        <v>6</v>
      </c>
      <c r="V399">
        <v>1</v>
      </c>
      <c r="W399">
        <v>1</v>
      </c>
      <c r="X399" t="s">
        <v>40</v>
      </c>
      <c r="Y399">
        <v>3</v>
      </c>
      <c r="Z399">
        <v>89</v>
      </c>
      <c r="AA399">
        <v>1</v>
      </c>
      <c r="AB399">
        <v>0</v>
      </c>
      <c r="AC399">
        <v>15.318</v>
      </c>
      <c r="AD399">
        <v>5059</v>
      </c>
      <c r="AH399">
        <v>0</v>
      </c>
      <c r="AI399">
        <v>0</v>
      </c>
      <c r="AL399" t="s">
        <v>40</v>
      </c>
      <c r="AM399" t="str">
        <f t="shared" si="30"/>
        <v>89 1</v>
      </c>
      <c r="AN399" s="6" t="s">
        <v>307</v>
      </c>
      <c r="AO399" s="6" t="s">
        <v>1114</v>
      </c>
      <c r="AQ399" t="s">
        <v>722</v>
      </c>
      <c r="AR399" t="s">
        <v>2291</v>
      </c>
    </row>
    <row r="400" spans="1:44" x14ac:dyDescent="0.3">
      <c r="A400">
        <v>3869</v>
      </c>
      <c r="B400">
        <v>4</v>
      </c>
      <c r="C400">
        <v>4019452</v>
      </c>
      <c r="D400">
        <v>48984</v>
      </c>
      <c r="E400">
        <v>2</v>
      </c>
      <c r="F400">
        <v>670050</v>
      </c>
      <c r="G400" t="s">
        <v>76</v>
      </c>
      <c r="H400" t="s">
        <v>50</v>
      </c>
      <c r="I400">
        <v>0</v>
      </c>
      <c r="J400" s="1">
        <v>407188.94900000002</v>
      </c>
      <c r="K400" s="1">
        <v>282755.98499999999</v>
      </c>
      <c r="L400" s="1">
        <v>407187.76899999997</v>
      </c>
      <c r="M400" s="1">
        <v>282753.05599999998</v>
      </c>
      <c r="N400" t="s">
        <v>40</v>
      </c>
      <c r="P400" t="s">
        <v>40</v>
      </c>
      <c r="Q400">
        <v>0</v>
      </c>
      <c r="R400">
        <v>0</v>
      </c>
      <c r="S400">
        <v>200510</v>
      </c>
      <c r="T400">
        <v>6</v>
      </c>
      <c r="U400">
        <v>6</v>
      </c>
      <c r="V400">
        <v>1</v>
      </c>
      <c r="W400">
        <v>3</v>
      </c>
      <c r="X400" t="s">
        <v>40</v>
      </c>
      <c r="Y400">
        <v>3</v>
      </c>
      <c r="Z400">
        <v>5024</v>
      </c>
      <c r="AA400">
        <v>1</v>
      </c>
      <c r="AB400">
        <v>0</v>
      </c>
      <c r="AC400">
        <v>3.3079999999999998</v>
      </c>
      <c r="AD400">
        <v>5059</v>
      </c>
      <c r="AH400">
        <v>0</v>
      </c>
      <c r="AI400">
        <v>0</v>
      </c>
      <c r="AL400" t="s">
        <v>40</v>
      </c>
      <c r="AM400" t="str">
        <f t="shared" si="30"/>
        <v>5024 1</v>
      </c>
      <c r="AN400" t="str">
        <f t="shared" si="31"/>
        <v>407188.949,282755.985</v>
      </c>
      <c r="AO400" t="str">
        <f t="shared" si="32"/>
        <v>407187.769,282753.056</v>
      </c>
      <c r="AQ400" t="s">
        <v>2285</v>
      </c>
      <c r="AR400" t="s">
        <v>2296</v>
      </c>
    </row>
    <row r="401" spans="1:44" x14ac:dyDescent="0.3">
      <c r="A401">
        <v>3869</v>
      </c>
      <c r="B401">
        <v>4</v>
      </c>
      <c r="C401">
        <v>4019426</v>
      </c>
      <c r="D401">
        <v>17809</v>
      </c>
      <c r="E401">
        <v>2</v>
      </c>
      <c r="F401">
        <v>670050</v>
      </c>
      <c r="G401" t="s">
        <v>76</v>
      </c>
      <c r="H401" t="s">
        <v>50</v>
      </c>
      <c r="I401">
        <v>0</v>
      </c>
      <c r="J401" s="1">
        <v>407348.84600000002</v>
      </c>
      <c r="K401" s="1">
        <v>282916.37199999997</v>
      </c>
      <c r="L401" s="1">
        <v>407469.32900000003</v>
      </c>
      <c r="M401" s="1">
        <v>282886.46100000001</v>
      </c>
      <c r="N401" t="s">
        <v>40</v>
      </c>
      <c r="P401" t="s">
        <v>40</v>
      </c>
      <c r="Q401">
        <v>0</v>
      </c>
      <c r="R401">
        <v>0</v>
      </c>
      <c r="S401">
        <v>0</v>
      </c>
      <c r="T401">
        <v>6</v>
      </c>
      <c r="U401">
        <v>6</v>
      </c>
      <c r="V401">
        <v>1</v>
      </c>
      <c r="W401">
        <v>1</v>
      </c>
      <c r="X401" t="s">
        <v>40</v>
      </c>
      <c r="Y401">
        <v>3</v>
      </c>
      <c r="Z401">
        <v>89</v>
      </c>
      <c r="AA401">
        <v>1</v>
      </c>
      <c r="AB401">
        <v>0</v>
      </c>
      <c r="AC401">
        <v>1052.6300000000001</v>
      </c>
      <c r="AD401">
        <v>5059</v>
      </c>
      <c r="AH401">
        <v>0</v>
      </c>
      <c r="AI401">
        <v>0</v>
      </c>
      <c r="AL401" t="s">
        <v>40</v>
      </c>
      <c r="AM401" t="str">
        <f t="shared" si="30"/>
        <v>89 1</v>
      </c>
      <c r="AN401" s="6" t="s">
        <v>1094</v>
      </c>
      <c r="AO401" s="6" t="s">
        <v>1124</v>
      </c>
      <c r="AQ401" t="s">
        <v>2260</v>
      </c>
      <c r="AR401" t="s">
        <v>2297</v>
      </c>
    </row>
    <row r="402" spans="1:44" x14ac:dyDescent="0.3">
      <c r="A402">
        <v>3869</v>
      </c>
      <c r="B402">
        <v>4</v>
      </c>
      <c r="C402">
        <v>4019425</v>
      </c>
      <c r="D402">
        <v>17771</v>
      </c>
      <c r="E402">
        <v>2</v>
      </c>
      <c r="F402">
        <v>670050</v>
      </c>
      <c r="G402" t="s">
        <v>76</v>
      </c>
      <c r="H402" t="s">
        <v>50</v>
      </c>
      <c r="I402">
        <v>0</v>
      </c>
      <c r="J402" s="1">
        <v>407348.84600000002</v>
      </c>
      <c r="K402" s="1">
        <v>282916.37199999997</v>
      </c>
      <c r="L402" s="1">
        <v>407328.77500000002</v>
      </c>
      <c r="M402" s="1">
        <v>282910.54300000001</v>
      </c>
      <c r="N402" t="s">
        <v>40</v>
      </c>
      <c r="P402" t="s">
        <v>40</v>
      </c>
      <c r="Q402">
        <v>0</v>
      </c>
      <c r="R402">
        <v>0</v>
      </c>
      <c r="S402">
        <v>0</v>
      </c>
      <c r="T402">
        <v>6</v>
      </c>
      <c r="U402">
        <v>6</v>
      </c>
      <c r="V402">
        <v>1</v>
      </c>
      <c r="W402">
        <v>1</v>
      </c>
      <c r="X402" t="s">
        <v>40</v>
      </c>
      <c r="Y402">
        <v>3</v>
      </c>
      <c r="Z402">
        <v>90</v>
      </c>
      <c r="AA402">
        <v>1</v>
      </c>
      <c r="AB402">
        <v>0</v>
      </c>
      <c r="AC402">
        <v>28.353000000000002</v>
      </c>
      <c r="AD402">
        <v>5059</v>
      </c>
      <c r="AH402">
        <v>0</v>
      </c>
      <c r="AI402">
        <v>0</v>
      </c>
      <c r="AL402" t="s">
        <v>40</v>
      </c>
      <c r="AM402" t="str">
        <f t="shared" si="30"/>
        <v>90 1</v>
      </c>
      <c r="AN402" t="str">
        <f t="shared" si="31"/>
        <v>407348.846,282916.372</v>
      </c>
      <c r="AO402" t="str">
        <f t="shared" si="32"/>
        <v>407328.775,282910.543</v>
      </c>
      <c r="AQ402" t="s">
        <v>2297</v>
      </c>
      <c r="AR402" t="s">
        <v>2298</v>
      </c>
    </row>
    <row r="403" spans="1:44" x14ac:dyDescent="0.3">
      <c r="A403">
        <v>3869</v>
      </c>
      <c r="B403">
        <v>4</v>
      </c>
      <c r="C403">
        <v>4019407</v>
      </c>
      <c r="D403">
        <v>47875</v>
      </c>
      <c r="E403">
        <v>2</v>
      </c>
      <c r="F403">
        <v>670050</v>
      </c>
      <c r="G403" t="s">
        <v>76</v>
      </c>
      <c r="H403" t="s">
        <v>50</v>
      </c>
      <c r="I403">
        <v>0</v>
      </c>
      <c r="J403" s="1">
        <v>407328.77500000002</v>
      </c>
      <c r="K403" s="1">
        <v>282910.54300000001</v>
      </c>
      <c r="L403" s="1">
        <v>407304.29399999999</v>
      </c>
      <c r="M403" s="1">
        <v>282860.69400000002</v>
      </c>
      <c r="N403" t="s">
        <v>40</v>
      </c>
      <c r="P403" t="s">
        <v>40</v>
      </c>
      <c r="Q403">
        <v>0</v>
      </c>
      <c r="R403">
        <v>0</v>
      </c>
      <c r="S403">
        <v>0</v>
      </c>
      <c r="T403">
        <v>6</v>
      </c>
      <c r="U403">
        <v>6</v>
      </c>
      <c r="V403">
        <v>1</v>
      </c>
      <c r="W403">
        <v>1</v>
      </c>
      <c r="X403" t="s">
        <v>40</v>
      </c>
      <c r="Y403">
        <v>3</v>
      </c>
      <c r="Z403">
        <v>5028</v>
      </c>
      <c r="AA403">
        <v>1</v>
      </c>
      <c r="AB403">
        <v>0</v>
      </c>
      <c r="AC403">
        <v>98.426000000000002</v>
      </c>
      <c r="AD403">
        <v>5059</v>
      </c>
      <c r="AH403">
        <v>0</v>
      </c>
      <c r="AI403">
        <v>0</v>
      </c>
      <c r="AL403" t="s">
        <v>40</v>
      </c>
      <c r="AM403" t="str">
        <f t="shared" si="30"/>
        <v>5028 1</v>
      </c>
      <c r="AN403" t="str">
        <f t="shared" si="31"/>
        <v>407328.775,282910.543</v>
      </c>
      <c r="AO403" t="str">
        <f t="shared" si="32"/>
        <v>407304.294,282860.694</v>
      </c>
      <c r="AQ403" t="s">
        <v>2298</v>
      </c>
      <c r="AR403" t="s">
        <v>728</v>
      </c>
    </row>
    <row r="404" spans="1:44" x14ac:dyDescent="0.3">
      <c r="A404">
        <v>3869</v>
      </c>
      <c r="B404">
        <v>4</v>
      </c>
      <c r="C404">
        <v>4019870</v>
      </c>
      <c r="D404">
        <v>18026</v>
      </c>
      <c r="E404">
        <v>2</v>
      </c>
      <c r="F404">
        <v>670050</v>
      </c>
      <c r="G404" t="s">
        <v>76</v>
      </c>
      <c r="H404" t="s">
        <v>54</v>
      </c>
      <c r="I404">
        <v>0</v>
      </c>
      <c r="J404" s="1">
        <v>405775.93599999999</v>
      </c>
      <c r="K404" s="1">
        <v>282026.68599999999</v>
      </c>
      <c r="L404" s="1">
        <v>405768.53600000002</v>
      </c>
      <c r="M404" s="1">
        <v>282020.83299999998</v>
      </c>
      <c r="N404" t="s">
        <v>40</v>
      </c>
      <c r="P404" t="s">
        <v>40</v>
      </c>
      <c r="Q404">
        <v>0</v>
      </c>
      <c r="R404">
        <v>0</v>
      </c>
      <c r="S404">
        <v>0</v>
      </c>
      <c r="T404">
        <v>6</v>
      </c>
      <c r="U404">
        <v>6</v>
      </c>
      <c r="V404">
        <v>1</v>
      </c>
      <c r="W404">
        <v>1</v>
      </c>
      <c r="X404" t="s">
        <v>40</v>
      </c>
      <c r="Y404">
        <v>3</v>
      </c>
      <c r="Z404">
        <v>89</v>
      </c>
      <c r="AA404">
        <v>1</v>
      </c>
      <c r="AB404">
        <v>0</v>
      </c>
      <c r="AC404">
        <v>9.4359999999999999</v>
      </c>
      <c r="AD404">
        <v>5059</v>
      </c>
      <c r="AH404">
        <v>0</v>
      </c>
      <c r="AI404">
        <v>0</v>
      </c>
      <c r="AL404" t="s">
        <v>40</v>
      </c>
      <c r="AM404" t="str">
        <f t="shared" si="30"/>
        <v>89 1</v>
      </c>
      <c r="AN404" t="str">
        <f t="shared" si="31"/>
        <v>405775.936,282026.686</v>
      </c>
      <c r="AO404" t="str">
        <f t="shared" si="32"/>
        <v>405768.536,282020.833</v>
      </c>
      <c r="AQ404" t="s">
        <v>2295</v>
      </c>
      <c r="AR404" t="s">
        <v>2261</v>
      </c>
    </row>
    <row r="405" spans="1:44" x14ac:dyDescent="0.3">
      <c r="A405">
        <v>3869</v>
      </c>
      <c r="B405">
        <v>4</v>
      </c>
      <c r="C405">
        <v>4022483</v>
      </c>
      <c r="D405">
        <v>22917</v>
      </c>
      <c r="E405">
        <v>2</v>
      </c>
      <c r="F405">
        <v>670050</v>
      </c>
      <c r="G405" t="s">
        <v>79</v>
      </c>
      <c r="H405" t="s">
        <v>43</v>
      </c>
      <c r="I405">
        <v>0</v>
      </c>
      <c r="J405" s="1">
        <v>405079.68</v>
      </c>
      <c r="K405" s="1">
        <v>281000</v>
      </c>
      <c r="L405" s="1">
        <v>405076.59</v>
      </c>
      <c r="M405" s="1">
        <v>280964.65100000001</v>
      </c>
      <c r="N405" t="s">
        <v>40</v>
      </c>
      <c r="P405" t="s">
        <v>40</v>
      </c>
      <c r="Q405">
        <v>0</v>
      </c>
      <c r="R405">
        <v>0</v>
      </c>
      <c r="S405">
        <v>0</v>
      </c>
      <c r="T405">
        <v>6</v>
      </c>
      <c r="U405">
        <v>6</v>
      </c>
      <c r="V405">
        <v>1</v>
      </c>
      <c r="W405">
        <v>1</v>
      </c>
      <c r="X405" t="s">
        <v>40</v>
      </c>
      <c r="Y405">
        <v>3</v>
      </c>
      <c r="Z405">
        <v>5024</v>
      </c>
      <c r="AA405">
        <v>1</v>
      </c>
      <c r="AB405">
        <v>0</v>
      </c>
      <c r="AC405">
        <v>64.198999999999998</v>
      </c>
      <c r="AD405">
        <v>5059</v>
      </c>
      <c r="AH405">
        <v>0</v>
      </c>
      <c r="AI405">
        <v>0</v>
      </c>
      <c r="AL405" t="s">
        <v>40</v>
      </c>
      <c r="AM405" t="str">
        <f t="shared" si="30"/>
        <v>5024 1</v>
      </c>
      <c r="AN405" s="6" t="s">
        <v>1128</v>
      </c>
      <c r="AO405" s="6" t="s">
        <v>1126</v>
      </c>
      <c r="AQ405" t="s">
        <v>2299</v>
      </c>
      <c r="AR405" t="s">
        <v>2300</v>
      </c>
    </row>
    <row r="406" spans="1:44" x14ac:dyDescent="0.3">
      <c r="A406">
        <v>3869</v>
      </c>
      <c r="B406">
        <v>4</v>
      </c>
      <c r="C406">
        <v>4025725</v>
      </c>
      <c r="D406">
        <v>58860</v>
      </c>
      <c r="E406">
        <v>2</v>
      </c>
      <c r="F406">
        <v>670050</v>
      </c>
      <c r="G406" t="s">
        <v>79</v>
      </c>
      <c r="H406" t="s">
        <v>41</v>
      </c>
      <c r="I406">
        <v>0</v>
      </c>
      <c r="J406" s="1">
        <v>405039.83600000001</v>
      </c>
      <c r="K406" s="1">
        <v>281132.62099999998</v>
      </c>
      <c r="L406" s="1">
        <v>405004.08799999999</v>
      </c>
      <c r="M406" s="1">
        <v>281174.65500000003</v>
      </c>
      <c r="N406" t="s">
        <v>40</v>
      </c>
      <c r="P406" t="s">
        <v>40</v>
      </c>
      <c r="Q406">
        <v>0</v>
      </c>
      <c r="R406">
        <v>0</v>
      </c>
      <c r="S406">
        <v>0</v>
      </c>
      <c r="T406">
        <v>6</v>
      </c>
      <c r="U406">
        <v>6</v>
      </c>
      <c r="V406">
        <v>1</v>
      </c>
      <c r="W406">
        <v>1</v>
      </c>
      <c r="X406" t="s">
        <v>40</v>
      </c>
      <c r="Y406">
        <v>3</v>
      </c>
      <c r="Z406">
        <v>38</v>
      </c>
      <c r="AA406">
        <v>5001</v>
      </c>
      <c r="AB406">
        <v>0</v>
      </c>
      <c r="AC406">
        <v>199.476</v>
      </c>
      <c r="AD406">
        <v>5059</v>
      </c>
      <c r="AH406">
        <v>0</v>
      </c>
      <c r="AI406">
        <v>0</v>
      </c>
      <c r="AL406" t="s">
        <v>40</v>
      </c>
      <c r="AM406" t="str">
        <f t="shared" si="30"/>
        <v>38 5001</v>
      </c>
      <c r="AN406" s="6" t="s">
        <v>1126</v>
      </c>
      <c r="AO406" s="6" t="s">
        <v>337</v>
      </c>
      <c r="AQ406" t="s">
        <v>2300</v>
      </c>
      <c r="AR406" t="s">
        <v>731</v>
      </c>
    </row>
    <row r="407" spans="1:44" x14ac:dyDescent="0.3">
      <c r="A407">
        <v>3869</v>
      </c>
      <c r="B407">
        <v>4</v>
      </c>
      <c r="C407">
        <v>4022476</v>
      </c>
      <c r="D407">
        <v>22905</v>
      </c>
      <c r="E407">
        <v>2</v>
      </c>
      <c r="F407">
        <v>670050</v>
      </c>
      <c r="G407" t="s">
        <v>79</v>
      </c>
      <c r="H407" t="s">
        <v>43</v>
      </c>
      <c r="I407">
        <v>0</v>
      </c>
      <c r="J407" s="1">
        <v>405076.364</v>
      </c>
      <c r="K407" s="1">
        <v>280960.49800000002</v>
      </c>
      <c r="L407" s="1">
        <v>405069.87199999997</v>
      </c>
      <c r="M407" s="1">
        <v>280956.73499999999</v>
      </c>
      <c r="N407" t="s">
        <v>40</v>
      </c>
      <c r="P407" t="s">
        <v>40</v>
      </c>
      <c r="Q407">
        <v>0</v>
      </c>
      <c r="R407">
        <v>0</v>
      </c>
      <c r="S407">
        <v>0</v>
      </c>
      <c r="T407">
        <v>6</v>
      </c>
      <c r="U407">
        <v>6</v>
      </c>
      <c r="V407">
        <v>1</v>
      </c>
      <c r="W407">
        <v>1</v>
      </c>
      <c r="X407" t="s">
        <v>40</v>
      </c>
      <c r="Y407">
        <v>3</v>
      </c>
      <c r="Z407">
        <v>38</v>
      </c>
      <c r="AA407">
        <v>1</v>
      </c>
      <c r="AB407">
        <v>0</v>
      </c>
      <c r="AC407">
        <v>22.533999999999999</v>
      </c>
      <c r="AD407">
        <v>5059</v>
      </c>
      <c r="AH407">
        <v>0</v>
      </c>
      <c r="AI407">
        <v>0</v>
      </c>
      <c r="AL407" t="s">
        <v>40</v>
      </c>
      <c r="AM407" t="str">
        <f t="shared" si="30"/>
        <v>38 1</v>
      </c>
      <c r="AN407" s="6" t="s">
        <v>1128</v>
      </c>
      <c r="AO407" s="6" t="s">
        <v>1127</v>
      </c>
      <c r="AQ407" t="s">
        <v>2299</v>
      </c>
      <c r="AR407" t="s">
        <v>2301</v>
      </c>
    </row>
    <row r="408" spans="1:44" x14ac:dyDescent="0.3">
      <c r="A408">
        <v>3869</v>
      </c>
      <c r="B408">
        <v>4</v>
      </c>
      <c r="C408">
        <v>4022465</v>
      </c>
      <c r="D408">
        <v>23044</v>
      </c>
      <c r="E408">
        <v>2</v>
      </c>
      <c r="F408">
        <v>670050</v>
      </c>
      <c r="G408" t="s">
        <v>79</v>
      </c>
      <c r="H408" t="s">
        <v>43</v>
      </c>
      <c r="I408">
        <v>0</v>
      </c>
      <c r="J408" s="1">
        <v>405124.30599999998</v>
      </c>
      <c r="K408" s="1">
        <v>280974.02799999999</v>
      </c>
      <c r="L408" s="1">
        <v>405076.364</v>
      </c>
      <c r="M408" s="1">
        <v>280960.49800000002</v>
      </c>
      <c r="N408" t="s">
        <v>40</v>
      </c>
      <c r="P408" t="s">
        <v>40</v>
      </c>
      <c r="Q408">
        <v>0</v>
      </c>
      <c r="R408">
        <v>0</v>
      </c>
      <c r="S408">
        <v>0</v>
      </c>
      <c r="T408">
        <v>6</v>
      </c>
      <c r="U408">
        <v>6</v>
      </c>
      <c r="V408">
        <v>1</v>
      </c>
      <c r="W408">
        <v>1</v>
      </c>
      <c r="X408" t="s">
        <v>40</v>
      </c>
      <c r="Y408">
        <v>3</v>
      </c>
      <c r="Z408">
        <v>92</v>
      </c>
      <c r="AA408">
        <v>99</v>
      </c>
      <c r="AB408">
        <v>0</v>
      </c>
      <c r="AC408">
        <v>50.514000000000003</v>
      </c>
      <c r="AD408">
        <v>5059</v>
      </c>
      <c r="AH408">
        <v>0</v>
      </c>
      <c r="AI408">
        <v>0</v>
      </c>
      <c r="AL408" t="s">
        <v>40</v>
      </c>
      <c r="AM408" t="str">
        <f t="shared" si="30"/>
        <v>92 99</v>
      </c>
      <c r="AN408" t="str">
        <f t="shared" si="31"/>
        <v>405124.306,280974.028</v>
      </c>
      <c r="AO408" t="str">
        <f t="shared" si="32"/>
        <v>405076.364,280960.498</v>
      </c>
      <c r="AQ408" t="s">
        <v>2302</v>
      </c>
      <c r="AR408" t="s">
        <v>2301</v>
      </c>
    </row>
    <row r="409" spans="1:44" x14ac:dyDescent="0.3">
      <c r="A409">
        <v>3869</v>
      </c>
      <c r="B409">
        <v>4</v>
      </c>
      <c r="C409">
        <v>4025798</v>
      </c>
      <c r="D409">
        <v>22611</v>
      </c>
      <c r="E409">
        <v>2</v>
      </c>
      <c r="F409">
        <v>670050</v>
      </c>
      <c r="G409" t="s">
        <v>80</v>
      </c>
      <c r="H409" t="s">
        <v>41</v>
      </c>
      <c r="I409">
        <v>0</v>
      </c>
      <c r="J409" s="1">
        <v>405176.58899999998</v>
      </c>
      <c r="K409" s="1">
        <v>281085.48700000002</v>
      </c>
      <c r="L409" s="1">
        <v>405146.32900000003</v>
      </c>
      <c r="M409" s="1">
        <v>281000.49599999998</v>
      </c>
      <c r="N409" t="s">
        <v>40</v>
      </c>
      <c r="P409" t="s">
        <v>81</v>
      </c>
      <c r="Q409">
        <v>0</v>
      </c>
      <c r="R409">
        <v>0</v>
      </c>
      <c r="S409">
        <v>0</v>
      </c>
      <c r="T409">
        <v>6</v>
      </c>
      <c r="U409">
        <v>6</v>
      </c>
      <c r="V409">
        <v>1</v>
      </c>
      <c r="W409">
        <v>1</v>
      </c>
      <c r="X409" t="s">
        <v>40</v>
      </c>
      <c r="Y409">
        <v>3</v>
      </c>
      <c r="Z409">
        <v>89</v>
      </c>
      <c r="AA409">
        <v>99</v>
      </c>
      <c r="AB409">
        <v>0</v>
      </c>
      <c r="AC409">
        <v>122.907</v>
      </c>
      <c r="AD409">
        <v>5059</v>
      </c>
      <c r="AH409">
        <v>0</v>
      </c>
      <c r="AI409">
        <v>0</v>
      </c>
      <c r="AL409" t="s">
        <v>40</v>
      </c>
      <c r="AM409" t="str">
        <f t="shared" si="30"/>
        <v>89 99</v>
      </c>
      <c r="AN409" s="6" t="s">
        <v>1130</v>
      </c>
      <c r="AO409" s="6" t="s">
        <v>1685</v>
      </c>
      <c r="AQ409" t="s">
        <v>2303</v>
      </c>
      <c r="AR409" t="s">
        <v>1958</v>
      </c>
    </row>
    <row r="410" spans="1:44" x14ac:dyDescent="0.3">
      <c r="A410">
        <v>3869</v>
      </c>
      <c r="B410">
        <v>4</v>
      </c>
      <c r="C410">
        <v>4020676</v>
      </c>
      <c r="D410">
        <v>22605</v>
      </c>
      <c r="E410">
        <v>2</v>
      </c>
      <c r="F410">
        <v>670050</v>
      </c>
      <c r="G410" t="s">
        <v>80</v>
      </c>
      <c r="H410" t="s">
        <v>41</v>
      </c>
      <c r="I410">
        <v>0</v>
      </c>
      <c r="J410" s="1">
        <v>405108.34499999997</v>
      </c>
      <c r="K410" s="1">
        <v>281119.96500000003</v>
      </c>
      <c r="L410" s="1">
        <v>405119.83100000001</v>
      </c>
      <c r="M410" s="1">
        <v>281011.61800000002</v>
      </c>
      <c r="N410" t="s">
        <v>40</v>
      </c>
      <c r="P410" t="s">
        <v>81</v>
      </c>
      <c r="Q410">
        <v>0</v>
      </c>
      <c r="R410">
        <v>0</v>
      </c>
      <c r="S410">
        <v>0</v>
      </c>
      <c r="T410">
        <v>6</v>
      </c>
      <c r="U410">
        <v>6</v>
      </c>
      <c r="V410">
        <v>1</v>
      </c>
      <c r="W410">
        <v>1</v>
      </c>
      <c r="X410" t="s">
        <v>40</v>
      </c>
      <c r="Y410">
        <v>3</v>
      </c>
      <c r="Z410">
        <v>90</v>
      </c>
      <c r="AA410">
        <v>99</v>
      </c>
      <c r="AB410">
        <v>0</v>
      </c>
      <c r="AC410">
        <v>140.178</v>
      </c>
      <c r="AD410">
        <v>5059</v>
      </c>
      <c r="AH410">
        <v>0</v>
      </c>
      <c r="AI410">
        <v>0</v>
      </c>
      <c r="AL410" t="s">
        <v>40</v>
      </c>
      <c r="AM410" t="str">
        <f t="shared" si="30"/>
        <v>90 99</v>
      </c>
      <c r="AN410" s="6" t="s">
        <v>1684</v>
      </c>
      <c r="AO410" s="6" t="s">
        <v>1135</v>
      </c>
      <c r="AQ410" t="s">
        <v>2304</v>
      </c>
      <c r="AR410" t="s">
        <v>2305</v>
      </c>
    </row>
    <row r="411" spans="1:44" x14ac:dyDescent="0.3">
      <c r="A411">
        <v>3869</v>
      </c>
      <c r="B411">
        <v>4</v>
      </c>
      <c r="C411">
        <v>4014693</v>
      </c>
      <c r="D411">
        <v>68753</v>
      </c>
      <c r="E411">
        <v>2</v>
      </c>
      <c r="F411">
        <v>670050</v>
      </c>
      <c r="G411" t="s">
        <v>80</v>
      </c>
      <c r="H411" t="s">
        <v>42</v>
      </c>
      <c r="I411">
        <v>0</v>
      </c>
      <c r="J411" s="1">
        <v>404844.28700000001</v>
      </c>
      <c r="K411" s="1">
        <v>281157.23100000003</v>
      </c>
      <c r="L411" s="1">
        <v>404848.147</v>
      </c>
      <c r="M411" s="1">
        <v>281154.87699999998</v>
      </c>
      <c r="N411" t="s">
        <v>40</v>
      </c>
      <c r="P411" t="s">
        <v>81</v>
      </c>
      <c r="Q411">
        <v>0</v>
      </c>
      <c r="R411">
        <v>0</v>
      </c>
      <c r="S411">
        <v>0</v>
      </c>
      <c r="T411">
        <v>6</v>
      </c>
      <c r="U411">
        <v>6</v>
      </c>
      <c r="V411">
        <v>1</v>
      </c>
      <c r="W411">
        <v>1</v>
      </c>
      <c r="X411" t="s">
        <v>40</v>
      </c>
      <c r="Y411">
        <v>3</v>
      </c>
      <c r="Z411">
        <v>89</v>
      </c>
      <c r="AA411">
        <v>99</v>
      </c>
      <c r="AB411">
        <v>0</v>
      </c>
      <c r="AC411">
        <v>87.102999999999994</v>
      </c>
      <c r="AD411">
        <v>5059</v>
      </c>
      <c r="AH411">
        <v>0</v>
      </c>
      <c r="AI411">
        <v>0</v>
      </c>
      <c r="AL411" t="s">
        <v>40</v>
      </c>
      <c r="AM411" t="str">
        <f t="shared" si="30"/>
        <v>89 99</v>
      </c>
      <c r="AN411" s="6" t="s">
        <v>339</v>
      </c>
      <c r="AO411" s="6" t="s">
        <v>1133</v>
      </c>
      <c r="AQ411" t="s">
        <v>732</v>
      </c>
      <c r="AR411" t="s">
        <v>2306</v>
      </c>
    </row>
    <row r="412" spans="1:44" x14ac:dyDescent="0.3">
      <c r="A412">
        <v>3869</v>
      </c>
      <c r="B412">
        <v>4</v>
      </c>
      <c r="C412">
        <v>4014651</v>
      </c>
      <c r="D412">
        <v>124</v>
      </c>
      <c r="E412">
        <v>2</v>
      </c>
      <c r="F412">
        <v>670050</v>
      </c>
      <c r="G412" t="s">
        <v>80</v>
      </c>
      <c r="H412" t="s">
        <v>42</v>
      </c>
      <c r="I412">
        <v>0</v>
      </c>
      <c r="J412" s="1">
        <v>405000</v>
      </c>
      <c r="K412" s="1">
        <v>281218.22100000002</v>
      </c>
      <c r="L412" s="1">
        <v>404983.06699999998</v>
      </c>
      <c r="M412" s="1">
        <v>281214.62900000002</v>
      </c>
      <c r="N412" t="s">
        <v>40</v>
      </c>
      <c r="P412" t="s">
        <v>81</v>
      </c>
      <c r="Q412">
        <v>0</v>
      </c>
      <c r="R412">
        <v>0</v>
      </c>
      <c r="S412">
        <v>0</v>
      </c>
      <c r="T412">
        <v>6</v>
      </c>
      <c r="U412">
        <v>6</v>
      </c>
      <c r="V412">
        <v>1</v>
      </c>
      <c r="W412">
        <v>1</v>
      </c>
      <c r="X412" t="s">
        <v>40</v>
      </c>
      <c r="Y412">
        <v>3</v>
      </c>
      <c r="Z412">
        <v>89</v>
      </c>
      <c r="AA412">
        <v>99</v>
      </c>
      <c r="AB412">
        <v>0</v>
      </c>
      <c r="AC412">
        <v>362.87299999999993</v>
      </c>
      <c r="AD412">
        <v>5059</v>
      </c>
      <c r="AH412">
        <v>0</v>
      </c>
      <c r="AI412">
        <v>0</v>
      </c>
      <c r="AL412" t="s">
        <v>40</v>
      </c>
      <c r="AM412" t="str">
        <f t="shared" si="30"/>
        <v>89 99</v>
      </c>
      <c r="AN412" s="6" t="s">
        <v>1131</v>
      </c>
      <c r="AO412" s="6" t="s">
        <v>1132</v>
      </c>
      <c r="AQ412" t="s">
        <v>2307</v>
      </c>
      <c r="AR412" t="s">
        <v>2308</v>
      </c>
    </row>
    <row r="413" spans="1:44" x14ac:dyDescent="0.3">
      <c r="A413">
        <v>3869</v>
      </c>
      <c r="B413">
        <v>4</v>
      </c>
      <c r="C413">
        <v>4025809</v>
      </c>
      <c r="D413">
        <v>22596</v>
      </c>
      <c r="E413">
        <v>2</v>
      </c>
      <c r="F413">
        <v>670050</v>
      </c>
      <c r="G413" t="s">
        <v>80</v>
      </c>
      <c r="H413" t="s">
        <v>41</v>
      </c>
      <c r="I413">
        <v>0</v>
      </c>
      <c r="J413" s="1">
        <v>405179.80300000001</v>
      </c>
      <c r="K413" s="1">
        <v>281092.81199999998</v>
      </c>
      <c r="L413" s="1">
        <v>405176.58899999998</v>
      </c>
      <c r="M413" s="1">
        <v>281085.48700000002</v>
      </c>
      <c r="N413" t="s">
        <v>40</v>
      </c>
      <c r="P413" t="s">
        <v>81</v>
      </c>
      <c r="Q413">
        <v>0</v>
      </c>
      <c r="R413">
        <v>0</v>
      </c>
      <c r="S413">
        <v>0</v>
      </c>
      <c r="T413">
        <v>6</v>
      </c>
      <c r="U413">
        <v>6</v>
      </c>
      <c r="V413">
        <v>1</v>
      </c>
      <c r="W413">
        <v>1</v>
      </c>
      <c r="X413" t="s">
        <v>40</v>
      </c>
      <c r="Y413">
        <v>3</v>
      </c>
      <c r="Z413">
        <v>71</v>
      </c>
      <c r="AA413">
        <v>99</v>
      </c>
      <c r="AB413">
        <v>0</v>
      </c>
      <c r="AC413">
        <v>9.9220000000000006</v>
      </c>
      <c r="AD413">
        <v>5059</v>
      </c>
      <c r="AH413">
        <v>0</v>
      </c>
      <c r="AI413">
        <v>0</v>
      </c>
      <c r="AL413" t="s">
        <v>40</v>
      </c>
      <c r="AM413" t="str">
        <f t="shared" si="30"/>
        <v>71 99</v>
      </c>
      <c r="AN413" t="str">
        <f t="shared" si="31"/>
        <v>405179.803,281092.812</v>
      </c>
      <c r="AO413" t="str">
        <f t="shared" si="32"/>
        <v>405176.589,281085.487</v>
      </c>
      <c r="AQ413" t="s">
        <v>2307</v>
      </c>
      <c r="AR413" t="s">
        <v>2303</v>
      </c>
    </row>
    <row r="414" spans="1:44" x14ac:dyDescent="0.3">
      <c r="A414">
        <v>3869</v>
      </c>
      <c r="B414">
        <v>4</v>
      </c>
      <c r="C414">
        <v>4014692</v>
      </c>
      <c r="D414">
        <v>68752</v>
      </c>
      <c r="E414">
        <v>2</v>
      </c>
      <c r="F414">
        <v>670050</v>
      </c>
      <c r="G414" t="s">
        <v>80</v>
      </c>
      <c r="H414" t="s">
        <v>42</v>
      </c>
      <c r="I414">
        <v>0</v>
      </c>
      <c r="J414" s="1">
        <v>404844.58299999998</v>
      </c>
      <c r="K414" s="1">
        <v>281157.73</v>
      </c>
      <c r="L414" s="1">
        <v>404847.97499999998</v>
      </c>
      <c r="M414" s="1">
        <v>281155.33500000002</v>
      </c>
      <c r="N414" t="s">
        <v>40</v>
      </c>
      <c r="P414" t="s">
        <v>81</v>
      </c>
      <c r="Q414">
        <v>0</v>
      </c>
      <c r="R414">
        <v>0</v>
      </c>
      <c r="S414">
        <v>0</v>
      </c>
      <c r="T414">
        <v>6</v>
      </c>
      <c r="U414">
        <v>6</v>
      </c>
      <c r="V414">
        <v>1</v>
      </c>
      <c r="W414">
        <v>1</v>
      </c>
      <c r="X414" t="s">
        <v>40</v>
      </c>
      <c r="Y414">
        <v>3</v>
      </c>
      <c r="Z414">
        <v>89</v>
      </c>
      <c r="AA414">
        <v>99</v>
      </c>
      <c r="AB414">
        <v>0</v>
      </c>
      <c r="AC414">
        <v>87.472999999999999</v>
      </c>
      <c r="AD414">
        <v>5059</v>
      </c>
      <c r="AH414">
        <v>0</v>
      </c>
      <c r="AI414">
        <v>0</v>
      </c>
      <c r="AL414" t="s">
        <v>40</v>
      </c>
      <c r="AM414" t="str">
        <f t="shared" si="30"/>
        <v>89 99</v>
      </c>
      <c r="AN414" s="6" t="s">
        <v>343</v>
      </c>
      <c r="AO414" s="6" t="s">
        <v>1134</v>
      </c>
      <c r="AQ414" t="s">
        <v>733</v>
      </c>
      <c r="AR414" t="s">
        <v>2309</v>
      </c>
    </row>
    <row r="415" spans="1:44" x14ac:dyDescent="0.3">
      <c r="A415">
        <v>3869</v>
      </c>
      <c r="B415">
        <v>4</v>
      </c>
      <c r="C415">
        <v>4014664</v>
      </c>
      <c r="D415">
        <v>14397</v>
      </c>
      <c r="E415">
        <v>2</v>
      </c>
      <c r="F415">
        <v>670050</v>
      </c>
      <c r="G415" t="s">
        <v>80</v>
      </c>
      <c r="H415" t="s">
        <v>42</v>
      </c>
      <c r="I415">
        <v>0</v>
      </c>
      <c r="J415" s="1">
        <v>404896.571</v>
      </c>
      <c r="K415" s="1">
        <v>281194.69699999999</v>
      </c>
      <c r="L415" s="1">
        <v>404959.85100000002</v>
      </c>
      <c r="M415" s="1">
        <v>281210.77299999999</v>
      </c>
      <c r="N415" t="s">
        <v>40</v>
      </c>
      <c r="P415" t="s">
        <v>81</v>
      </c>
      <c r="Q415">
        <v>0</v>
      </c>
      <c r="R415">
        <v>0</v>
      </c>
      <c r="S415">
        <v>200109</v>
      </c>
      <c r="T415">
        <v>6</v>
      </c>
      <c r="U415">
        <v>6</v>
      </c>
      <c r="V415">
        <v>1</v>
      </c>
      <c r="W415">
        <v>1</v>
      </c>
      <c r="X415" t="s">
        <v>40</v>
      </c>
      <c r="Y415">
        <v>3</v>
      </c>
      <c r="Z415">
        <v>5030</v>
      </c>
      <c r="AA415">
        <v>99</v>
      </c>
      <c r="AB415">
        <v>0</v>
      </c>
      <c r="AC415">
        <v>68.043999999999997</v>
      </c>
      <c r="AD415">
        <v>5059</v>
      </c>
      <c r="AH415">
        <v>0</v>
      </c>
      <c r="AI415">
        <v>0</v>
      </c>
      <c r="AL415" t="s">
        <v>40</v>
      </c>
      <c r="AM415" t="str">
        <f t="shared" si="30"/>
        <v>5030 99</v>
      </c>
      <c r="AN415" t="str">
        <f t="shared" si="31"/>
        <v>404896.571,281194.697</v>
      </c>
      <c r="AO415" t="str">
        <f t="shared" si="32"/>
        <v>404959.851,281210.773</v>
      </c>
      <c r="AQ415" t="s">
        <v>2306</v>
      </c>
      <c r="AR415" t="s">
        <v>2310</v>
      </c>
    </row>
    <row r="416" spans="1:44" x14ac:dyDescent="0.3">
      <c r="A416">
        <v>3869</v>
      </c>
      <c r="B416">
        <v>4</v>
      </c>
      <c r="C416">
        <v>4014665</v>
      </c>
      <c r="D416">
        <v>14396</v>
      </c>
      <c r="E416">
        <v>2</v>
      </c>
      <c r="F416">
        <v>670050</v>
      </c>
      <c r="G416" t="s">
        <v>80</v>
      </c>
      <c r="H416" t="s">
        <v>42</v>
      </c>
      <c r="I416">
        <v>0</v>
      </c>
      <c r="J416" s="1">
        <v>404898.21600000001</v>
      </c>
      <c r="K416" s="1">
        <v>281194.84100000001</v>
      </c>
      <c r="L416" s="1">
        <v>404957.696</v>
      </c>
      <c r="M416" s="1">
        <v>281210.78200000001</v>
      </c>
      <c r="N416" t="s">
        <v>40</v>
      </c>
      <c r="P416" t="s">
        <v>81</v>
      </c>
      <c r="Q416">
        <v>0</v>
      </c>
      <c r="R416">
        <v>0</v>
      </c>
      <c r="S416">
        <v>200109</v>
      </c>
      <c r="T416">
        <v>6</v>
      </c>
      <c r="U416">
        <v>6</v>
      </c>
      <c r="V416">
        <v>1</v>
      </c>
      <c r="W416">
        <v>1</v>
      </c>
      <c r="X416" t="s">
        <v>40</v>
      </c>
      <c r="Y416">
        <v>3</v>
      </c>
      <c r="Z416">
        <v>5030</v>
      </c>
      <c r="AA416">
        <v>99</v>
      </c>
      <c r="AB416">
        <v>0</v>
      </c>
      <c r="AC416">
        <v>64.113</v>
      </c>
      <c r="AD416">
        <v>5059</v>
      </c>
      <c r="AH416">
        <v>0</v>
      </c>
      <c r="AI416">
        <v>0</v>
      </c>
      <c r="AL416" t="s">
        <v>40</v>
      </c>
      <c r="AM416" t="str">
        <f t="shared" si="30"/>
        <v>5030 99</v>
      </c>
      <c r="AN416" t="str">
        <f t="shared" si="31"/>
        <v>404898.216,281194.841</v>
      </c>
      <c r="AO416" t="str">
        <f t="shared" si="32"/>
        <v>404957.696,281210.782</v>
      </c>
      <c r="AQ416" t="s">
        <v>2309</v>
      </c>
      <c r="AR416" t="s">
        <v>2308</v>
      </c>
    </row>
    <row r="417" spans="1:44" x14ac:dyDescent="0.3">
      <c r="A417">
        <v>3869</v>
      </c>
      <c r="B417">
        <v>4</v>
      </c>
      <c r="C417">
        <v>4025776</v>
      </c>
      <c r="D417">
        <v>22482</v>
      </c>
      <c r="E417">
        <v>2</v>
      </c>
      <c r="F417">
        <v>670050</v>
      </c>
      <c r="G417" t="s">
        <v>80</v>
      </c>
      <c r="H417" t="s">
        <v>41</v>
      </c>
      <c r="I417">
        <v>0</v>
      </c>
      <c r="J417" s="1">
        <v>405057.55300000001</v>
      </c>
      <c r="K417" s="1">
        <v>281120.34499999997</v>
      </c>
      <c r="L417" s="1">
        <v>405105.4</v>
      </c>
      <c r="M417" s="1">
        <v>281130.99099999998</v>
      </c>
      <c r="N417" t="s">
        <v>40</v>
      </c>
      <c r="P417" t="s">
        <v>81</v>
      </c>
      <c r="Q417">
        <v>0</v>
      </c>
      <c r="R417">
        <v>0</v>
      </c>
      <c r="S417">
        <v>0</v>
      </c>
      <c r="T417">
        <v>6</v>
      </c>
      <c r="U417">
        <v>6</v>
      </c>
      <c r="V417">
        <v>1</v>
      </c>
      <c r="W417">
        <v>1</v>
      </c>
      <c r="X417" t="s">
        <v>40</v>
      </c>
      <c r="Y417">
        <v>3</v>
      </c>
      <c r="Z417">
        <v>89</v>
      </c>
      <c r="AA417">
        <v>99</v>
      </c>
      <c r="AB417">
        <v>0</v>
      </c>
      <c r="AC417">
        <v>238.929</v>
      </c>
      <c r="AD417">
        <v>5059</v>
      </c>
      <c r="AH417">
        <v>0</v>
      </c>
      <c r="AI417">
        <v>0</v>
      </c>
      <c r="AL417" t="s">
        <v>40</v>
      </c>
      <c r="AM417" t="str">
        <f t="shared" si="30"/>
        <v>89 99</v>
      </c>
      <c r="AN417" s="6" t="s">
        <v>1683</v>
      </c>
      <c r="AO417" s="6" t="s">
        <v>1135</v>
      </c>
      <c r="AQ417" t="s">
        <v>2310</v>
      </c>
      <c r="AR417" t="s">
        <v>2305</v>
      </c>
    </row>
    <row r="418" spans="1:44" x14ac:dyDescent="0.3">
      <c r="A418">
        <v>3869</v>
      </c>
      <c r="B418">
        <v>4</v>
      </c>
      <c r="C418">
        <v>4016857</v>
      </c>
      <c r="D418">
        <v>15470</v>
      </c>
      <c r="E418">
        <v>2</v>
      </c>
      <c r="F418">
        <v>670050</v>
      </c>
      <c r="G418" t="s">
        <v>82</v>
      </c>
      <c r="H418" t="s">
        <v>83</v>
      </c>
      <c r="I418">
        <v>0</v>
      </c>
      <c r="J418" s="1">
        <v>404288.30900000001</v>
      </c>
      <c r="K418" s="1">
        <v>279877.12199999997</v>
      </c>
      <c r="L418" s="1">
        <v>404467.625</v>
      </c>
      <c r="M418" s="1">
        <v>279883.81900000002</v>
      </c>
      <c r="N418" t="s">
        <v>40</v>
      </c>
      <c r="P418" t="s">
        <v>40</v>
      </c>
      <c r="Q418">
        <v>0</v>
      </c>
      <c r="R418">
        <v>0</v>
      </c>
      <c r="S418">
        <v>0</v>
      </c>
      <c r="T418">
        <v>6</v>
      </c>
      <c r="U418">
        <v>6</v>
      </c>
      <c r="V418">
        <v>1</v>
      </c>
      <c r="W418">
        <v>1</v>
      </c>
      <c r="X418" t="s">
        <v>40</v>
      </c>
      <c r="Y418">
        <v>3</v>
      </c>
      <c r="Z418">
        <v>52</v>
      </c>
      <c r="AA418">
        <v>1</v>
      </c>
      <c r="AB418">
        <v>0</v>
      </c>
      <c r="AC418">
        <v>220.87200000000001</v>
      </c>
      <c r="AD418">
        <v>5059</v>
      </c>
      <c r="AH418">
        <v>0</v>
      </c>
      <c r="AI418">
        <v>0</v>
      </c>
      <c r="AL418" t="s">
        <v>40</v>
      </c>
      <c r="AM418" t="str">
        <f t="shared" si="30"/>
        <v>52 1</v>
      </c>
      <c r="AN418" s="6" t="s">
        <v>1139</v>
      </c>
      <c r="AO418" s="6" t="s">
        <v>1140</v>
      </c>
      <c r="AQ418" t="s">
        <v>2311</v>
      </c>
      <c r="AR418" t="s">
        <v>2312</v>
      </c>
    </row>
    <row r="419" spans="1:44" x14ac:dyDescent="0.3">
      <c r="A419">
        <v>3869</v>
      </c>
      <c r="B419">
        <v>4</v>
      </c>
      <c r="C419">
        <v>4016895</v>
      </c>
      <c r="D419">
        <v>48329</v>
      </c>
      <c r="E419">
        <v>2</v>
      </c>
      <c r="F419">
        <v>670050</v>
      </c>
      <c r="G419" t="s">
        <v>82</v>
      </c>
      <c r="H419" t="s">
        <v>83</v>
      </c>
      <c r="I419">
        <v>0</v>
      </c>
      <c r="J419" s="1">
        <v>404784.609</v>
      </c>
      <c r="K419" s="1">
        <v>279703.38699999999</v>
      </c>
      <c r="L419" s="1">
        <v>404826.196</v>
      </c>
      <c r="M419" s="1">
        <v>279705.005</v>
      </c>
      <c r="N419" t="s">
        <v>40</v>
      </c>
      <c r="P419" t="s">
        <v>40</v>
      </c>
      <c r="Q419">
        <v>0</v>
      </c>
      <c r="R419">
        <v>0</v>
      </c>
      <c r="S419">
        <v>0</v>
      </c>
      <c r="T419">
        <v>6</v>
      </c>
      <c r="U419">
        <v>6</v>
      </c>
      <c r="V419">
        <v>1</v>
      </c>
      <c r="W419">
        <v>2</v>
      </c>
      <c r="X419" t="s">
        <v>40</v>
      </c>
      <c r="Y419">
        <v>3</v>
      </c>
      <c r="Z419">
        <v>54</v>
      </c>
      <c r="AA419">
        <v>1</v>
      </c>
      <c r="AB419">
        <v>0</v>
      </c>
      <c r="AC419">
        <v>169.37299999999999</v>
      </c>
      <c r="AD419">
        <v>5059</v>
      </c>
      <c r="AH419">
        <v>0</v>
      </c>
      <c r="AI419">
        <v>0</v>
      </c>
      <c r="AL419" t="s">
        <v>40</v>
      </c>
      <c r="AM419" t="str">
        <f t="shared" si="30"/>
        <v>54 1</v>
      </c>
      <c r="AN419" s="6" t="s">
        <v>351</v>
      </c>
      <c r="AO419" s="6" t="s">
        <v>1137</v>
      </c>
      <c r="AQ419" t="s">
        <v>735</v>
      </c>
      <c r="AR419" t="s">
        <v>2313</v>
      </c>
    </row>
    <row r="420" spans="1:44" x14ac:dyDescent="0.3">
      <c r="A420">
        <v>3869</v>
      </c>
      <c r="B420">
        <v>4</v>
      </c>
      <c r="C420">
        <v>4016957</v>
      </c>
      <c r="D420">
        <v>14950</v>
      </c>
      <c r="E420">
        <v>2</v>
      </c>
      <c r="F420">
        <v>670050</v>
      </c>
      <c r="G420" t="s">
        <v>82</v>
      </c>
      <c r="H420" t="s">
        <v>83</v>
      </c>
      <c r="I420">
        <v>0</v>
      </c>
      <c r="J420" s="1">
        <v>404335.473</v>
      </c>
      <c r="K420" s="1">
        <v>279312.22100000002</v>
      </c>
      <c r="L420" s="1">
        <v>404341.19699999999</v>
      </c>
      <c r="M420" s="1">
        <v>279312.973</v>
      </c>
      <c r="N420" t="s">
        <v>40</v>
      </c>
      <c r="P420" t="s">
        <v>40</v>
      </c>
      <c r="Q420">
        <v>0</v>
      </c>
      <c r="R420">
        <v>0</v>
      </c>
      <c r="S420">
        <v>0</v>
      </c>
      <c r="T420">
        <v>6</v>
      </c>
      <c r="U420">
        <v>6</v>
      </c>
      <c r="V420">
        <v>1</v>
      </c>
      <c r="W420">
        <v>2</v>
      </c>
      <c r="X420" t="s">
        <v>40</v>
      </c>
      <c r="Y420">
        <v>3</v>
      </c>
      <c r="Z420">
        <v>89</v>
      </c>
      <c r="AA420">
        <v>1</v>
      </c>
      <c r="AB420">
        <v>0</v>
      </c>
      <c r="AC420">
        <v>325.27699999999999</v>
      </c>
      <c r="AD420">
        <v>5059</v>
      </c>
      <c r="AH420">
        <v>0</v>
      </c>
      <c r="AI420">
        <v>0</v>
      </c>
      <c r="AL420" t="s">
        <v>40</v>
      </c>
      <c r="AM420" t="str">
        <f t="shared" si="30"/>
        <v>89 1</v>
      </c>
      <c r="AN420" s="6" t="s">
        <v>1136</v>
      </c>
      <c r="AO420" s="6" t="s">
        <v>1152</v>
      </c>
      <c r="AQ420" t="s">
        <v>2314</v>
      </c>
      <c r="AR420" t="s">
        <v>2315</v>
      </c>
    </row>
    <row r="421" spans="1:44" x14ac:dyDescent="0.3">
      <c r="A421">
        <v>3869</v>
      </c>
      <c r="B421">
        <v>4</v>
      </c>
      <c r="C421">
        <v>4016955</v>
      </c>
      <c r="D421">
        <v>48330</v>
      </c>
      <c r="E421">
        <v>2</v>
      </c>
      <c r="F421">
        <v>670050</v>
      </c>
      <c r="G421" t="s">
        <v>82</v>
      </c>
      <c r="H421" t="s">
        <v>83</v>
      </c>
      <c r="I421">
        <v>0</v>
      </c>
      <c r="J421" s="1">
        <v>404309.50099999999</v>
      </c>
      <c r="K421" s="1">
        <v>279309.70299999998</v>
      </c>
      <c r="L421" s="1">
        <v>404333.88900000002</v>
      </c>
      <c r="M421" s="1">
        <v>279333.09499999997</v>
      </c>
      <c r="N421" t="s">
        <v>40</v>
      </c>
      <c r="P421" t="s">
        <v>40</v>
      </c>
      <c r="Q421">
        <v>0</v>
      </c>
      <c r="R421">
        <v>0</v>
      </c>
      <c r="S421">
        <v>0</v>
      </c>
      <c r="T421">
        <v>6</v>
      </c>
      <c r="U421">
        <v>6</v>
      </c>
      <c r="V421">
        <v>1</v>
      </c>
      <c r="W421">
        <v>2</v>
      </c>
      <c r="X421" t="s">
        <v>40</v>
      </c>
      <c r="Y421">
        <v>3</v>
      </c>
      <c r="Z421">
        <v>38</v>
      </c>
      <c r="AA421">
        <v>5001</v>
      </c>
      <c r="AB421">
        <v>0</v>
      </c>
      <c r="AC421">
        <v>50.445999999999998</v>
      </c>
      <c r="AD421">
        <v>5059</v>
      </c>
      <c r="AH421">
        <v>0</v>
      </c>
      <c r="AI421">
        <v>0</v>
      </c>
      <c r="AL421" t="s">
        <v>40</v>
      </c>
      <c r="AM421" t="str">
        <f t="shared" si="30"/>
        <v>38 5001</v>
      </c>
      <c r="AN421" t="str">
        <f t="shared" si="31"/>
        <v>404309.501,279309.703</v>
      </c>
      <c r="AO421" t="str">
        <f t="shared" si="32"/>
        <v>404333.889,279333.095</v>
      </c>
      <c r="AQ421" t="s">
        <v>2314</v>
      </c>
      <c r="AR421" t="s">
        <v>1896</v>
      </c>
    </row>
    <row r="422" spans="1:44" x14ac:dyDescent="0.3">
      <c r="A422">
        <v>3869</v>
      </c>
      <c r="B422">
        <v>4</v>
      </c>
      <c r="C422">
        <v>4016843</v>
      </c>
      <c r="D422">
        <v>15305</v>
      </c>
      <c r="E422">
        <v>2</v>
      </c>
      <c r="F422">
        <v>670050</v>
      </c>
      <c r="G422" t="s">
        <v>82</v>
      </c>
      <c r="H422" t="s">
        <v>83</v>
      </c>
      <c r="I422">
        <v>0</v>
      </c>
      <c r="J422" s="1">
        <v>404289.80599999998</v>
      </c>
      <c r="K422" s="1">
        <v>279916.03000000003</v>
      </c>
      <c r="L422" s="1">
        <v>404289.28200000001</v>
      </c>
      <c r="M422" s="1">
        <v>279909.36300000001</v>
      </c>
      <c r="N422" t="s">
        <v>40</v>
      </c>
      <c r="P422" t="s">
        <v>40</v>
      </c>
      <c r="Q422">
        <v>0</v>
      </c>
      <c r="R422">
        <v>0</v>
      </c>
      <c r="S422">
        <v>0</v>
      </c>
      <c r="T422">
        <v>6</v>
      </c>
      <c r="U422">
        <v>6</v>
      </c>
      <c r="V422">
        <v>1</v>
      </c>
      <c r="W422">
        <v>1</v>
      </c>
      <c r="X422" t="s">
        <v>40</v>
      </c>
      <c r="Y422">
        <v>3</v>
      </c>
      <c r="Z422">
        <v>38</v>
      </c>
      <c r="AA422">
        <v>1</v>
      </c>
      <c r="AB422">
        <v>0</v>
      </c>
      <c r="AC422">
        <v>6.6879999999999997</v>
      </c>
      <c r="AD422">
        <v>5059</v>
      </c>
      <c r="AH422">
        <v>0</v>
      </c>
      <c r="AI422">
        <v>0</v>
      </c>
      <c r="AL422" t="s">
        <v>40</v>
      </c>
      <c r="AM422" t="str">
        <f t="shared" ref="AM422:AM457" si="33">_xlfn.CONCAT(Z422, " ",AA422)</f>
        <v>38 1</v>
      </c>
      <c r="AN422" t="str">
        <f t="shared" ref="AN422:AN458" si="34">ROUND(J422,3)&amp;","&amp;ROUND(K422,3)</f>
        <v>404289.806,279916.03</v>
      </c>
      <c r="AO422" t="str">
        <f t="shared" ref="AO422:AO458" si="35">ROUND(L422,3)&amp;","&amp;ROUND(M422,3)</f>
        <v>404289.282,279909.363</v>
      </c>
      <c r="AQ422" t="s">
        <v>2316</v>
      </c>
      <c r="AR422" t="s">
        <v>2312</v>
      </c>
    </row>
    <row r="423" spans="1:44" x14ac:dyDescent="0.3">
      <c r="A423">
        <v>3869</v>
      </c>
      <c r="B423">
        <v>4</v>
      </c>
      <c r="C423">
        <v>4016861</v>
      </c>
      <c r="D423">
        <v>16668</v>
      </c>
      <c r="E423">
        <v>2</v>
      </c>
      <c r="F423">
        <v>670050</v>
      </c>
      <c r="G423" t="s">
        <v>82</v>
      </c>
      <c r="H423" t="s">
        <v>83</v>
      </c>
      <c r="I423">
        <v>0</v>
      </c>
      <c r="J423" s="1">
        <v>404467.625</v>
      </c>
      <c r="K423" s="1">
        <v>279883.81900000002</v>
      </c>
      <c r="L423" s="1">
        <v>404535.89</v>
      </c>
      <c r="M423" s="1">
        <v>279891.10200000001</v>
      </c>
      <c r="N423" t="s">
        <v>40</v>
      </c>
      <c r="P423" t="s">
        <v>40</v>
      </c>
      <c r="Q423">
        <v>0</v>
      </c>
      <c r="R423">
        <v>0</v>
      </c>
      <c r="S423">
        <v>0</v>
      </c>
      <c r="T423">
        <v>6</v>
      </c>
      <c r="U423">
        <v>6</v>
      </c>
      <c r="V423">
        <v>1</v>
      </c>
      <c r="W423">
        <v>1</v>
      </c>
      <c r="X423" t="s">
        <v>40</v>
      </c>
      <c r="Y423">
        <v>3</v>
      </c>
      <c r="Z423">
        <v>52</v>
      </c>
      <c r="AA423">
        <v>99</v>
      </c>
      <c r="AB423">
        <v>0</v>
      </c>
      <c r="AC423">
        <v>74.564999999999998</v>
      </c>
      <c r="AD423">
        <v>5059</v>
      </c>
      <c r="AH423">
        <v>0</v>
      </c>
      <c r="AI423">
        <v>0</v>
      </c>
      <c r="AL423" t="s">
        <v>40</v>
      </c>
      <c r="AM423" t="str">
        <f t="shared" si="33"/>
        <v>52 99</v>
      </c>
      <c r="AN423" t="str">
        <f t="shared" si="34"/>
        <v>404467.625,279883.819</v>
      </c>
      <c r="AO423" t="str">
        <f t="shared" si="35"/>
        <v>404535.89,279891.102</v>
      </c>
      <c r="AQ423" t="s">
        <v>2311</v>
      </c>
      <c r="AR423" t="s">
        <v>2317</v>
      </c>
    </row>
    <row r="424" spans="1:44" x14ac:dyDescent="0.3">
      <c r="A424">
        <v>3869</v>
      </c>
      <c r="B424">
        <v>4</v>
      </c>
      <c r="C424">
        <v>4016830</v>
      </c>
      <c r="D424">
        <v>15465</v>
      </c>
      <c r="E424">
        <v>2</v>
      </c>
      <c r="F424">
        <v>670050</v>
      </c>
      <c r="G424" t="s">
        <v>82</v>
      </c>
      <c r="H424" t="s">
        <v>83</v>
      </c>
      <c r="I424">
        <v>0</v>
      </c>
      <c r="J424" s="1">
        <v>404289.80599999998</v>
      </c>
      <c r="K424" s="1">
        <v>279916.03000000003</v>
      </c>
      <c r="L424" s="1">
        <v>404309.49300000002</v>
      </c>
      <c r="M424" s="1">
        <v>280000</v>
      </c>
      <c r="N424" t="s">
        <v>40</v>
      </c>
      <c r="P424" t="s">
        <v>40</v>
      </c>
      <c r="Q424">
        <v>0</v>
      </c>
      <c r="R424">
        <v>0</v>
      </c>
      <c r="S424">
        <v>0</v>
      </c>
      <c r="T424">
        <v>6</v>
      </c>
      <c r="U424">
        <v>6</v>
      </c>
      <c r="V424">
        <v>1</v>
      </c>
      <c r="W424">
        <v>1</v>
      </c>
      <c r="X424" t="s">
        <v>40</v>
      </c>
      <c r="Y424">
        <v>3</v>
      </c>
      <c r="Z424">
        <v>89</v>
      </c>
      <c r="AA424">
        <v>1</v>
      </c>
      <c r="AB424">
        <v>0</v>
      </c>
      <c r="AC424">
        <v>224.285</v>
      </c>
      <c r="AD424">
        <v>5059</v>
      </c>
      <c r="AH424">
        <v>0</v>
      </c>
      <c r="AI424">
        <v>0</v>
      </c>
      <c r="AL424" t="s">
        <v>40</v>
      </c>
      <c r="AM424" t="str">
        <f t="shared" si="33"/>
        <v>89 1</v>
      </c>
      <c r="AN424" s="6" t="s">
        <v>1138</v>
      </c>
      <c r="AO424" s="6" t="s">
        <v>356</v>
      </c>
      <c r="AQ424" t="s">
        <v>2316</v>
      </c>
      <c r="AR424" t="s">
        <v>737</v>
      </c>
    </row>
    <row r="425" spans="1:44" x14ac:dyDescent="0.3">
      <c r="A425">
        <v>3869</v>
      </c>
      <c r="B425">
        <v>4</v>
      </c>
      <c r="C425">
        <v>4016864</v>
      </c>
      <c r="D425">
        <v>47290</v>
      </c>
      <c r="E425">
        <v>2</v>
      </c>
      <c r="F425">
        <v>670050</v>
      </c>
      <c r="G425" t="s">
        <v>82</v>
      </c>
      <c r="H425" t="s">
        <v>83</v>
      </c>
      <c r="I425">
        <v>0</v>
      </c>
      <c r="J425" s="1">
        <v>404535.89</v>
      </c>
      <c r="K425" s="1">
        <v>279891.10200000001</v>
      </c>
      <c r="L425" s="1">
        <v>404536.75599999999</v>
      </c>
      <c r="M425" s="1">
        <v>279884.337</v>
      </c>
      <c r="N425" t="s">
        <v>40</v>
      </c>
      <c r="P425" t="s">
        <v>40</v>
      </c>
      <c r="Q425">
        <v>0</v>
      </c>
      <c r="R425">
        <v>0</v>
      </c>
      <c r="S425">
        <v>200909</v>
      </c>
      <c r="T425">
        <v>6</v>
      </c>
      <c r="U425">
        <v>6</v>
      </c>
      <c r="V425">
        <v>1</v>
      </c>
      <c r="W425">
        <v>1</v>
      </c>
      <c r="X425" t="s">
        <v>40</v>
      </c>
      <c r="Y425">
        <v>3</v>
      </c>
      <c r="Z425">
        <v>5028</v>
      </c>
      <c r="AA425">
        <v>99</v>
      </c>
      <c r="AB425">
        <v>0</v>
      </c>
      <c r="AC425">
        <v>6.8209999999999997</v>
      </c>
      <c r="AD425">
        <v>5059</v>
      </c>
      <c r="AH425">
        <v>0</v>
      </c>
      <c r="AI425">
        <v>0</v>
      </c>
      <c r="AL425" t="s">
        <v>40</v>
      </c>
      <c r="AM425" t="str">
        <f t="shared" si="33"/>
        <v>5028 99</v>
      </c>
      <c r="AN425" t="str">
        <f t="shared" si="34"/>
        <v>404535.89,279891.102</v>
      </c>
      <c r="AO425" t="str">
        <f t="shared" si="35"/>
        <v>404536.756,279884.337</v>
      </c>
      <c r="AQ425" t="s">
        <v>2317</v>
      </c>
      <c r="AR425" t="s">
        <v>733</v>
      </c>
    </row>
    <row r="426" spans="1:44" x14ac:dyDescent="0.3">
      <c r="A426">
        <v>3869</v>
      </c>
      <c r="B426">
        <v>4</v>
      </c>
      <c r="C426">
        <v>4017008</v>
      </c>
      <c r="D426">
        <v>48352</v>
      </c>
      <c r="E426">
        <v>2</v>
      </c>
      <c r="F426">
        <v>670050</v>
      </c>
      <c r="G426" t="s">
        <v>82</v>
      </c>
      <c r="H426" t="s">
        <v>83</v>
      </c>
      <c r="I426">
        <v>0</v>
      </c>
      <c r="J426" s="1">
        <v>405000</v>
      </c>
      <c r="K426" s="1">
        <v>279849.55599999998</v>
      </c>
      <c r="L426" s="1">
        <v>404827.75300000003</v>
      </c>
      <c r="M426" s="1">
        <v>279704.64600000001</v>
      </c>
      <c r="N426" t="s">
        <v>40</v>
      </c>
      <c r="P426" t="s">
        <v>40</v>
      </c>
      <c r="Q426">
        <v>0</v>
      </c>
      <c r="R426">
        <v>0</v>
      </c>
      <c r="S426">
        <v>0</v>
      </c>
      <c r="T426">
        <v>6</v>
      </c>
      <c r="U426">
        <v>6</v>
      </c>
      <c r="V426">
        <v>1</v>
      </c>
      <c r="W426">
        <v>2</v>
      </c>
      <c r="X426" t="s">
        <v>40</v>
      </c>
      <c r="Y426">
        <v>3</v>
      </c>
      <c r="Z426">
        <v>89</v>
      </c>
      <c r="AA426">
        <v>1</v>
      </c>
      <c r="AB426">
        <v>0</v>
      </c>
      <c r="AC426">
        <v>349.19</v>
      </c>
      <c r="AD426">
        <v>5059</v>
      </c>
      <c r="AH426">
        <v>0</v>
      </c>
      <c r="AI426">
        <v>0</v>
      </c>
      <c r="AL426" t="s">
        <v>40</v>
      </c>
      <c r="AM426" t="str">
        <f t="shared" si="33"/>
        <v>89 1</v>
      </c>
      <c r="AN426" s="6" t="s">
        <v>349</v>
      </c>
      <c r="AO426" s="6" t="s">
        <v>352</v>
      </c>
      <c r="AQ426" t="s">
        <v>734</v>
      </c>
      <c r="AR426" t="s">
        <v>735</v>
      </c>
    </row>
    <row r="427" spans="1:44" x14ac:dyDescent="0.3">
      <c r="A427">
        <v>3869</v>
      </c>
      <c r="B427">
        <v>4</v>
      </c>
      <c r="C427">
        <v>4016973</v>
      </c>
      <c r="D427">
        <v>48347</v>
      </c>
      <c r="E427">
        <v>2</v>
      </c>
      <c r="F427">
        <v>670050</v>
      </c>
      <c r="G427" t="s">
        <v>82</v>
      </c>
      <c r="H427" t="s">
        <v>83</v>
      </c>
      <c r="I427">
        <v>0</v>
      </c>
      <c r="J427" s="1">
        <v>404783.141</v>
      </c>
      <c r="K427" s="1">
        <v>279463.40500000003</v>
      </c>
      <c r="L427" s="1">
        <v>404826.20400000003</v>
      </c>
      <c r="M427" s="1">
        <v>279704.603</v>
      </c>
      <c r="N427" t="s">
        <v>40</v>
      </c>
      <c r="P427" t="s">
        <v>40</v>
      </c>
      <c r="Q427">
        <v>0</v>
      </c>
      <c r="R427">
        <v>0</v>
      </c>
      <c r="S427">
        <v>0</v>
      </c>
      <c r="T427">
        <v>6</v>
      </c>
      <c r="U427">
        <v>6</v>
      </c>
      <c r="V427">
        <v>1</v>
      </c>
      <c r="W427">
        <v>2</v>
      </c>
      <c r="X427" t="s">
        <v>40</v>
      </c>
      <c r="Y427">
        <v>3</v>
      </c>
      <c r="Z427">
        <v>89</v>
      </c>
      <c r="AA427">
        <v>1</v>
      </c>
      <c r="AB427">
        <v>0</v>
      </c>
      <c r="AC427">
        <v>278.63400000000001</v>
      </c>
      <c r="AD427">
        <v>5059</v>
      </c>
      <c r="AH427">
        <v>0</v>
      </c>
      <c r="AI427">
        <v>0</v>
      </c>
      <c r="AL427" t="s">
        <v>40</v>
      </c>
      <c r="AM427" t="str">
        <f t="shared" si="33"/>
        <v>89 1</v>
      </c>
      <c r="AN427" t="str">
        <f t="shared" si="34"/>
        <v>404783.141,279463.405</v>
      </c>
      <c r="AO427" t="str">
        <f t="shared" si="35"/>
        <v>404826.204,279704.603</v>
      </c>
      <c r="AQ427" t="s">
        <v>2318</v>
      </c>
      <c r="AR427" t="s">
        <v>734</v>
      </c>
    </row>
    <row r="428" spans="1:44" x14ac:dyDescent="0.3">
      <c r="A428">
        <v>3869</v>
      </c>
      <c r="B428">
        <v>4</v>
      </c>
      <c r="C428">
        <v>4016965</v>
      </c>
      <c r="D428">
        <v>15792</v>
      </c>
      <c r="E428">
        <v>2</v>
      </c>
      <c r="F428">
        <v>670050</v>
      </c>
      <c r="G428" t="s">
        <v>82</v>
      </c>
      <c r="H428" t="s">
        <v>83</v>
      </c>
      <c r="I428">
        <v>0</v>
      </c>
      <c r="J428" s="1">
        <v>404679.71399999998</v>
      </c>
      <c r="K428" s="1">
        <v>279454.30099999998</v>
      </c>
      <c r="L428" s="1">
        <v>404783.141</v>
      </c>
      <c r="M428" s="1">
        <v>279463.40500000003</v>
      </c>
      <c r="N428" t="s">
        <v>40</v>
      </c>
      <c r="P428" t="s">
        <v>40</v>
      </c>
      <c r="Q428">
        <v>0</v>
      </c>
      <c r="R428">
        <v>0</v>
      </c>
      <c r="S428">
        <v>0</v>
      </c>
      <c r="T428">
        <v>6</v>
      </c>
      <c r="U428">
        <v>6</v>
      </c>
      <c r="V428">
        <v>1</v>
      </c>
      <c r="W428">
        <v>2</v>
      </c>
      <c r="X428" t="s">
        <v>40</v>
      </c>
      <c r="Y428">
        <v>3</v>
      </c>
      <c r="Z428">
        <v>38</v>
      </c>
      <c r="AA428">
        <v>5001</v>
      </c>
      <c r="AB428">
        <v>0</v>
      </c>
      <c r="AC428">
        <v>113.71599999999999</v>
      </c>
      <c r="AD428">
        <v>5059</v>
      </c>
      <c r="AH428">
        <v>0</v>
      </c>
      <c r="AI428">
        <v>0</v>
      </c>
      <c r="AL428" t="s">
        <v>40</v>
      </c>
      <c r="AM428" t="str">
        <f t="shared" si="33"/>
        <v>38 5001</v>
      </c>
      <c r="AN428" t="str">
        <f t="shared" si="34"/>
        <v>404679.714,279454.301</v>
      </c>
      <c r="AO428" t="str">
        <f t="shared" si="35"/>
        <v>404783.141,279463.405</v>
      </c>
      <c r="AQ428" t="s">
        <v>2319</v>
      </c>
      <c r="AR428" t="s">
        <v>2318</v>
      </c>
    </row>
    <row r="429" spans="1:44" x14ac:dyDescent="0.3">
      <c r="A429">
        <v>3869</v>
      </c>
      <c r="B429">
        <v>4</v>
      </c>
      <c r="C429">
        <v>4016964</v>
      </c>
      <c r="D429">
        <v>15786</v>
      </c>
      <c r="E429">
        <v>2</v>
      </c>
      <c r="F429">
        <v>670050</v>
      </c>
      <c r="G429" t="s">
        <v>82</v>
      </c>
      <c r="H429" t="s">
        <v>83</v>
      </c>
      <c r="I429">
        <v>0</v>
      </c>
      <c r="J429" s="1">
        <v>404679.71399999998</v>
      </c>
      <c r="K429" s="1">
        <v>279454.30099999998</v>
      </c>
      <c r="L429" s="1">
        <v>404658.125</v>
      </c>
      <c r="M429" s="1">
        <v>279449.55800000002</v>
      </c>
      <c r="N429" t="s">
        <v>40</v>
      </c>
      <c r="P429" t="s">
        <v>40</v>
      </c>
      <c r="Q429">
        <v>0</v>
      </c>
      <c r="R429">
        <v>0</v>
      </c>
      <c r="S429">
        <v>0</v>
      </c>
      <c r="T429">
        <v>6</v>
      </c>
      <c r="U429">
        <v>6</v>
      </c>
      <c r="V429">
        <v>1</v>
      </c>
      <c r="W429">
        <v>2</v>
      </c>
      <c r="X429" t="s">
        <v>40</v>
      </c>
      <c r="Y429">
        <v>3</v>
      </c>
      <c r="Z429">
        <v>89</v>
      </c>
      <c r="AA429">
        <v>1</v>
      </c>
      <c r="AB429">
        <v>0</v>
      </c>
      <c r="AC429">
        <v>76.652999999999992</v>
      </c>
      <c r="AD429">
        <v>5059</v>
      </c>
      <c r="AH429">
        <v>0</v>
      </c>
      <c r="AI429">
        <v>0</v>
      </c>
      <c r="AL429" t="s">
        <v>40</v>
      </c>
      <c r="AM429" t="str">
        <f t="shared" si="33"/>
        <v>89 1</v>
      </c>
      <c r="AN429" s="6" t="s">
        <v>1153</v>
      </c>
      <c r="AO429" s="6" t="s">
        <v>1143</v>
      </c>
      <c r="AQ429" t="s">
        <v>2320</v>
      </c>
      <c r="AR429" t="s">
        <v>2319</v>
      </c>
    </row>
    <row r="430" spans="1:44" x14ac:dyDescent="0.3">
      <c r="A430">
        <v>3869</v>
      </c>
      <c r="B430">
        <v>4</v>
      </c>
      <c r="C430">
        <v>4019463</v>
      </c>
      <c r="D430">
        <v>17981</v>
      </c>
      <c r="E430">
        <v>2</v>
      </c>
      <c r="F430">
        <v>670050</v>
      </c>
      <c r="G430" t="s">
        <v>82</v>
      </c>
      <c r="H430" t="s">
        <v>58</v>
      </c>
      <c r="I430">
        <v>0</v>
      </c>
      <c r="J430" s="1">
        <v>404591.1</v>
      </c>
      <c r="K430" s="1">
        <v>280734.70699999999</v>
      </c>
      <c r="L430" s="1">
        <v>404600.12400000001</v>
      </c>
      <c r="M430" s="1">
        <v>280728.89199999999</v>
      </c>
      <c r="N430" t="s">
        <v>40</v>
      </c>
      <c r="P430" t="s">
        <v>40</v>
      </c>
      <c r="Q430">
        <v>0</v>
      </c>
      <c r="R430">
        <v>0</v>
      </c>
      <c r="S430">
        <v>0</v>
      </c>
      <c r="T430">
        <v>6</v>
      </c>
      <c r="U430">
        <v>6</v>
      </c>
      <c r="V430">
        <v>1</v>
      </c>
      <c r="W430">
        <v>2</v>
      </c>
      <c r="X430" t="s">
        <v>40</v>
      </c>
      <c r="Y430">
        <v>3</v>
      </c>
      <c r="Z430">
        <v>52</v>
      </c>
      <c r="AA430">
        <v>1</v>
      </c>
      <c r="AB430">
        <v>0</v>
      </c>
      <c r="AC430">
        <v>88.465000000000003</v>
      </c>
      <c r="AD430">
        <v>5059</v>
      </c>
      <c r="AH430">
        <v>0</v>
      </c>
      <c r="AI430">
        <v>0</v>
      </c>
      <c r="AL430" t="s">
        <v>40</v>
      </c>
      <c r="AM430" t="str">
        <f t="shared" si="33"/>
        <v>52 1</v>
      </c>
      <c r="AN430" s="6" t="s">
        <v>1687</v>
      </c>
      <c r="AO430" s="6" t="s">
        <v>364</v>
      </c>
      <c r="AQ430" t="s">
        <v>2321</v>
      </c>
      <c r="AR430" t="s">
        <v>731</v>
      </c>
    </row>
    <row r="431" spans="1:44" x14ac:dyDescent="0.3">
      <c r="A431">
        <v>3869</v>
      </c>
      <c r="B431">
        <v>4</v>
      </c>
      <c r="C431">
        <v>4017438</v>
      </c>
      <c r="D431">
        <v>52667</v>
      </c>
      <c r="E431">
        <v>2</v>
      </c>
      <c r="F431">
        <v>670050</v>
      </c>
      <c r="G431" t="s">
        <v>82</v>
      </c>
      <c r="H431" t="s">
        <v>63</v>
      </c>
      <c r="I431">
        <v>0</v>
      </c>
      <c r="J431" s="1">
        <v>403421.61099999998</v>
      </c>
      <c r="K431" s="1">
        <v>280139.92</v>
      </c>
      <c r="L431" s="1">
        <v>403399.30099999998</v>
      </c>
      <c r="M431" s="1">
        <v>280170.842</v>
      </c>
      <c r="N431" t="s">
        <v>40</v>
      </c>
      <c r="P431" t="s">
        <v>40</v>
      </c>
      <c r="Q431">
        <v>0</v>
      </c>
      <c r="R431">
        <v>0</v>
      </c>
      <c r="S431">
        <v>0</v>
      </c>
      <c r="T431">
        <v>6</v>
      </c>
      <c r="U431">
        <v>6</v>
      </c>
      <c r="V431">
        <v>1</v>
      </c>
      <c r="W431">
        <v>2</v>
      </c>
      <c r="X431" t="s">
        <v>40</v>
      </c>
      <c r="Y431">
        <v>3</v>
      </c>
      <c r="Z431">
        <v>52</v>
      </c>
      <c r="AA431">
        <v>1</v>
      </c>
      <c r="AB431">
        <v>0</v>
      </c>
      <c r="AC431">
        <v>52.115000000000002</v>
      </c>
      <c r="AD431">
        <v>5059</v>
      </c>
      <c r="AH431">
        <v>0</v>
      </c>
      <c r="AI431">
        <v>0</v>
      </c>
      <c r="AL431" t="s">
        <v>40</v>
      </c>
      <c r="AM431" t="str">
        <f t="shared" si="33"/>
        <v>52 1</v>
      </c>
      <c r="AN431" t="str">
        <f t="shared" si="34"/>
        <v>403421.611,280139.92</v>
      </c>
      <c r="AO431" t="str">
        <f t="shared" si="35"/>
        <v>403399.301,280170.842</v>
      </c>
      <c r="AQ431" t="s">
        <v>2322</v>
      </c>
      <c r="AR431" t="s">
        <v>2323</v>
      </c>
    </row>
    <row r="432" spans="1:44" x14ac:dyDescent="0.3">
      <c r="A432">
        <v>3869</v>
      </c>
      <c r="B432">
        <v>4</v>
      </c>
      <c r="C432">
        <v>4019507</v>
      </c>
      <c r="D432">
        <v>17675</v>
      </c>
      <c r="E432">
        <v>2</v>
      </c>
      <c r="F432">
        <v>670050</v>
      </c>
      <c r="G432" t="s">
        <v>82</v>
      </c>
      <c r="H432" t="s">
        <v>58</v>
      </c>
      <c r="I432">
        <v>0</v>
      </c>
      <c r="J432" s="1">
        <v>404931.88299999997</v>
      </c>
      <c r="K432" s="1">
        <v>280660.74099999998</v>
      </c>
      <c r="L432" s="1">
        <v>404929.87199999997</v>
      </c>
      <c r="M432" s="1">
        <v>280644.03200000001</v>
      </c>
      <c r="N432" t="s">
        <v>40</v>
      </c>
      <c r="P432" t="s">
        <v>40</v>
      </c>
      <c r="Q432">
        <v>0</v>
      </c>
      <c r="R432">
        <v>0</v>
      </c>
      <c r="S432">
        <v>0</v>
      </c>
      <c r="T432">
        <v>6</v>
      </c>
      <c r="U432">
        <v>6</v>
      </c>
      <c r="V432">
        <v>1</v>
      </c>
      <c r="W432">
        <v>1</v>
      </c>
      <c r="X432" t="s">
        <v>40</v>
      </c>
      <c r="Y432">
        <v>3</v>
      </c>
      <c r="Z432">
        <v>89</v>
      </c>
      <c r="AA432">
        <v>1</v>
      </c>
      <c r="AB432">
        <v>0</v>
      </c>
      <c r="AC432">
        <v>457.476</v>
      </c>
      <c r="AD432">
        <v>5059</v>
      </c>
      <c r="AH432">
        <v>0</v>
      </c>
      <c r="AI432">
        <v>0</v>
      </c>
      <c r="AL432" t="s">
        <v>40</v>
      </c>
      <c r="AM432" t="str">
        <f t="shared" si="33"/>
        <v>89 1</v>
      </c>
      <c r="AN432" s="6" t="s">
        <v>1151</v>
      </c>
      <c r="AO432" s="6" t="s">
        <v>1145</v>
      </c>
      <c r="AQ432" t="s">
        <v>2324</v>
      </c>
      <c r="AR432" t="s">
        <v>2325</v>
      </c>
    </row>
    <row r="433" spans="1:44" x14ac:dyDescent="0.3">
      <c r="A433">
        <v>3869</v>
      </c>
      <c r="B433">
        <v>6</v>
      </c>
      <c r="C433">
        <v>4019979</v>
      </c>
      <c r="D433">
        <v>68696</v>
      </c>
      <c r="E433">
        <v>2</v>
      </c>
      <c r="F433">
        <v>670050</v>
      </c>
      <c r="G433" t="s">
        <v>82</v>
      </c>
      <c r="H433" t="s">
        <v>58</v>
      </c>
      <c r="I433">
        <v>0</v>
      </c>
      <c r="J433" s="1">
        <v>404937.03399999999</v>
      </c>
      <c r="K433" s="1">
        <v>280661.74099999998</v>
      </c>
      <c r="L433" s="1">
        <v>404938.25300000003</v>
      </c>
      <c r="M433" s="1">
        <v>280661.71600000001</v>
      </c>
      <c r="N433" t="s">
        <v>40</v>
      </c>
      <c r="P433" t="s">
        <v>40</v>
      </c>
      <c r="Q433">
        <v>0</v>
      </c>
      <c r="R433">
        <v>0</v>
      </c>
      <c r="S433">
        <v>201210</v>
      </c>
      <c r="T433">
        <v>6</v>
      </c>
      <c r="U433">
        <v>6</v>
      </c>
      <c r="V433">
        <v>1</v>
      </c>
      <c r="W433">
        <v>1</v>
      </c>
      <c r="X433" t="s">
        <v>40</v>
      </c>
      <c r="Y433">
        <v>3</v>
      </c>
      <c r="Z433">
        <v>5028</v>
      </c>
      <c r="AA433">
        <v>1</v>
      </c>
      <c r="AB433">
        <v>0</v>
      </c>
      <c r="AC433">
        <v>1.2190000000000001</v>
      </c>
      <c r="AD433">
        <v>8075</v>
      </c>
      <c r="AE433" t="s">
        <v>84</v>
      </c>
      <c r="AH433">
        <v>0</v>
      </c>
      <c r="AI433">
        <v>2</v>
      </c>
      <c r="AL433" t="s">
        <v>40</v>
      </c>
      <c r="AM433" t="str">
        <f t="shared" si="33"/>
        <v>5028 1</v>
      </c>
      <c r="AN433" t="str">
        <f t="shared" si="34"/>
        <v>404937.034,280661.741</v>
      </c>
      <c r="AO433" t="str">
        <f t="shared" si="35"/>
        <v>404938.253,280661.716</v>
      </c>
      <c r="AQ433" t="s">
        <v>2326</v>
      </c>
      <c r="AR433" t="s">
        <v>731</v>
      </c>
    </row>
    <row r="434" spans="1:44" x14ac:dyDescent="0.3">
      <c r="A434">
        <v>3869</v>
      </c>
      <c r="B434">
        <v>4</v>
      </c>
      <c r="C434">
        <v>4017417</v>
      </c>
      <c r="D434">
        <v>52657</v>
      </c>
      <c r="E434">
        <v>2</v>
      </c>
      <c r="F434">
        <v>670050</v>
      </c>
      <c r="G434" t="s">
        <v>82</v>
      </c>
      <c r="H434" t="s">
        <v>63</v>
      </c>
      <c r="I434">
        <v>0</v>
      </c>
      <c r="J434" s="1">
        <v>403350.10600000003</v>
      </c>
      <c r="K434" s="1">
        <v>280372.364</v>
      </c>
      <c r="L434" s="1">
        <v>403350.21600000001</v>
      </c>
      <c r="M434" s="1">
        <v>280364.946</v>
      </c>
      <c r="N434" t="s">
        <v>40</v>
      </c>
      <c r="P434" t="s">
        <v>40</v>
      </c>
      <c r="Q434">
        <v>0</v>
      </c>
      <c r="R434">
        <v>0</v>
      </c>
      <c r="S434">
        <v>0</v>
      </c>
      <c r="T434">
        <v>6</v>
      </c>
      <c r="U434">
        <v>6</v>
      </c>
      <c r="V434">
        <v>1</v>
      </c>
      <c r="W434">
        <v>3</v>
      </c>
      <c r="X434" t="s">
        <v>40</v>
      </c>
      <c r="Y434">
        <v>3</v>
      </c>
      <c r="Z434">
        <v>36</v>
      </c>
      <c r="AA434">
        <v>5001</v>
      </c>
      <c r="AB434">
        <v>0</v>
      </c>
      <c r="AC434">
        <v>7.4189999999999996</v>
      </c>
      <c r="AD434">
        <v>5059</v>
      </c>
      <c r="AH434">
        <v>0</v>
      </c>
      <c r="AI434">
        <v>0</v>
      </c>
      <c r="AL434" t="s">
        <v>40</v>
      </c>
      <c r="AM434" t="str">
        <f t="shared" si="33"/>
        <v>36 5001</v>
      </c>
      <c r="AN434" t="str">
        <f t="shared" si="34"/>
        <v>403350.106,280372.364</v>
      </c>
      <c r="AO434" t="str">
        <f t="shared" si="35"/>
        <v>403350.216,280364.946</v>
      </c>
      <c r="AQ434" t="s">
        <v>2327</v>
      </c>
      <c r="AR434" t="s">
        <v>736</v>
      </c>
    </row>
    <row r="435" spans="1:44" x14ac:dyDescent="0.3">
      <c r="A435">
        <v>3869</v>
      </c>
      <c r="B435">
        <v>4</v>
      </c>
      <c r="C435">
        <v>4019976</v>
      </c>
      <c r="D435">
        <v>68683</v>
      </c>
      <c r="E435">
        <v>2</v>
      </c>
      <c r="F435">
        <v>670050</v>
      </c>
      <c r="G435" t="s">
        <v>82</v>
      </c>
      <c r="H435" t="s">
        <v>58</v>
      </c>
      <c r="I435">
        <v>0</v>
      </c>
      <c r="J435" s="1">
        <v>404932.32199999999</v>
      </c>
      <c r="K435" s="1">
        <v>280664.386</v>
      </c>
      <c r="L435" s="1">
        <v>404936.36900000001</v>
      </c>
      <c r="M435" s="1">
        <v>280662.22200000001</v>
      </c>
      <c r="N435" t="s">
        <v>40</v>
      </c>
      <c r="P435" t="s">
        <v>40</v>
      </c>
      <c r="Q435">
        <v>0</v>
      </c>
      <c r="R435">
        <v>0</v>
      </c>
      <c r="S435">
        <v>0</v>
      </c>
      <c r="T435">
        <v>6</v>
      </c>
      <c r="U435">
        <v>6</v>
      </c>
      <c r="V435">
        <v>1</v>
      </c>
      <c r="W435">
        <v>1</v>
      </c>
      <c r="X435" t="s">
        <v>40</v>
      </c>
      <c r="Y435">
        <v>3</v>
      </c>
      <c r="Z435">
        <v>38</v>
      </c>
      <c r="AA435">
        <v>1</v>
      </c>
      <c r="AB435">
        <v>0</v>
      </c>
      <c r="AC435">
        <v>5.3559999999999999</v>
      </c>
      <c r="AD435">
        <v>5059</v>
      </c>
      <c r="AH435">
        <v>0</v>
      </c>
      <c r="AI435">
        <v>0</v>
      </c>
      <c r="AL435" t="s">
        <v>40</v>
      </c>
      <c r="AM435" t="str">
        <f t="shared" si="33"/>
        <v>38 1</v>
      </c>
      <c r="AN435" t="str">
        <f t="shared" si="34"/>
        <v>404932.322,280664.386</v>
      </c>
      <c r="AO435" t="str">
        <f t="shared" si="35"/>
        <v>404936.369,280662.222</v>
      </c>
      <c r="AQ435" t="s">
        <v>2328</v>
      </c>
      <c r="AR435" t="s">
        <v>2329</v>
      </c>
    </row>
    <row r="436" spans="1:44" x14ac:dyDescent="0.3">
      <c r="A436">
        <v>3869</v>
      </c>
      <c r="B436">
        <v>4</v>
      </c>
      <c r="C436">
        <v>4019977</v>
      </c>
      <c r="D436">
        <v>68691</v>
      </c>
      <c r="E436">
        <v>2</v>
      </c>
      <c r="F436">
        <v>670050</v>
      </c>
      <c r="G436" t="s">
        <v>82</v>
      </c>
      <c r="H436" t="s">
        <v>58</v>
      </c>
      <c r="I436">
        <v>0</v>
      </c>
      <c r="J436" s="1">
        <v>404931.88299999997</v>
      </c>
      <c r="K436" s="1">
        <v>280660.74099999998</v>
      </c>
      <c r="L436" s="1">
        <v>404937.03399999999</v>
      </c>
      <c r="M436" s="1">
        <v>280661.74099999998</v>
      </c>
      <c r="N436" t="s">
        <v>40</v>
      </c>
      <c r="P436" t="s">
        <v>40</v>
      </c>
      <c r="Q436">
        <v>0</v>
      </c>
      <c r="R436">
        <v>0</v>
      </c>
      <c r="S436">
        <v>0</v>
      </c>
      <c r="T436">
        <v>6</v>
      </c>
      <c r="U436">
        <v>6</v>
      </c>
      <c r="V436">
        <v>1</v>
      </c>
      <c r="W436">
        <v>1</v>
      </c>
      <c r="X436" t="s">
        <v>40</v>
      </c>
      <c r="Y436">
        <v>3</v>
      </c>
      <c r="Z436">
        <v>38</v>
      </c>
      <c r="AA436">
        <v>1</v>
      </c>
      <c r="AB436">
        <v>0</v>
      </c>
      <c r="AC436">
        <v>6.0439999999999996</v>
      </c>
      <c r="AD436">
        <v>5059</v>
      </c>
      <c r="AH436">
        <v>0</v>
      </c>
      <c r="AI436">
        <v>0</v>
      </c>
      <c r="AL436" t="s">
        <v>40</v>
      </c>
      <c r="AM436" t="str">
        <f t="shared" si="33"/>
        <v>38 1</v>
      </c>
      <c r="AN436" t="str">
        <f t="shared" si="34"/>
        <v>404931.883,280660.741</v>
      </c>
      <c r="AO436" t="str">
        <f t="shared" si="35"/>
        <v>404937.034,280661.741</v>
      </c>
      <c r="AQ436" t="s">
        <v>2325</v>
      </c>
      <c r="AR436" t="s">
        <v>2326</v>
      </c>
    </row>
    <row r="437" spans="1:44" x14ac:dyDescent="0.3">
      <c r="A437">
        <v>3869</v>
      </c>
      <c r="B437">
        <v>6</v>
      </c>
      <c r="C437">
        <v>4019978</v>
      </c>
      <c r="D437">
        <v>68694</v>
      </c>
      <c r="E437">
        <v>2</v>
      </c>
      <c r="F437">
        <v>670050</v>
      </c>
      <c r="G437" t="s">
        <v>82</v>
      </c>
      <c r="H437" t="s">
        <v>58</v>
      </c>
      <c r="I437">
        <v>0</v>
      </c>
      <c r="J437" s="1">
        <v>404936.36900000001</v>
      </c>
      <c r="K437" s="1">
        <v>280662.22200000001</v>
      </c>
      <c r="L437" s="1">
        <v>404938.29300000001</v>
      </c>
      <c r="M437" s="1">
        <v>280662.13500000001</v>
      </c>
      <c r="N437" t="s">
        <v>40</v>
      </c>
      <c r="P437" t="s">
        <v>40</v>
      </c>
      <c r="Q437">
        <v>0</v>
      </c>
      <c r="R437">
        <v>0</v>
      </c>
      <c r="S437">
        <v>201210</v>
      </c>
      <c r="T437">
        <v>6</v>
      </c>
      <c r="U437">
        <v>6</v>
      </c>
      <c r="V437">
        <v>1</v>
      </c>
      <c r="W437">
        <v>1</v>
      </c>
      <c r="X437" t="s">
        <v>40</v>
      </c>
      <c r="Y437">
        <v>3</v>
      </c>
      <c r="Z437">
        <v>5028</v>
      </c>
      <c r="AA437">
        <v>1</v>
      </c>
      <c r="AB437">
        <v>0</v>
      </c>
      <c r="AC437">
        <v>1.9259999999999999</v>
      </c>
      <c r="AD437">
        <v>8075</v>
      </c>
      <c r="AE437" t="s">
        <v>84</v>
      </c>
      <c r="AH437">
        <v>0</v>
      </c>
      <c r="AI437">
        <v>2</v>
      </c>
      <c r="AL437" t="s">
        <v>40</v>
      </c>
      <c r="AM437" t="str">
        <f t="shared" si="33"/>
        <v>5028 1</v>
      </c>
      <c r="AN437" t="str">
        <f t="shared" si="34"/>
        <v>404936.369,280662.222</v>
      </c>
      <c r="AO437" t="str">
        <f t="shared" si="35"/>
        <v>404938.293,280662.135</v>
      </c>
      <c r="AQ437" t="s">
        <v>2329</v>
      </c>
      <c r="AR437" t="s">
        <v>738</v>
      </c>
    </row>
    <row r="438" spans="1:44" x14ac:dyDescent="0.3">
      <c r="A438">
        <v>3869</v>
      </c>
      <c r="B438">
        <v>4</v>
      </c>
      <c r="C438">
        <v>4019533</v>
      </c>
      <c r="D438">
        <v>17272</v>
      </c>
      <c r="E438">
        <v>2</v>
      </c>
      <c r="F438">
        <v>670050</v>
      </c>
      <c r="G438" t="s">
        <v>82</v>
      </c>
      <c r="H438" t="s">
        <v>58</v>
      </c>
      <c r="I438">
        <v>0</v>
      </c>
      <c r="J438" s="1">
        <v>404740.114</v>
      </c>
      <c r="K438" s="1">
        <v>280265.52500000002</v>
      </c>
      <c r="L438" s="1">
        <v>404723.47</v>
      </c>
      <c r="M438" s="1">
        <v>280278.598</v>
      </c>
      <c r="N438" t="s">
        <v>40</v>
      </c>
      <c r="P438" t="s">
        <v>40</v>
      </c>
      <c r="Q438">
        <v>0</v>
      </c>
      <c r="R438">
        <v>0</v>
      </c>
      <c r="S438">
        <v>0</v>
      </c>
      <c r="T438">
        <v>6</v>
      </c>
      <c r="U438">
        <v>6</v>
      </c>
      <c r="V438">
        <v>1</v>
      </c>
      <c r="W438">
        <v>1</v>
      </c>
      <c r="X438" t="s">
        <v>40</v>
      </c>
      <c r="Y438">
        <v>3</v>
      </c>
      <c r="Z438">
        <v>92</v>
      </c>
      <c r="AA438">
        <v>1</v>
      </c>
      <c r="AB438">
        <v>0</v>
      </c>
      <c r="AC438">
        <v>26.963999999999999</v>
      </c>
      <c r="AD438">
        <v>5059</v>
      </c>
      <c r="AH438">
        <v>0</v>
      </c>
      <c r="AI438">
        <v>0</v>
      </c>
      <c r="AL438" t="s">
        <v>40</v>
      </c>
      <c r="AM438" t="str">
        <f t="shared" si="33"/>
        <v>92 1</v>
      </c>
      <c r="AN438" t="str">
        <f t="shared" si="34"/>
        <v>404740.114,280265.525</v>
      </c>
      <c r="AO438" t="str">
        <f t="shared" si="35"/>
        <v>404723.47,280278.598</v>
      </c>
      <c r="AQ438" t="s">
        <v>2324</v>
      </c>
      <c r="AR438" t="s">
        <v>2330</v>
      </c>
    </row>
    <row r="439" spans="1:44" x14ac:dyDescent="0.3">
      <c r="A439">
        <v>3869</v>
      </c>
      <c r="B439">
        <v>4</v>
      </c>
      <c r="C439">
        <v>4016962</v>
      </c>
      <c r="D439">
        <v>15687</v>
      </c>
      <c r="E439">
        <v>2</v>
      </c>
      <c r="F439">
        <v>670050</v>
      </c>
      <c r="G439" t="s">
        <v>82</v>
      </c>
      <c r="H439" t="s">
        <v>83</v>
      </c>
      <c r="I439">
        <v>0</v>
      </c>
      <c r="J439" s="1">
        <v>404605.66200000001</v>
      </c>
      <c r="K439" s="1">
        <v>279434.66100000002</v>
      </c>
      <c r="L439" s="1">
        <v>404596.72100000002</v>
      </c>
      <c r="M439" s="1">
        <v>279431.69300000003</v>
      </c>
      <c r="N439" t="s">
        <v>40</v>
      </c>
      <c r="P439" t="s">
        <v>40</v>
      </c>
      <c r="Q439">
        <v>0</v>
      </c>
      <c r="R439">
        <v>0</v>
      </c>
      <c r="S439">
        <v>200006</v>
      </c>
      <c r="T439">
        <v>6</v>
      </c>
      <c r="U439">
        <v>6</v>
      </c>
      <c r="V439">
        <v>1</v>
      </c>
      <c r="W439">
        <v>2</v>
      </c>
      <c r="X439" t="s">
        <v>40</v>
      </c>
      <c r="Y439">
        <v>3</v>
      </c>
      <c r="Z439">
        <v>38</v>
      </c>
      <c r="AA439">
        <v>1</v>
      </c>
      <c r="AB439">
        <v>0</v>
      </c>
      <c r="AC439">
        <v>9.5429999999999993</v>
      </c>
      <c r="AD439">
        <v>5059</v>
      </c>
      <c r="AH439">
        <v>0</v>
      </c>
      <c r="AI439">
        <v>0</v>
      </c>
      <c r="AL439" t="s">
        <v>40</v>
      </c>
      <c r="AM439" t="str">
        <f t="shared" si="33"/>
        <v>38 1</v>
      </c>
      <c r="AN439" t="str">
        <f t="shared" si="34"/>
        <v>404605.662,279434.661</v>
      </c>
      <c r="AO439" t="str">
        <f t="shared" si="35"/>
        <v>404596.721,279431.693</v>
      </c>
      <c r="AQ439" t="s">
        <v>2320</v>
      </c>
      <c r="AR439" t="s">
        <v>2315</v>
      </c>
    </row>
    <row r="440" spans="1:44" x14ac:dyDescent="0.3">
      <c r="A440">
        <v>3869</v>
      </c>
      <c r="B440">
        <v>4</v>
      </c>
      <c r="C440">
        <v>4017428</v>
      </c>
      <c r="D440">
        <v>14888</v>
      </c>
      <c r="E440">
        <v>2</v>
      </c>
      <c r="F440">
        <v>670050</v>
      </c>
      <c r="G440" t="s">
        <v>82</v>
      </c>
      <c r="H440" t="s">
        <v>63</v>
      </c>
      <c r="I440">
        <v>0</v>
      </c>
      <c r="J440" s="1">
        <v>403438.17499999999</v>
      </c>
      <c r="K440" s="1">
        <v>280311.65600000002</v>
      </c>
      <c r="L440" s="1">
        <v>403441.212</v>
      </c>
      <c r="M440" s="1">
        <v>280293.71100000001</v>
      </c>
      <c r="N440" t="s">
        <v>40</v>
      </c>
      <c r="P440" t="s">
        <v>40</v>
      </c>
      <c r="Q440">
        <v>0</v>
      </c>
      <c r="R440">
        <v>0</v>
      </c>
      <c r="S440">
        <v>0</v>
      </c>
      <c r="T440">
        <v>6</v>
      </c>
      <c r="U440">
        <v>6</v>
      </c>
      <c r="V440">
        <v>1</v>
      </c>
      <c r="W440">
        <v>3</v>
      </c>
      <c r="X440" t="s">
        <v>40</v>
      </c>
      <c r="Y440">
        <v>3</v>
      </c>
      <c r="Z440">
        <v>5024</v>
      </c>
      <c r="AA440">
        <v>1</v>
      </c>
      <c r="AB440">
        <v>0</v>
      </c>
      <c r="AC440">
        <v>18.202999999999999</v>
      </c>
      <c r="AD440">
        <v>5059</v>
      </c>
      <c r="AH440">
        <v>0</v>
      </c>
      <c r="AI440">
        <v>0</v>
      </c>
      <c r="AL440" t="s">
        <v>40</v>
      </c>
      <c r="AM440" t="str">
        <f t="shared" si="33"/>
        <v>5024 1</v>
      </c>
      <c r="AN440" t="str">
        <f t="shared" si="34"/>
        <v>403438.175,280311.656</v>
      </c>
      <c r="AO440" t="str">
        <f t="shared" si="35"/>
        <v>403441.212,280293.711</v>
      </c>
      <c r="AQ440" t="s">
        <v>2331</v>
      </c>
      <c r="AR440" t="s">
        <v>2332</v>
      </c>
    </row>
    <row r="441" spans="1:44" x14ac:dyDescent="0.3">
      <c r="A441">
        <v>3869</v>
      </c>
      <c r="B441">
        <v>4</v>
      </c>
      <c r="C441">
        <v>4019412</v>
      </c>
      <c r="D441">
        <v>132</v>
      </c>
      <c r="E441">
        <v>2</v>
      </c>
      <c r="F441">
        <v>670050</v>
      </c>
      <c r="G441" t="s">
        <v>82</v>
      </c>
      <c r="H441" t="s">
        <v>58</v>
      </c>
      <c r="I441">
        <v>0</v>
      </c>
      <c r="J441" s="1">
        <v>405000</v>
      </c>
      <c r="K441" s="1">
        <v>280903.96799999999</v>
      </c>
      <c r="L441" s="1">
        <v>404953.72</v>
      </c>
      <c r="M441" s="1">
        <v>280844.87099999998</v>
      </c>
      <c r="N441" t="s">
        <v>40</v>
      </c>
      <c r="P441" t="s">
        <v>40</v>
      </c>
      <c r="Q441">
        <v>0</v>
      </c>
      <c r="R441">
        <v>0</v>
      </c>
      <c r="S441">
        <v>0</v>
      </c>
      <c r="T441">
        <v>6</v>
      </c>
      <c r="U441">
        <v>6</v>
      </c>
      <c r="V441">
        <v>1</v>
      </c>
      <c r="W441">
        <v>1</v>
      </c>
      <c r="X441" t="s">
        <v>40</v>
      </c>
      <c r="Y441">
        <v>3</v>
      </c>
      <c r="Z441">
        <v>95</v>
      </c>
      <c r="AA441">
        <v>1</v>
      </c>
      <c r="AB441">
        <v>0</v>
      </c>
      <c r="AC441">
        <v>158.55599999999998</v>
      </c>
      <c r="AD441">
        <v>5059</v>
      </c>
      <c r="AH441">
        <v>0</v>
      </c>
      <c r="AI441">
        <v>0</v>
      </c>
      <c r="AL441" t="s">
        <v>40</v>
      </c>
      <c r="AM441" t="str">
        <f t="shared" si="33"/>
        <v>95 1</v>
      </c>
      <c r="AN441" s="6" t="s">
        <v>1170</v>
      </c>
      <c r="AO441" s="6" t="s">
        <v>1158</v>
      </c>
      <c r="AQ441" t="s">
        <v>2333</v>
      </c>
      <c r="AR441" t="s">
        <v>1979</v>
      </c>
    </row>
    <row r="442" spans="1:44" x14ac:dyDescent="0.3">
      <c r="A442">
        <v>3869</v>
      </c>
      <c r="B442">
        <v>4</v>
      </c>
      <c r="C442">
        <v>4024341</v>
      </c>
      <c r="D442">
        <v>22897</v>
      </c>
      <c r="E442">
        <v>2</v>
      </c>
      <c r="F442">
        <v>670050</v>
      </c>
      <c r="G442" t="s">
        <v>82</v>
      </c>
      <c r="H442" t="s">
        <v>43</v>
      </c>
      <c r="I442">
        <v>0</v>
      </c>
      <c r="J442" s="1">
        <v>405067.315</v>
      </c>
      <c r="K442" s="1">
        <v>280943.891</v>
      </c>
      <c r="L442" s="1">
        <v>405069.29599999997</v>
      </c>
      <c r="M442" s="1">
        <v>280944.65299999999</v>
      </c>
      <c r="N442" t="s">
        <v>40</v>
      </c>
      <c r="P442" t="s">
        <v>40</v>
      </c>
      <c r="Q442">
        <v>0</v>
      </c>
      <c r="R442">
        <v>0</v>
      </c>
      <c r="S442">
        <v>0</v>
      </c>
      <c r="T442">
        <v>6</v>
      </c>
      <c r="U442">
        <v>6</v>
      </c>
      <c r="V442">
        <v>1</v>
      </c>
      <c r="W442">
        <v>1</v>
      </c>
      <c r="X442" t="s">
        <v>40</v>
      </c>
      <c r="Y442">
        <v>3</v>
      </c>
      <c r="Z442">
        <v>95</v>
      </c>
      <c r="AA442">
        <v>1</v>
      </c>
      <c r="AB442">
        <v>0</v>
      </c>
      <c r="AC442">
        <v>29.591999999999999</v>
      </c>
      <c r="AD442">
        <v>5059</v>
      </c>
      <c r="AH442">
        <v>0</v>
      </c>
      <c r="AI442">
        <v>0</v>
      </c>
      <c r="AL442" t="s">
        <v>40</v>
      </c>
      <c r="AM442" t="str">
        <f t="shared" si="33"/>
        <v>95 1</v>
      </c>
      <c r="AN442" s="6" t="s">
        <v>1157</v>
      </c>
      <c r="AO442" s="6" t="s">
        <v>1158</v>
      </c>
      <c r="AQ442" t="s">
        <v>2334</v>
      </c>
      <c r="AR442" t="s">
        <v>1979</v>
      </c>
    </row>
    <row r="443" spans="1:44" x14ac:dyDescent="0.3">
      <c r="A443">
        <v>3869</v>
      </c>
      <c r="B443">
        <v>4</v>
      </c>
      <c r="C443">
        <v>4019425</v>
      </c>
      <c r="D443">
        <v>18252</v>
      </c>
      <c r="E443">
        <v>2</v>
      </c>
      <c r="F443">
        <v>670050</v>
      </c>
      <c r="G443" t="s">
        <v>82</v>
      </c>
      <c r="H443" t="s">
        <v>58</v>
      </c>
      <c r="I443">
        <v>0</v>
      </c>
      <c r="J443" s="1">
        <v>404608.96399999998</v>
      </c>
      <c r="K443" s="1">
        <v>280731.66800000001</v>
      </c>
      <c r="L443" s="1">
        <v>404775.62800000003</v>
      </c>
      <c r="M443" s="1">
        <v>280801.07500000001</v>
      </c>
      <c r="N443" t="s">
        <v>40</v>
      </c>
      <c r="P443" t="s">
        <v>40</v>
      </c>
      <c r="Q443">
        <v>0</v>
      </c>
      <c r="R443">
        <v>0</v>
      </c>
      <c r="S443">
        <v>0</v>
      </c>
      <c r="T443">
        <v>6</v>
      </c>
      <c r="U443">
        <v>6</v>
      </c>
      <c r="V443">
        <v>1</v>
      </c>
      <c r="W443">
        <v>2</v>
      </c>
      <c r="X443" t="s">
        <v>40</v>
      </c>
      <c r="Y443">
        <v>3</v>
      </c>
      <c r="Z443">
        <v>91</v>
      </c>
      <c r="AA443">
        <v>1</v>
      </c>
      <c r="AB443">
        <v>0</v>
      </c>
      <c r="AC443">
        <v>180.54</v>
      </c>
      <c r="AD443">
        <v>5059</v>
      </c>
      <c r="AH443">
        <v>0</v>
      </c>
      <c r="AI443">
        <v>0</v>
      </c>
      <c r="AL443" t="s">
        <v>40</v>
      </c>
      <c r="AM443" t="str">
        <f t="shared" si="33"/>
        <v>91 1</v>
      </c>
      <c r="AN443" t="str">
        <f t="shared" si="34"/>
        <v>404608.964,280731.668</v>
      </c>
      <c r="AO443" t="str">
        <f t="shared" si="35"/>
        <v>404775.628,280801.075</v>
      </c>
      <c r="AQ443" t="s">
        <v>2335</v>
      </c>
      <c r="AR443" t="s">
        <v>2336</v>
      </c>
    </row>
    <row r="444" spans="1:44" x14ac:dyDescent="0.3">
      <c r="A444">
        <v>3869</v>
      </c>
      <c r="B444">
        <v>4</v>
      </c>
      <c r="C444">
        <v>4019546</v>
      </c>
      <c r="D444">
        <v>17269</v>
      </c>
      <c r="E444">
        <v>2</v>
      </c>
      <c r="F444">
        <v>670050</v>
      </c>
      <c r="G444" t="s">
        <v>82</v>
      </c>
      <c r="H444" t="s">
        <v>58</v>
      </c>
      <c r="I444">
        <v>0</v>
      </c>
      <c r="J444" s="1">
        <v>404736.674</v>
      </c>
      <c r="K444" s="1">
        <v>280263.40500000003</v>
      </c>
      <c r="L444" s="1">
        <v>404723.73</v>
      </c>
      <c r="M444" s="1">
        <v>280278.28899999999</v>
      </c>
      <c r="N444" t="s">
        <v>40</v>
      </c>
      <c r="P444" t="s">
        <v>40</v>
      </c>
      <c r="Q444">
        <v>0</v>
      </c>
      <c r="R444">
        <v>0</v>
      </c>
      <c r="S444">
        <v>0</v>
      </c>
      <c r="T444">
        <v>6</v>
      </c>
      <c r="U444">
        <v>6</v>
      </c>
      <c r="V444">
        <v>1</v>
      </c>
      <c r="W444">
        <v>1</v>
      </c>
      <c r="X444" t="s">
        <v>40</v>
      </c>
      <c r="Y444">
        <v>3</v>
      </c>
      <c r="Z444">
        <v>92</v>
      </c>
      <c r="AA444">
        <v>1</v>
      </c>
      <c r="AB444">
        <v>0</v>
      </c>
      <c r="AC444">
        <v>26.09</v>
      </c>
      <c r="AD444">
        <v>5059</v>
      </c>
      <c r="AH444">
        <v>0</v>
      </c>
      <c r="AI444">
        <v>0</v>
      </c>
      <c r="AL444" t="s">
        <v>40</v>
      </c>
      <c r="AM444" t="str">
        <f t="shared" si="33"/>
        <v>92 1</v>
      </c>
      <c r="AN444" t="str">
        <f t="shared" si="34"/>
        <v>404736.674,280263.405</v>
      </c>
      <c r="AO444" t="str">
        <f t="shared" si="35"/>
        <v>404723.73,280278.289</v>
      </c>
      <c r="AQ444" t="s">
        <v>2337</v>
      </c>
      <c r="AR444" t="s">
        <v>2338</v>
      </c>
    </row>
    <row r="445" spans="1:44" x14ac:dyDescent="0.3">
      <c r="A445">
        <v>3869</v>
      </c>
      <c r="B445">
        <v>4</v>
      </c>
      <c r="C445">
        <v>4017429</v>
      </c>
      <c r="D445">
        <v>14906</v>
      </c>
      <c r="E445">
        <v>2</v>
      </c>
      <c r="F445">
        <v>670050</v>
      </c>
      <c r="G445" t="s">
        <v>82</v>
      </c>
      <c r="H445" t="s">
        <v>63</v>
      </c>
      <c r="I445">
        <v>0</v>
      </c>
      <c r="J445" s="1">
        <v>403441.212</v>
      </c>
      <c r="K445" s="1">
        <v>280293.71100000001</v>
      </c>
      <c r="L445" s="1">
        <v>403472.38099999999</v>
      </c>
      <c r="M445" s="1">
        <v>280168.39299999998</v>
      </c>
      <c r="N445" t="s">
        <v>40</v>
      </c>
      <c r="P445" t="s">
        <v>40</v>
      </c>
      <c r="Q445">
        <v>0</v>
      </c>
      <c r="R445">
        <v>0</v>
      </c>
      <c r="S445">
        <v>0</v>
      </c>
      <c r="T445">
        <v>6</v>
      </c>
      <c r="U445">
        <v>6</v>
      </c>
      <c r="V445">
        <v>1</v>
      </c>
      <c r="W445">
        <v>3</v>
      </c>
      <c r="X445" t="s">
        <v>40</v>
      </c>
      <c r="Y445">
        <v>3</v>
      </c>
      <c r="Z445">
        <v>86</v>
      </c>
      <c r="AA445">
        <v>1</v>
      </c>
      <c r="AB445">
        <v>0</v>
      </c>
      <c r="AC445">
        <v>132.99299999999999</v>
      </c>
      <c r="AD445">
        <v>5059</v>
      </c>
      <c r="AH445">
        <v>0</v>
      </c>
      <c r="AI445">
        <v>0</v>
      </c>
      <c r="AL445" t="s">
        <v>40</v>
      </c>
      <c r="AM445" t="str">
        <f t="shared" si="33"/>
        <v>86 1</v>
      </c>
      <c r="AN445" t="str">
        <f t="shared" si="34"/>
        <v>403441.212,280293.711</v>
      </c>
      <c r="AO445" t="str">
        <f t="shared" si="35"/>
        <v>403472.381,280168.393</v>
      </c>
      <c r="AQ445" t="s">
        <v>2332</v>
      </c>
      <c r="AR445" t="s">
        <v>2339</v>
      </c>
    </row>
    <row r="446" spans="1:44" x14ac:dyDescent="0.3">
      <c r="A446">
        <v>3869</v>
      </c>
      <c r="B446">
        <v>4</v>
      </c>
      <c r="C446">
        <v>4019413</v>
      </c>
      <c r="D446">
        <v>141</v>
      </c>
      <c r="E446">
        <v>2</v>
      </c>
      <c r="F446">
        <v>670050</v>
      </c>
      <c r="G446" t="s">
        <v>82</v>
      </c>
      <c r="H446" t="s">
        <v>58</v>
      </c>
      <c r="I446">
        <v>0</v>
      </c>
      <c r="J446" s="1">
        <v>405000</v>
      </c>
      <c r="K446" s="1">
        <v>280918.26400000002</v>
      </c>
      <c r="L446" s="1">
        <v>404775.62800000003</v>
      </c>
      <c r="M446" s="1">
        <v>280801.07500000001</v>
      </c>
      <c r="N446" t="s">
        <v>40</v>
      </c>
      <c r="P446" t="s">
        <v>40</v>
      </c>
      <c r="Q446">
        <v>0</v>
      </c>
      <c r="R446">
        <v>0</v>
      </c>
      <c r="S446">
        <v>0</v>
      </c>
      <c r="T446">
        <v>6</v>
      </c>
      <c r="U446">
        <v>6</v>
      </c>
      <c r="V446">
        <v>1</v>
      </c>
      <c r="W446">
        <v>2</v>
      </c>
      <c r="X446" t="s">
        <v>40</v>
      </c>
      <c r="Y446">
        <v>3</v>
      </c>
      <c r="Z446">
        <v>54</v>
      </c>
      <c r="AA446">
        <v>1</v>
      </c>
      <c r="AB446">
        <v>0</v>
      </c>
      <c r="AC446">
        <v>325.65100000000001</v>
      </c>
      <c r="AD446">
        <v>5059</v>
      </c>
      <c r="AH446">
        <v>0</v>
      </c>
      <c r="AI446">
        <v>0</v>
      </c>
      <c r="AL446" t="s">
        <v>40</v>
      </c>
      <c r="AM446" t="str">
        <f t="shared" si="33"/>
        <v>54 1</v>
      </c>
      <c r="AN446" s="6" t="s">
        <v>1689</v>
      </c>
      <c r="AO446" s="6" t="s">
        <v>1162</v>
      </c>
      <c r="AQ446" t="s">
        <v>2336</v>
      </c>
      <c r="AR446" t="s">
        <v>2340</v>
      </c>
    </row>
    <row r="447" spans="1:44" x14ac:dyDescent="0.3">
      <c r="A447">
        <v>3869</v>
      </c>
      <c r="B447">
        <v>4</v>
      </c>
      <c r="C447">
        <v>4019431</v>
      </c>
      <c r="D447">
        <v>53102</v>
      </c>
      <c r="E447">
        <v>2</v>
      </c>
      <c r="F447">
        <v>670050</v>
      </c>
      <c r="G447" t="s">
        <v>82</v>
      </c>
      <c r="H447" t="s">
        <v>58</v>
      </c>
      <c r="I447">
        <v>0</v>
      </c>
      <c r="J447" s="1">
        <v>404608.96399999998</v>
      </c>
      <c r="K447" s="1">
        <v>280731.66800000001</v>
      </c>
      <c r="L447" s="1">
        <v>404583.47100000002</v>
      </c>
      <c r="M447" s="1">
        <v>280796.99099999998</v>
      </c>
      <c r="N447" t="s">
        <v>40</v>
      </c>
      <c r="P447" t="s">
        <v>40</v>
      </c>
      <c r="Q447">
        <v>0</v>
      </c>
      <c r="R447">
        <v>0</v>
      </c>
      <c r="S447">
        <v>0</v>
      </c>
      <c r="T447">
        <v>6</v>
      </c>
      <c r="U447">
        <v>6</v>
      </c>
      <c r="V447">
        <v>1</v>
      </c>
      <c r="W447">
        <v>2</v>
      </c>
      <c r="X447" t="s">
        <v>40</v>
      </c>
      <c r="Y447">
        <v>3</v>
      </c>
      <c r="Z447">
        <v>52</v>
      </c>
      <c r="AA447">
        <v>1</v>
      </c>
      <c r="AB447">
        <v>0</v>
      </c>
      <c r="AC447">
        <v>96.686999999999998</v>
      </c>
      <c r="AD447">
        <v>5059</v>
      </c>
      <c r="AH447">
        <v>0</v>
      </c>
      <c r="AI447">
        <v>0</v>
      </c>
      <c r="AL447" t="s">
        <v>40</v>
      </c>
      <c r="AM447" t="str">
        <f t="shared" si="33"/>
        <v>52 1</v>
      </c>
      <c r="AN447" t="str">
        <f t="shared" si="34"/>
        <v>404608.964,280731.668</v>
      </c>
      <c r="AO447" t="str">
        <f t="shared" si="35"/>
        <v>404583.471,280796.991</v>
      </c>
      <c r="AQ447" t="s">
        <v>2335</v>
      </c>
      <c r="AR447" t="s">
        <v>739</v>
      </c>
    </row>
    <row r="448" spans="1:44" x14ac:dyDescent="0.3">
      <c r="A448">
        <v>3869</v>
      </c>
      <c r="B448">
        <v>4</v>
      </c>
      <c r="C448">
        <v>4024349</v>
      </c>
      <c r="D448">
        <v>22913</v>
      </c>
      <c r="E448">
        <v>2</v>
      </c>
      <c r="F448">
        <v>670050</v>
      </c>
      <c r="G448" t="s">
        <v>82</v>
      </c>
      <c r="H448" t="s">
        <v>43</v>
      </c>
      <c r="I448">
        <v>0</v>
      </c>
      <c r="J448" s="1">
        <v>405067.315</v>
      </c>
      <c r="K448" s="1">
        <v>280943.891</v>
      </c>
      <c r="L448" s="1">
        <v>405061.44</v>
      </c>
      <c r="M448" s="1">
        <v>280952.97100000002</v>
      </c>
      <c r="N448" t="s">
        <v>40</v>
      </c>
      <c r="P448" t="s">
        <v>40</v>
      </c>
      <c r="Q448">
        <v>0</v>
      </c>
      <c r="R448">
        <v>0</v>
      </c>
      <c r="S448">
        <v>0</v>
      </c>
      <c r="T448">
        <v>6</v>
      </c>
      <c r="U448">
        <v>6</v>
      </c>
      <c r="V448">
        <v>1</v>
      </c>
      <c r="W448">
        <v>2</v>
      </c>
      <c r="X448" t="s">
        <v>40</v>
      </c>
      <c r="Y448">
        <v>3</v>
      </c>
      <c r="Z448">
        <v>40</v>
      </c>
      <c r="AA448">
        <v>5001</v>
      </c>
      <c r="AB448">
        <v>0</v>
      </c>
      <c r="AC448">
        <v>11.756</v>
      </c>
      <c r="AD448">
        <v>5059</v>
      </c>
      <c r="AH448">
        <v>0</v>
      </c>
      <c r="AI448">
        <v>0</v>
      </c>
      <c r="AL448" t="s">
        <v>40</v>
      </c>
      <c r="AM448" t="str">
        <f t="shared" si="33"/>
        <v>40 5001</v>
      </c>
      <c r="AN448" t="str">
        <f t="shared" si="34"/>
        <v>405067.315,280943.891</v>
      </c>
      <c r="AO448" t="str">
        <f t="shared" si="35"/>
        <v>405061.44,280952.971</v>
      </c>
      <c r="AQ448" t="s">
        <v>1979</v>
      </c>
      <c r="AR448" t="s">
        <v>2340</v>
      </c>
    </row>
    <row r="449" spans="1:44" x14ac:dyDescent="0.3">
      <c r="A449">
        <v>3869</v>
      </c>
      <c r="B449">
        <v>4</v>
      </c>
      <c r="C449">
        <v>4017427</v>
      </c>
      <c r="D449">
        <v>52656</v>
      </c>
      <c r="E449">
        <v>2</v>
      </c>
      <c r="F449">
        <v>670050</v>
      </c>
      <c r="G449" t="s">
        <v>82</v>
      </c>
      <c r="H449" t="s">
        <v>63</v>
      </c>
      <c r="I449">
        <v>0</v>
      </c>
      <c r="J449" s="1">
        <v>403348.03200000001</v>
      </c>
      <c r="K449" s="1">
        <v>280366.03100000002</v>
      </c>
      <c r="L449" s="1">
        <v>403350.21600000001</v>
      </c>
      <c r="M449" s="1">
        <v>280364.48300000001</v>
      </c>
      <c r="N449" t="s">
        <v>40</v>
      </c>
      <c r="P449" t="s">
        <v>40</v>
      </c>
      <c r="Q449">
        <v>0</v>
      </c>
      <c r="R449">
        <v>0</v>
      </c>
      <c r="S449">
        <v>0</v>
      </c>
      <c r="T449">
        <v>6</v>
      </c>
      <c r="U449">
        <v>6</v>
      </c>
      <c r="V449">
        <v>1</v>
      </c>
      <c r="W449">
        <v>3</v>
      </c>
      <c r="X449" t="s">
        <v>40</v>
      </c>
      <c r="Y449">
        <v>3</v>
      </c>
      <c r="Z449">
        <v>36</v>
      </c>
      <c r="AA449">
        <v>5001</v>
      </c>
      <c r="AB449">
        <v>0</v>
      </c>
      <c r="AC449">
        <v>4.726</v>
      </c>
      <c r="AD449">
        <v>5059</v>
      </c>
      <c r="AH449">
        <v>0</v>
      </c>
      <c r="AI449">
        <v>0</v>
      </c>
      <c r="AL449" t="s">
        <v>40</v>
      </c>
      <c r="AM449" t="str">
        <f t="shared" si="33"/>
        <v>36 5001</v>
      </c>
      <c r="AN449" t="str">
        <f t="shared" si="34"/>
        <v>403348.032,280366.031</v>
      </c>
      <c r="AO449" t="str">
        <f t="shared" si="35"/>
        <v>403350.216,280364.483</v>
      </c>
      <c r="AQ449" t="s">
        <v>2341</v>
      </c>
      <c r="AR449" t="s">
        <v>736</v>
      </c>
    </row>
    <row r="450" spans="1:44" x14ac:dyDescent="0.3">
      <c r="A450">
        <v>3869</v>
      </c>
      <c r="B450">
        <v>4</v>
      </c>
      <c r="C450">
        <v>4019626</v>
      </c>
      <c r="D450">
        <v>18639</v>
      </c>
      <c r="E450">
        <v>2</v>
      </c>
      <c r="F450">
        <v>670050</v>
      </c>
      <c r="G450" t="s">
        <v>82</v>
      </c>
      <c r="H450" t="s">
        <v>58</v>
      </c>
      <c r="I450">
        <v>0</v>
      </c>
      <c r="J450" s="1">
        <v>404340.90500000003</v>
      </c>
      <c r="K450" s="1">
        <v>280119.43400000001</v>
      </c>
      <c r="L450" s="1">
        <v>404471.62699999998</v>
      </c>
      <c r="M450" s="1">
        <v>280152.98700000002</v>
      </c>
      <c r="N450" t="s">
        <v>40</v>
      </c>
      <c r="P450" t="s">
        <v>40</v>
      </c>
      <c r="Q450">
        <v>0</v>
      </c>
      <c r="R450">
        <v>0</v>
      </c>
      <c r="S450">
        <v>0</v>
      </c>
      <c r="T450">
        <v>6</v>
      </c>
      <c r="U450">
        <v>6</v>
      </c>
      <c r="V450">
        <v>1</v>
      </c>
      <c r="W450">
        <v>1</v>
      </c>
      <c r="X450" t="s">
        <v>40</v>
      </c>
      <c r="Y450">
        <v>3</v>
      </c>
      <c r="Z450">
        <v>89</v>
      </c>
      <c r="AA450">
        <v>1</v>
      </c>
      <c r="AB450">
        <v>0</v>
      </c>
      <c r="AC450">
        <v>821.02599999999995</v>
      </c>
      <c r="AD450">
        <v>5059</v>
      </c>
      <c r="AH450">
        <v>0</v>
      </c>
      <c r="AI450">
        <v>0</v>
      </c>
      <c r="AL450" t="s">
        <v>40</v>
      </c>
      <c r="AM450" t="str">
        <f t="shared" si="33"/>
        <v>89 1</v>
      </c>
      <c r="AN450" s="6" t="s">
        <v>1154</v>
      </c>
      <c r="AO450" s="6" t="s">
        <v>1137</v>
      </c>
      <c r="AQ450" t="s">
        <v>2342</v>
      </c>
      <c r="AR450" t="s">
        <v>2313</v>
      </c>
    </row>
    <row r="451" spans="1:44" x14ac:dyDescent="0.3">
      <c r="A451">
        <v>3869</v>
      </c>
      <c r="B451">
        <v>4</v>
      </c>
      <c r="C451">
        <v>4019410</v>
      </c>
      <c r="D451">
        <v>17790</v>
      </c>
      <c r="E451">
        <v>2</v>
      </c>
      <c r="F451">
        <v>670050</v>
      </c>
      <c r="G451" t="s">
        <v>82</v>
      </c>
      <c r="H451" t="s">
        <v>58</v>
      </c>
      <c r="I451">
        <v>0</v>
      </c>
      <c r="J451" s="1">
        <v>404952.73300000001</v>
      </c>
      <c r="K451" s="1">
        <v>280841.52</v>
      </c>
      <c r="L451" s="1">
        <v>404951.049</v>
      </c>
      <c r="M451" s="1">
        <v>280819.02600000001</v>
      </c>
      <c r="N451" t="s">
        <v>40</v>
      </c>
      <c r="P451" t="s">
        <v>40</v>
      </c>
      <c r="Q451">
        <v>0</v>
      </c>
      <c r="R451">
        <v>0</v>
      </c>
      <c r="S451">
        <v>0</v>
      </c>
      <c r="T451">
        <v>6</v>
      </c>
      <c r="U451">
        <v>6</v>
      </c>
      <c r="V451">
        <v>1</v>
      </c>
      <c r="W451">
        <v>1</v>
      </c>
      <c r="X451" t="s">
        <v>40</v>
      </c>
      <c r="Y451">
        <v>3</v>
      </c>
      <c r="Z451">
        <v>95</v>
      </c>
      <c r="AA451">
        <v>1</v>
      </c>
      <c r="AB451">
        <v>0</v>
      </c>
      <c r="AC451">
        <v>178.43900000000002</v>
      </c>
      <c r="AD451">
        <v>5059</v>
      </c>
      <c r="AH451">
        <v>0</v>
      </c>
      <c r="AI451">
        <v>0</v>
      </c>
      <c r="AL451" t="s">
        <v>40</v>
      </c>
      <c r="AM451" t="str">
        <f t="shared" si="33"/>
        <v>95 1</v>
      </c>
      <c r="AN451" s="6" t="s">
        <v>1149</v>
      </c>
      <c r="AO451" s="6" t="s">
        <v>1164</v>
      </c>
      <c r="AQ451" t="s">
        <v>2328</v>
      </c>
      <c r="AR451" t="s">
        <v>2343</v>
      </c>
    </row>
    <row r="452" spans="1:44" x14ac:dyDescent="0.3">
      <c r="A452">
        <v>3869</v>
      </c>
      <c r="B452">
        <v>4</v>
      </c>
      <c r="C452">
        <v>4019549</v>
      </c>
      <c r="D452">
        <v>17222</v>
      </c>
      <c r="E452">
        <v>2</v>
      </c>
      <c r="F452">
        <v>670050</v>
      </c>
      <c r="G452" t="s">
        <v>82</v>
      </c>
      <c r="H452" t="s">
        <v>58</v>
      </c>
      <c r="I452">
        <v>0</v>
      </c>
      <c r="J452" s="1">
        <v>404723.73</v>
      </c>
      <c r="K452" s="1">
        <v>280278.28899999999</v>
      </c>
      <c r="L452" s="1">
        <v>404723.00400000002</v>
      </c>
      <c r="M452" s="1">
        <v>280277.01799999998</v>
      </c>
      <c r="N452" t="s">
        <v>40</v>
      </c>
      <c r="P452" t="s">
        <v>40</v>
      </c>
      <c r="Q452">
        <v>0</v>
      </c>
      <c r="R452">
        <v>0</v>
      </c>
      <c r="S452">
        <v>0</v>
      </c>
      <c r="T452">
        <v>6</v>
      </c>
      <c r="U452">
        <v>6</v>
      </c>
      <c r="V452">
        <v>1</v>
      </c>
      <c r="W452">
        <v>1</v>
      </c>
      <c r="X452" t="s">
        <v>40</v>
      </c>
      <c r="Y452">
        <v>3</v>
      </c>
      <c r="Z452">
        <v>38</v>
      </c>
      <c r="AA452">
        <v>5001</v>
      </c>
      <c r="AB452">
        <v>0</v>
      </c>
      <c r="AC452">
        <v>2.444</v>
      </c>
      <c r="AD452">
        <v>5059</v>
      </c>
      <c r="AH452">
        <v>0</v>
      </c>
      <c r="AI452">
        <v>0</v>
      </c>
      <c r="AL452" t="s">
        <v>40</v>
      </c>
      <c r="AM452" t="str">
        <f t="shared" si="33"/>
        <v>38 5001</v>
      </c>
      <c r="AN452" t="str">
        <f t="shared" si="34"/>
        <v>404723.73,280278.289</v>
      </c>
      <c r="AO452" t="str">
        <f t="shared" si="35"/>
        <v>404723.004,280277.018</v>
      </c>
      <c r="AQ452" t="s">
        <v>2338</v>
      </c>
      <c r="AR452" t="s">
        <v>1873</v>
      </c>
    </row>
    <row r="453" spans="1:44" x14ac:dyDescent="0.3">
      <c r="A453">
        <v>3869</v>
      </c>
      <c r="B453">
        <v>4</v>
      </c>
      <c r="C453">
        <v>4019555</v>
      </c>
      <c r="D453">
        <v>54112</v>
      </c>
      <c r="E453">
        <v>2</v>
      </c>
      <c r="F453">
        <v>670050</v>
      </c>
      <c r="G453" t="s">
        <v>82</v>
      </c>
      <c r="H453" t="s">
        <v>58</v>
      </c>
      <c r="I453">
        <v>0</v>
      </c>
      <c r="J453" s="1">
        <v>404723.00400000002</v>
      </c>
      <c r="K453" s="1">
        <v>280277.01799999998</v>
      </c>
      <c r="L453" s="1">
        <v>404723.88500000001</v>
      </c>
      <c r="M453" s="1">
        <v>280277.21600000001</v>
      </c>
      <c r="N453" t="s">
        <v>40</v>
      </c>
      <c r="P453" t="s">
        <v>40</v>
      </c>
      <c r="Q453">
        <v>0</v>
      </c>
      <c r="R453">
        <v>0</v>
      </c>
      <c r="S453">
        <v>0</v>
      </c>
      <c r="T453">
        <v>6</v>
      </c>
      <c r="U453">
        <v>6</v>
      </c>
      <c r="V453">
        <v>1</v>
      </c>
      <c r="W453">
        <v>3</v>
      </c>
      <c r="X453" t="s">
        <v>40</v>
      </c>
      <c r="Y453">
        <v>3</v>
      </c>
      <c r="Z453">
        <v>36</v>
      </c>
      <c r="AA453">
        <v>5001</v>
      </c>
      <c r="AB453">
        <v>0</v>
      </c>
      <c r="AC453">
        <v>1.4970000000000001</v>
      </c>
      <c r="AD453">
        <v>5059</v>
      </c>
      <c r="AH453">
        <v>0</v>
      </c>
      <c r="AI453">
        <v>0</v>
      </c>
      <c r="AL453" t="s">
        <v>40</v>
      </c>
      <c r="AM453" t="str">
        <f t="shared" si="33"/>
        <v>36 5001</v>
      </c>
      <c r="AN453" t="str">
        <f t="shared" si="34"/>
        <v>404723.004,280277.018</v>
      </c>
      <c r="AO453" t="str">
        <f t="shared" si="35"/>
        <v>404723.885,280277.216</v>
      </c>
      <c r="AQ453" t="s">
        <v>1873</v>
      </c>
      <c r="AR453" t="s">
        <v>2344</v>
      </c>
    </row>
    <row r="454" spans="1:44" x14ac:dyDescent="0.3">
      <c r="A454">
        <v>3869</v>
      </c>
      <c r="B454">
        <v>4</v>
      </c>
      <c r="C454">
        <v>4019559</v>
      </c>
      <c r="D454">
        <v>54106</v>
      </c>
      <c r="E454">
        <v>2</v>
      </c>
      <c r="F454">
        <v>670050</v>
      </c>
      <c r="G454" t="s">
        <v>82</v>
      </c>
      <c r="H454" t="s">
        <v>58</v>
      </c>
      <c r="I454">
        <v>0</v>
      </c>
      <c r="J454" s="1">
        <v>404723.00400000002</v>
      </c>
      <c r="K454" s="1">
        <v>280277.01799999998</v>
      </c>
      <c r="L454" s="1">
        <v>404721.46799999999</v>
      </c>
      <c r="M454" s="1">
        <v>280275.88199999998</v>
      </c>
      <c r="N454" t="s">
        <v>40</v>
      </c>
      <c r="P454" t="s">
        <v>40</v>
      </c>
      <c r="Q454">
        <v>0</v>
      </c>
      <c r="R454">
        <v>0</v>
      </c>
      <c r="S454">
        <v>0</v>
      </c>
      <c r="T454">
        <v>6</v>
      </c>
      <c r="U454">
        <v>6</v>
      </c>
      <c r="V454">
        <v>1</v>
      </c>
      <c r="W454">
        <v>1</v>
      </c>
      <c r="X454" t="s">
        <v>40</v>
      </c>
      <c r="Y454">
        <v>3</v>
      </c>
      <c r="Z454">
        <v>36</v>
      </c>
      <c r="AA454">
        <v>5001</v>
      </c>
      <c r="AB454">
        <v>0</v>
      </c>
      <c r="AC454">
        <v>4.6740000000000004</v>
      </c>
      <c r="AD454">
        <v>5059</v>
      </c>
      <c r="AH454">
        <v>0</v>
      </c>
      <c r="AI454">
        <v>0</v>
      </c>
      <c r="AL454" t="s">
        <v>40</v>
      </c>
      <c r="AM454" t="str">
        <f t="shared" si="33"/>
        <v>36 5001</v>
      </c>
      <c r="AN454" t="str">
        <f t="shared" si="34"/>
        <v>404723.004,280277.018</v>
      </c>
      <c r="AO454" t="str">
        <f t="shared" si="35"/>
        <v>404721.468,280275.882</v>
      </c>
      <c r="AQ454" t="s">
        <v>1873</v>
      </c>
      <c r="AR454" t="s">
        <v>737</v>
      </c>
    </row>
    <row r="455" spans="1:44" x14ac:dyDescent="0.3">
      <c r="A455">
        <v>3869</v>
      </c>
      <c r="B455">
        <v>4</v>
      </c>
      <c r="C455">
        <v>4019568</v>
      </c>
      <c r="D455">
        <v>54124</v>
      </c>
      <c r="E455">
        <v>2</v>
      </c>
      <c r="F455">
        <v>670050</v>
      </c>
      <c r="G455" t="s">
        <v>82</v>
      </c>
      <c r="H455" t="s">
        <v>58</v>
      </c>
      <c r="I455">
        <v>0</v>
      </c>
      <c r="J455" s="1">
        <v>404723.47</v>
      </c>
      <c r="K455" s="1">
        <v>280278.598</v>
      </c>
      <c r="L455" s="1">
        <v>404721.63400000002</v>
      </c>
      <c r="M455" s="1">
        <v>280275.56400000001</v>
      </c>
      <c r="N455" t="s">
        <v>40</v>
      </c>
      <c r="P455" t="s">
        <v>40</v>
      </c>
      <c r="Q455">
        <v>0</v>
      </c>
      <c r="R455">
        <v>0</v>
      </c>
      <c r="S455">
        <v>0</v>
      </c>
      <c r="T455">
        <v>6</v>
      </c>
      <c r="U455">
        <v>6</v>
      </c>
      <c r="V455">
        <v>1</v>
      </c>
      <c r="W455">
        <v>1</v>
      </c>
      <c r="X455" t="s">
        <v>40</v>
      </c>
      <c r="Y455">
        <v>3</v>
      </c>
      <c r="Z455">
        <v>38</v>
      </c>
      <c r="AA455">
        <v>5001</v>
      </c>
      <c r="AB455">
        <v>0</v>
      </c>
      <c r="AC455">
        <v>4.8550000000000004</v>
      </c>
      <c r="AD455">
        <v>5059</v>
      </c>
      <c r="AH455">
        <v>0</v>
      </c>
      <c r="AI455">
        <v>0</v>
      </c>
      <c r="AL455" t="s">
        <v>40</v>
      </c>
      <c r="AM455" t="str">
        <f t="shared" si="33"/>
        <v>38 5001</v>
      </c>
      <c r="AN455" t="str">
        <f t="shared" si="34"/>
        <v>404723.47,280278.598</v>
      </c>
      <c r="AO455" t="str">
        <f t="shared" si="35"/>
        <v>404721.634,280275.564</v>
      </c>
      <c r="AQ455" t="s">
        <v>2330</v>
      </c>
      <c r="AR455" t="s">
        <v>738</v>
      </c>
    </row>
    <row r="456" spans="1:44" x14ac:dyDescent="0.3">
      <c r="A456">
        <v>3869</v>
      </c>
      <c r="B456">
        <v>4</v>
      </c>
      <c r="C456">
        <v>4019583</v>
      </c>
      <c r="D456">
        <v>17285</v>
      </c>
      <c r="E456">
        <v>2</v>
      </c>
      <c r="F456">
        <v>670050</v>
      </c>
      <c r="G456" t="s">
        <v>82</v>
      </c>
      <c r="H456" t="s">
        <v>58</v>
      </c>
      <c r="I456">
        <v>0</v>
      </c>
      <c r="J456" s="1">
        <v>404672.272</v>
      </c>
      <c r="K456" s="1">
        <v>280231.35800000001</v>
      </c>
      <c r="L456" s="1">
        <v>404736.674</v>
      </c>
      <c r="M456" s="1">
        <v>280263.40500000003</v>
      </c>
      <c r="N456" t="s">
        <v>40</v>
      </c>
      <c r="P456" t="s">
        <v>40</v>
      </c>
      <c r="Q456">
        <v>0</v>
      </c>
      <c r="R456">
        <v>0</v>
      </c>
      <c r="S456">
        <v>0</v>
      </c>
      <c r="T456">
        <v>6</v>
      </c>
      <c r="U456">
        <v>6</v>
      </c>
      <c r="V456">
        <v>1</v>
      </c>
      <c r="W456">
        <v>1</v>
      </c>
      <c r="X456" t="s">
        <v>40</v>
      </c>
      <c r="Y456">
        <v>3</v>
      </c>
      <c r="Z456">
        <v>89</v>
      </c>
      <c r="AA456">
        <v>1</v>
      </c>
      <c r="AB456">
        <v>0</v>
      </c>
      <c r="AC456">
        <v>72.14</v>
      </c>
      <c r="AD456">
        <v>5059</v>
      </c>
      <c r="AH456">
        <v>0</v>
      </c>
      <c r="AI456">
        <v>0</v>
      </c>
      <c r="AL456" t="s">
        <v>40</v>
      </c>
      <c r="AM456" t="str">
        <f t="shared" si="33"/>
        <v>89 1</v>
      </c>
      <c r="AN456" t="str">
        <f t="shared" si="34"/>
        <v>404672.272,280231.358</v>
      </c>
      <c r="AO456" t="str">
        <f t="shared" si="35"/>
        <v>404736.674,280263.405</v>
      </c>
      <c r="AQ456" t="s">
        <v>1874</v>
      </c>
      <c r="AR456" t="s">
        <v>2337</v>
      </c>
    </row>
    <row r="457" spans="1:44" x14ac:dyDescent="0.3">
      <c r="A457">
        <v>3869</v>
      </c>
      <c r="B457">
        <v>4</v>
      </c>
      <c r="C457">
        <v>4017430</v>
      </c>
      <c r="D457">
        <v>14801</v>
      </c>
      <c r="E457">
        <v>2</v>
      </c>
      <c r="F457">
        <v>670050</v>
      </c>
      <c r="G457" t="s">
        <v>82</v>
      </c>
      <c r="H457" t="s">
        <v>63</v>
      </c>
      <c r="I457">
        <v>0</v>
      </c>
      <c r="J457" s="1">
        <v>403472.38099999999</v>
      </c>
      <c r="K457" s="1">
        <v>280168.39299999998</v>
      </c>
      <c r="L457" s="1">
        <v>403467.41899999999</v>
      </c>
      <c r="M457" s="1">
        <v>280165.43900000001</v>
      </c>
      <c r="N457" t="s">
        <v>40</v>
      </c>
      <c r="P457" t="s">
        <v>40</v>
      </c>
      <c r="Q457">
        <v>0</v>
      </c>
      <c r="R457">
        <v>0</v>
      </c>
      <c r="S457">
        <v>0</v>
      </c>
      <c r="T457">
        <v>6</v>
      </c>
      <c r="U457">
        <v>6</v>
      </c>
      <c r="V457">
        <v>1</v>
      </c>
      <c r="W457">
        <v>3</v>
      </c>
      <c r="X457" t="s">
        <v>40</v>
      </c>
      <c r="Y457">
        <v>3</v>
      </c>
      <c r="Z457">
        <v>5017</v>
      </c>
      <c r="AA457">
        <v>1</v>
      </c>
      <c r="AB457">
        <v>0</v>
      </c>
      <c r="AC457">
        <v>5.8</v>
      </c>
      <c r="AD457">
        <v>5059</v>
      </c>
      <c r="AH457">
        <v>0</v>
      </c>
      <c r="AI457">
        <v>0</v>
      </c>
      <c r="AL457" t="s">
        <v>40</v>
      </c>
      <c r="AM457" t="str">
        <f t="shared" si="33"/>
        <v>5017 1</v>
      </c>
      <c r="AN457" t="str">
        <f t="shared" si="34"/>
        <v>403472.381,280168.393</v>
      </c>
      <c r="AO457" t="str">
        <f t="shared" si="35"/>
        <v>403467.419,280165.439</v>
      </c>
      <c r="AQ457" t="s">
        <v>2339</v>
      </c>
      <c r="AR457" t="s">
        <v>2345</v>
      </c>
    </row>
    <row r="458" spans="1:44" x14ac:dyDescent="0.3">
      <c r="A458">
        <v>3869</v>
      </c>
      <c r="B458">
        <v>4</v>
      </c>
      <c r="C458">
        <v>4024316</v>
      </c>
      <c r="D458">
        <v>22973</v>
      </c>
      <c r="E458">
        <v>2</v>
      </c>
      <c r="F458">
        <v>670050</v>
      </c>
      <c r="G458" t="s">
        <v>82</v>
      </c>
      <c r="H458" t="s">
        <v>43</v>
      </c>
      <c r="I458">
        <v>0</v>
      </c>
      <c r="J458" s="1">
        <v>405126.84</v>
      </c>
      <c r="K458" s="1">
        <v>280974.34100000001</v>
      </c>
      <c r="L458" s="1">
        <v>405093.03200000001</v>
      </c>
      <c r="M458" s="1">
        <v>280958.20199999999</v>
      </c>
      <c r="N458" t="s">
        <v>40</v>
      </c>
      <c r="P458" t="s">
        <v>40</v>
      </c>
      <c r="Q458">
        <v>0</v>
      </c>
      <c r="R458">
        <v>0</v>
      </c>
      <c r="S458">
        <v>0</v>
      </c>
      <c r="T458">
        <v>6</v>
      </c>
      <c r="U458">
        <v>6</v>
      </c>
      <c r="V458">
        <v>1</v>
      </c>
      <c r="W458">
        <v>1</v>
      </c>
      <c r="X458" t="s">
        <v>40</v>
      </c>
      <c r="Y458">
        <v>3</v>
      </c>
      <c r="Z458">
        <v>95</v>
      </c>
      <c r="AA458">
        <v>99</v>
      </c>
      <c r="AB458">
        <v>0</v>
      </c>
      <c r="AC458">
        <v>44.981000000000002</v>
      </c>
      <c r="AD458">
        <v>5059</v>
      </c>
      <c r="AH458">
        <v>0</v>
      </c>
      <c r="AI458">
        <v>0</v>
      </c>
      <c r="AL458" t="s">
        <v>40</v>
      </c>
      <c r="AM458" t="str">
        <f t="shared" ref="AM458:AM492" si="36">_xlfn.CONCAT(Z458, " ",AA458)</f>
        <v>95 99</v>
      </c>
      <c r="AN458" t="str">
        <f t="shared" si="34"/>
        <v>405126.84,280974.341</v>
      </c>
      <c r="AO458" t="str">
        <f t="shared" si="35"/>
        <v>405093.032,280958.202</v>
      </c>
      <c r="AQ458" t="s">
        <v>1959</v>
      </c>
      <c r="AR458" t="s">
        <v>2334</v>
      </c>
    </row>
    <row r="459" spans="1:44" x14ac:dyDescent="0.3">
      <c r="A459">
        <v>3869</v>
      </c>
      <c r="B459">
        <v>4</v>
      </c>
      <c r="C459">
        <v>4019411</v>
      </c>
      <c r="D459">
        <v>17780</v>
      </c>
      <c r="E459">
        <v>2</v>
      </c>
      <c r="F459">
        <v>670050</v>
      </c>
      <c r="G459" t="s">
        <v>82</v>
      </c>
      <c r="H459" t="s">
        <v>58</v>
      </c>
      <c r="I459">
        <v>0</v>
      </c>
      <c r="J459" s="1">
        <v>404953.72</v>
      </c>
      <c r="K459" s="1">
        <v>280844.87099999998</v>
      </c>
      <c r="L459" s="1">
        <v>404952.73300000001</v>
      </c>
      <c r="M459" s="1">
        <v>280841.52</v>
      </c>
      <c r="N459" t="s">
        <v>40</v>
      </c>
      <c r="P459" t="s">
        <v>40</v>
      </c>
      <c r="Q459">
        <v>0</v>
      </c>
      <c r="R459">
        <v>0</v>
      </c>
      <c r="S459">
        <v>0</v>
      </c>
      <c r="T459">
        <v>6</v>
      </c>
      <c r="U459">
        <v>6</v>
      </c>
      <c r="V459">
        <v>1</v>
      </c>
      <c r="W459">
        <v>1</v>
      </c>
      <c r="X459" t="s">
        <v>40</v>
      </c>
      <c r="Y459">
        <v>3</v>
      </c>
      <c r="Z459">
        <v>52</v>
      </c>
      <c r="AA459">
        <v>1</v>
      </c>
      <c r="AB459">
        <v>0</v>
      </c>
      <c r="AC459">
        <v>3.5619999999999998</v>
      </c>
      <c r="AD459">
        <v>5059</v>
      </c>
      <c r="AH459">
        <v>0</v>
      </c>
      <c r="AI459">
        <v>0</v>
      </c>
      <c r="AL459" t="s">
        <v>40</v>
      </c>
      <c r="AM459" t="str">
        <f t="shared" si="36"/>
        <v>52 1</v>
      </c>
      <c r="AN459" t="str">
        <f t="shared" ref="AN459:AN492" si="37">ROUND(J459,3)&amp;","&amp;ROUND(K459,3)</f>
        <v>404953.72,280844.871</v>
      </c>
      <c r="AO459" t="str">
        <f t="shared" ref="AO459:AO492" si="38">ROUND(L459,3)&amp;","&amp;ROUND(M459,3)</f>
        <v>404952.733,280841.52</v>
      </c>
      <c r="AQ459" t="s">
        <v>2333</v>
      </c>
      <c r="AR459" t="s">
        <v>2343</v>
      </c>
    </row>
    <row r="460" spans="1:44" x14ac:dyDescent="0.3">
      <c r="A460">
        <v>3869</v>
      </c>
      <c r="B460">
        <v>4</v>
      </c>
      <c r="C460">
        <v>4017416</v>
      </c>
      <c r="D460">
        <v>14795</v>
      </c>
      <c r="E460">
        <v>2</v>
      </c>
      <c r="F460">
        <v>670050</v>
      </c>
      <c r="G460" t="s">
        <v>82</v>
      </c>
      <c r="H460" t="s">
        <v>63</v>
      </c>
      <c r="I460">
        <v>0</v>
      </c>
      <c r="J460" s="1">
        <v>403350.10600000003</v>
      </c>
      <c r="K460" s="1">
        <v>280372.364</v>
      </c>
      <c r="L460" s="1">
        <v>403438.17499999999</v>
      </c>
      <c r="M460" s="1">
        <v>280311.65600000002</v>
      </c>
      <c r="N460" t="s">
        <v>40</v>
      </c>
      <c r="P460" t="s">
        <v>40</v>
      </c>
      <c r="Q460">
        <v>0</v>
      </c>
      <c r="R460">
        <v>0</v>
      </c>
      <c r="S460">
        <v>0</v>
      </c>
      <c r="T460">
        <v>6</v>
      </c>
      <c r="U460">
        <v>6</v>
      </c>
      <c r="V460">
        <v>1</v>
      </c>
      <c r="W460">
        <v>3</v>
      </c>
      <c r="X460" t="s">
        <v>40</v>
      </c>
      <c r="Y460">
        <v>3</v>
      </c>
      <c r="Z460">
        <v>86</v>
      </c>
      <c r="AA460">
        <v>1</v>
      </c>
      <c r="AB460">
        <v>0</v>
      </c>
      <c r="AC460">
        <v>155.15</v>
      </c>
      <c r="AD460">
        <v>5059</v>
      </c>
      <c r="AH460">
        <v>0</v>
      </c>
      <c r="AI460">
        <v>0</v>
      </c>
      <c r="AL460" t="s">
        <v>40</v>
      </c>
      <c r="AM460" t="str">
        <f t="shared" si="36"/>
        <v>86 1</v>
      </c>
      <c r="AN460" t="str">
        <f t="shared" si="37"/>
        <v>403350.106,280372.364</v>
      </c>
      <c r="AO460" t="str">
        <f t="shared" si="38"/>
        <v>403438.175,280311.656</v>
      </c>
      <c r="AQ460" t="s">
        <v>2327</v>
      </c>
      <c r="AR460" t="s">
        <v>2331</v>
      </c>
    </row>
    <row r="461" spans="1:44" x14ac:dyDescent="0.3">
      <c r="A461">
        <v>3869</v>
      </c>
      <c r="B461">
        <v>4</v>
      </c>
      <c r="C461">
        <v>4017431</v>
      </c>
      <c r="D461">
        <v>15163</v>
      </c>
      <c r="E461">
        <v>2</v>
      </c>
      <c r="F461">
        <v>670050</v>
      </c>
      <c r="G461" t="s">
        <v>82</v>
      </c>
      <c r="H461" t="s">
        <v>63</v>
      </c>
      <c r="I461">
        <v>0</v>
      </c>
      <c r="J461" s="1">
        <v>403421.61099999998</v>
      </c>
      <c r="K461" s="1">
        <v>280139.92</v>
      </c>
      <c r="L461" s="1">
        <v>403467.41899999999</v>
      </c>
      <c r="M461" s="1">
        <v>280165.43900000001</v>
      </c>
      <c r="N461" t="s">
        <v>40</v>
      </c>
      <c r="P461" t="s">
        <v>40</v>
      </c>
      <c r="Q461">
        <v>0</v>
      </c>
      <c r="R461">
        <v>0</v>
      </c>
      <c r="S461">
        <v>0</v>
      </c>
      <c r="T461">
        <v>6</v>
      </c>
      <c r="U461">
        <v>6</v>
      </c>
      <c r="V461">
        <v>1</v>
      </c>
      <c r="W461">
        <v>2</v>
      </c>
      <c r="X461" t="s">
        <v>40</v>
      </c>
      <c r="Y461">
        <v>3</v>
      </c>
      <c r="Z461">
        <v>89</v>
      </c>
      <c r="AA461">
        <v>1</v>
      </c>
      <c r="AB461">
        <v>0</v>
      </c>
      <c r="AC461">
        <v>52.468000000000004</v>
      </c>
      <c r="AD461">
        <v>5059</v>
      </c>
      <c r="AH461">
        <v>0</v>
      </c>
      <c r="AI461">
        <v>0</v>
      </c>
      <c r="AL461" t="s">
        <v>40</v>
      </c>
      <c r="AM461" t="str">
        <f t="shared" si="36"/>
        <v>89 1</v>
      </c>
      <c r="AN461" t="str">
        <f t="shared" si="37"/>
        <v>403421.611,280139.92</v>
      </c>
      <c r="AO461" t="str">
        <f t="shared" si="38"/>
        <v>403467.419,280165.439</v>
      </c>
      <c r="AQ461" t="s">
        <v>2322</v>
      </c>
      <c r="AR461" t="s">
        <v>2345</v>
      </c>
    </row>
    <row r="462" spans="1:44" x14ac:dyDescent="0.3">
      <c r="A462">
        <v>3869</v>
      </c>
      <c r="B462">
        <v>4</v>
      </c>
      <c r="C462">
        <v>4017379</v>
      </c>
      <c r="D462">
        <v>14851</v>
      </c>
      <c r="E462">
        <v>2</v>
      </c>
      <c r="F462">
        <v>670050</v>
      </c>
      <c r="G462" t="s">
        <v>82</v>
      </c>
      <c r="H462" t="s">
        <v>63</v>
      </c>
      <c r="I462">
        <v>0</v>
      </c>
      <c r="J462" s="1">
        <v>403472.26500000001</v>
      </c>
      <c r="K462" s="1">
        <v>280167.97600000002</v>
      </c>
      <c r="L462" s="1">
        <v>403524.76</v>
      </c>
      <c r="M462" s="1">
        <v>280188.18699999998</v>
      </c>
      <c r="N462" t="s">
        <v>40</v>
      </c>
      <c r="P462" t="s">
        <v>40</v>
      </c>
      <c r="Q462">
        <v>0</v>
      </c>
      <c r="R462">
        <v>0</v>
      </c>
      <c r="S462">
        <v>0</v>
      </c>
      <c r="T462">
        <v>6</v>
      </c>
      <c r="U462">
        <v>6</v>
      </c>
      <c r="V462">
        <v>1</v>
      </c>
      <c r="W462">
        <v>2</v>
      </c>
      <c r="X462" t="s">
        <v>40</v>
      </c>
      <c r="Y462">
        <v>3</v>
      </c>
      <c r="Z462">
        <v>89</v>
      </c>
      <c r="AA462">
        <v>1</v>
      </c>
      <c r="AB462">
        <v>0</v>
      </c>
      <c r="AC462">
        <v>1282.6689999999999</v>
      </c>
      <c r="AD462">
        <v>5059</v>
      </c>
      <c r="AH462">
        <v>0</v>
      </c>
      <c r="AI462">
        <v>0</v>
      </c>
      <c r="AL462" t="s">
        <v>40</v>
      </c>
      <c r="AM462" t="str">
        <f t="shared" si="36"/>
        <v>89 1</v>
      </c>
      <c r="AN462" s="6" t="s">
        <v>1687</v>
      </c>
      <c r="AO462" s="6" t="s">
        <v>1171</v>
      </c>
      <c r="AQ462" t="s">
        <v>2321</v>
      </c>
      <c r="AR462" t="s">
        <v>2346</v>
      </c>
    </row>
    <row r="463" spans="1:44" x14ac:dyDescent="0.3">
      <c r="A463">
        <v>3869</v>
      </c>
      <c r="B463">
        <v>4</v>
      </c>
      <c r="C463">
        <v>4017380</v>
      </c>
      <c r="D463">
        <v>14802</v>
      </c>
      <c r="E463">
        <v>2</v>
      </c>
      <c r="F463">
        <v>670050</v>
      </c>
      <c r="G463" t="s">
        <v>82</v>
      </c>
      <c r="H463" t="s">
        <v>63</v>
      </c>
      <c r="I463">
        <v>0</v>
      </c>
      <c r="J463" s="1">
        <v>403467.41899999999</v>
      </c>
      <c r="K463" s="1">
        <v>280165.43900000001</v>
      </c>
      <c r="L463" s="1">
        <v>403472.26500000001</v>
      </c>
      <c r="M463" s="1">
        <v>280167.97600000002</v>
      </c>
      <c r="N463" t="s">
        <v>40</v>
      </c>
      <c r="P463" t="s">
        <v>40</v>
      </c>
      <c r="Q463">
        <v>0</v>
      </c>
      <c r="R463">
        <v>0</v>
      </c>
      <c r="S463">
        <v>0</v>
      </c>
      <c r="T463">
        <v>6</v>
      </c>
      <c r="U463">
        <v>6</v>
      </c>
      <c r="V463">
        <v>1</v>
      </c>
      <c r="W463">
        <v>2</v>
      </c>
      <c r="X463" t="s">
        <v>40</v>
      </c>
      <c r="Y463">
        <v>3</v>
      </c>
      <c r="Z463">
        <v>38</v>
      </c>
      <c r="AA463">
        <v>5001</v>
      </c>
      <c r="AB463">
        <v>0</v>
      </c>
      <c r="AC463">
        <v>5.47</v>
      </c>
      <c r="AD463">
        <v>5059</v>
      </c>
      <c r="AH463">
        <v>0</v>
      </c>
      <c r="AI463">
        <v>0</v>
      </c>
      <c r="AL463" t="s">
        <v>40</v>
      </c>
      <c r="AM463" t="str">
        <f t="shared" si="36"/>
        <v>38 5001</v>
      </c>
      <c r="AN463" t="str">
        <f t="shared" si="37"/>
        <v>403467.419,280165.439</v>
      </c>
      <c r="AO463" t="str">
        <f t="shared" si="38"/>
        <v>403472.265,280167.976</v>
      </c>
      <c r="AQ463" t="s">
        <v>2345</v>
      </c>
      <c r="AR463" t="s">
        <v>2346</v>
      </c>
    </row>
    <row r="464" spans="1:44" x14ac:dyDescent="0.3">
      <c r="A464">
        <v>3869</v>
      </c>
      <c r="B464">
        <v>4</v>
      </c>
      <c r="C464">
        <v>4014874</v>
      </c>
      <c r="D464">
        <v>14308</v>
      </c>
      <c r="E464">
        <v>2</v>
      </c>
      <c r="F464">
        <v>670050</v>
      </c>
      <c r="G464" t="s">
        <v>85</v>
      </c>
      <c r="H464" t="s">
        <v>42</v>
      </c>
      <c r="I464">
        <v>0</v>
      </c>
      <c r="J464" s="1">
        <v>404732.73499999999</v>
      </c>
      <c r="K464" s="1">
        <v>281193.005</v>
      </c>
      <c r="L464" s="1">
        <v>404695.03999999998</v>
      </c>
      <c r="M464" s="1">
        <v>281286.18099999998</v>
      </c>
      <c r="N464" t="s">
        <v>40</v>
      </c>
      <c r="P464" t="s">
        <v>40</v>
      </c>
      <c r="Q464">
        <v>0</v>
      </c>
      <c r="R464">
        <v>0</v>
      </c>
      <c r="S464">
        <v>0</v>
      </c>
      <c r="T464">
        <v>6</v>
      </c>
      <c r="U464">
        <v>6</v>
      </c>
      <c r="V464">
        <v>1</v>
      </c>
      <c r="W464">
        <v>2</v>
      </c>
      <c r="X464" t="s">
        <v>40</v>
      </c>
      <c r="Y464">
        <v>3</v>
      </c>
      <c r="Z464">
        <v>38</v>
      </c>
      <c r="AA464">
        <v>5001</v>
      </c>
      <c r="AB464">
        <v>0</v>
      </c>
      <c r="AC464">
        <v>111.26600000000001</v>
      </c>
      <c r="AD464">
        <v>5059</v>
      </c>
      <c r="AH464">
        <v>0</v>
      </c>
      <c r="AI464">
        <v>0</v>
      </c>
      <c r="AL464" t="s">
        <v>40</v>
      </c>
      <c r="AM464" t="str">
        <f t="shared" si="36"/>
        <v>38 5001</v>
      </c>
      <c r="AN464" t="str">
        <f t="shared" si="37"/>
        <v>404732.735,281193.005</v>
      </c>
      <c r="AO464" t="str">
        <f t="shared" si="38"/>
        <v>404695.04,281286.181</v>
      </c>
      <c r="AQ464" t="s">
        <v>2347</v>
      </c>
      <c r="AR464" t="s">
        <v>684</v>
      </c>
    </row>
    <row r="465" spans="1:44" x14ac:dyDescent="0.3">
      <c r="A465">
        <v>3869</v>
      </c>
      <c r="B465">
        <v>4</v>
      </c>
      <c r="C465">
        <v>4014824</v>
      </c>
      <c r="D465">
        <v>120</v>
      </c>
      <c r="E465">
        <v>2</v>
      </c>
      <c r="F465">
        <v>670050</v>
      </c>
      <c r="G465" t="s">
        <v>85</v>
      </c>
      <c r="H465" t="s">
        <v>42</v>
      </c>
      <c r="I465">
        <v>0</v>
      </c>
      <c r="J465" s="1">
        <v>405000</v>
      </c>
      <c r="K465" s="1">
        <v>281075.02299999999</v>
      </c>
      <c r="L465" s="1">
        <v>404975.91399999999</v>
      </c>
      <c r="M465" s="1">
        <v>281056.97700000001</v>
      </c>
      <c r="N465" t="s">
        <v>40</v>
      </c>
      <c r="P465" t="s">
        <v>40</v>
      </c>
      <c r="Q465">
        <v>0</v>
      </c>
      <c r="R465">
        <v>0</v>
      </c>
      <c r="S465">
        <v>0</v>
      </c>
      <c r="T465">
        <v>6</v>
      </c>
      <c r="U465">
        <v>6</v>
      </c>
      <c r="V465">
        <v>1</v>
      </c>
      <c r="W465">
        <v>1</v>
      </c>
      <c r="X465" t="s">
        <v>40</v>
      </c>
      <c r="Y465">
        <v>3</v>
      </c>
      <c r="Z465">
        <v>5068</v>
      </c>
      <c r="AA465">
        <v>1</v>
      </c>
      <c r="AB465">
        <v>0</v>
      </c>
      <c r="AC465">
        <v>411.209</v>
      </c>
      <c r="AD465">
        <v>5059</v>
      </c>
      <c r="AH465">
        <v>0</v>
      </c>
      <c r="AI465">
        <v>0</v>
      </c>
      <c r="AL465" t="s">
        <v>40</v>
      </c>
      <c r="AM465" t="str">
        <f t="shared" si="36"/>
        <v>5068 1</v>
      </c>
      <c r="AN465" s="6" t="s">
        <v>368</v>
      </c>
      <c r="AO465" s="6" t="s">
        <v>1177</v>
      </c>
      <c r="AQ465" t="s">
        <v>740</v>
      </c>
      <c r="AR465" t="s">
        <v>1980</v>
      </c>
    </row>
    <row r="466" spans="1:44" x14ac:dyDescent="0.3">
      <c r="A466">
        <v>3869</v>
      </c>
      <c r="B466">
        <v>4</v>
      </c>
      <c r="C466">
        <v>4014858</v>
      </c>
      <c r="D466">
        <v>72885</v>
      </c>
      <c r="E466">
        <v>2</v>
      </c>
      <c r="F466">
        <v>670050</v>
      </c>
      <c r="G466" t="s">
        <v>85</v>
      </c>
      <c r="H466" t="s">
        <v>42</v>
      </c>
      <c r="I466">
        <v>0</v>
      </c>
      <c r="J466" s="1">
        <v>404841.06099999999</v>
      </c>
      <c r="K466" s="1">
        <v>281144.08</v>
      </c>
      <c r="L466" s="1">
        <v>404848.51699999999</v>
      </c>
      <c r="M466" s="1">
        <v>281153.00199999998</v>
      </c>
      <c r="N466" t="s">
        <v>40</v>
      </c>
      <c r="P466" t="s">
        <v>40</v>
      </c>
      <c r="Q466">
        <v>0</v>
      </c>
      <c r="R466">
        <v>0</v>
      </c>
      <c r="S466">
        <v>0</v>
      </c>
      <c r="T466">
        <v>6</v>
      </c>
      <c r="U466">
        <v>6</v>
      </c>
      <c r="V466">
        <v>1</v>
      </c>
      <c r="W466">
        <v>1</v>
      </c>
      <c r="X466" t="s">
        <v>40</v>
      </c>
      <c r="Y466">
        <v>3</v>
      </c>
      <c r="Z466">
        <v>38</v>
      </c>
      <c r="AA466">
        <v>1</v>
      </c>
      <c r="AB466">
        <v>0</v>
      </c>
      <c r="AC466">
        <v>15.58</v>
      </c>
      <c r="AD466">
        <v>5059</v>
      </c>
      <c r="AH466">
        <v>0</v>
      </c>
      <c r="AI466">
        <v>0</v>
      </c>
      <c r="AL466" t="s">
        <v>40</v>
      </c>
      <c r="AM466" t="str">
        <f t="shared" si="36"/>
        <v>38 1</v>
      </c>
      <c r="AN466" t="str">
        <f t="shared" si="37"/>
        <v>404841.061,281144.08</v>
      </c>
      <c r="AO466" t="str">
        <f t="shared" si="38"/>
        <v>404848.517,281153.002</v>
      </c>
      <c r="AQ466" t="s">
        <v>2348</v>
      </c>
      <c r="AR466" t="s">
        <v>739</v>
      </c>
    </row>
    <row r="467" spans="1:44" x14ac:dyDescent="0.3">
      <c r="A467">
        <v>3869</v>
      </c>
      <c r="B467">
        <v>4</v>
      </c>
      <c r="C467">
        <v>4014859</v>
      </c>
      <c r="D467">
        <v>14886</v>
      </c>
      <c r="E467">
        <v>2</v>
      </c>
      <c r="F467">
        <v>670050</v>
      </c>
      <c r="G467" t="s">
        <v>85</v>
      </c>
      <c r="H467" t="s">
        <v>42</v>
      </c>
      <c r="I467">
        <v>0</v>
      </c>
      <c r="J467" s="1">
        <v>404771.99099999998</v>
      </c>
      <c r="K467" s="1">
        <v>281140.58500000002</v>
      </c>
      <c r="L467" s="1">
        <v>404841.06099999999</v>
      </c>
      <c r="M467" s="1">
        <v>281144.08</v>
      </c>
      <c r="N467" t="s">
        <v>40</v>
      </c>
      <c r="P467" t="s">
        <v>40</v>
      </c>
      <c r="Q467">
        <v>0</v>
      </c>
      <c r="R467">
        <v>0</v>
      </c>
      <c r="S467">
        <v>0</v>
      </c>
      <c r="T467">
        <v>6</v>
      </c>
      <c r="U467">
        <v>6</v>
      </c>
      <c r="V467">
        <v>1</v>
      </c>
      <c r="W467">
        <v>1</v>
      </c>
      <c r="X467" t="s">
        <v>40</v>
      </c>
      <c r="Y467">
        <v>3</v>
      </c>
      <c r="Z467">
        <v>89</v>
      </c>
      <c r="AA467">
        <v>1</v>
      </c>
      <c r="AB467">
        <v>0</v>
      </c>
      <c r="AC467">
        <v>70.888999999999996</v>
      </c>
      <c r="AD467">
        <v>5059</v>
      </c>
      <c r="AH467">
        <v>0</v>
      </c>
      <c r="AI467">
        <v>0</v>
      </c>
      <c r="AL467" t="s">
        <v>40</v>
      </c>
      <c r="AM467" t="str">
        <f t="shared" si="36"/>
        <v>89 1</v>
      </c>
      <c r="AN467" t="str">
        <f t="shared" si="37"/>
        <v>404771.991,281140.585</v>
      </c>
      <c r="AO467" t="str">
        <f t="shared" si="38"/>
        <v>404841.061,281144.08</v>
      </c>
      <c r="AQ467" t="s">
        <v>1960</v>
      </c>
      <c r="AR467" t="s">
        <v>2348</v>
      </c>
    </row>
    <row r="468" spans="1:44" x14ac:dyDescent="0.3">
      <c r="A468">
        <v>3869</v>
      </c>
      <c r="B468">
        <v>4</v>
      </c>
      <c r="C468">
        <v>4020970</v>
      </c>
      <c r="D468">
        <v>22936</v>
      </c>
      <c r="E468">
        <v>2</v>
      </c>
      <c r="F468">
        <v>670050</v>
      </c>
      <c r="G468" t="s">
        <v>85</v>
      </c>
      <c r="H468" t="s">
        <v>41</v>
      </c>
      <c r="I468">
        <v>0</v>
      </c>
      <c r="J468" s="1">
        <v>405118.98700000002</v>
      </c>
      <c r="K468" s="1">
        <v>281011.505</v>
      </c>
      <c r="L468" s="1">
        <v>405084.83500000002</v>
      </c>
      <c r="M468" s="1">
        <v>281145.83399999997</v>
      </c>
      <c r="N468" t="s">
        <v>40</v>
      </c>
      <c r="P468" t="s">
        <v>40</v>
      </c>
      <c r="Q468">
        <v>0</v>
      </c>
      <c r="R468">
        <v>0</v>
      </c>
      <c r="S468">
        <v>0</v>
      </c>
      <c r="T468">
        <v>6</v>
      </c>
      <c r="U468">
        <v>6</v>
      </c>
      <c r="V468">
        <v>1</v>
      </c>
      <c r="W468">
        <v>1</v>
      </c>
      <c r="X468" t="s">
        <v>40</v>
      </c>
      <c r="Y468">
        <v>3</v>
      </c>
      <c r="Z468">
        <v>95</v>
      </c>
      <c r="AA468">
        <v>99</v>
      </c>
      <c r="AB468">
        <v>0</v>
      </c>
      <c r="AC468">
        <v>139.43199999999999</v>
      </c>
      <c r="AD468">
        <v>5059</v>
      </c>
      <c r="AH468">
        <v>0</v>
      </c>
      <c r="AI468">
        <v>0</v>
      </c>
      <c r="AL468" t="s">
        <v>40</v>
      </c>
      <c r="AM468" t="str">
        <f t="shared" si="36"/>
        <v>95 99</v>
      </c>
      <c r="AN468" t="str">
        <f t="shared" si="37"/>
        <v>405118.987,281011.505</v>
      </c>
      <c r="AO468" t="str">
        <f t="shared" si="38"/>
        <v>405084.835,281145.834</v>
      </c>
      <c r="AQ468" t="s">
        <v>1875</v>
      </c>
      <c r="AR468" t="s">
        <v>2349</v>
      </c>
    </row>
    <row r="469" spans="1:44" x14ac:dyDescent="0.3">
      <c r="A469">
        <v>3869</v>
      </c>
      <c r="B469">
        <v>4</v>
      </c>
      <c r="C469">
        <v>4014866</v>
      </c>
      <c r="D469">
        <v>14303</v>
      </c>
      <c r="E469">
        <v>2</v>
      </c>
      <c r="F469">
        <v>670050</v>
      </c>
      <c r="G469" t="s">
        <v>85</v>
      </c>
      <c r="H469" t="s">
        <v>42</v>
      </c>
      <c r="I469">
        <v>0</v>
      </c>
      <c r="J469" s="1">
        <v>404771.99099999998</v>
      </c>
      <c r="K469" s="1">
        <v>281140.58500000002</v>
      </c>
      <c r="L469" s="1">
        <v>404732.73499999999</v>
      </c>
      <c r="M469" s="1">
        <v>281193.005</v>
      </c>
      <c r="N469" t="s">
        <v>40</v>
      </c>
      <c r="P469" t="s">
        <v>40</v>
      </c>
      <c r="Q469">
        <v>0</v>
      </c>
      <c r="R469">
        <v>0</v>
      </c>
      <c r="S469">
        <v>0</v>
      </c>
      <c r="T469">
        <v>6</v>
      </c>
      <c r="U469">
        <v>6</v>
      </c>
      <c r="V469">
        <v>1</v>
      </c>
      <c r="W469">
        <v>2</v>
      </c>
      <c r="X469" t="s">
        <v>40</v>
      </c>
      <c r="Y469">
        <v>3</v>
      </c>
      <c r="Z469">
        <v>89</v>
      </c>
      <c r="AA469">
        <v>1</v>
      </c>
      <c r="AB469">
        <v>0</v>
      </c>
      <c r="AC469">
        <v>68.856999999999999</v>
      </c>
      <c r="AD469">
        <v>5059</v>
      </c>
      <c r="AH469">
        <v>0</v>
      </c>
      <c r="AI469">
        <v>0</v>
      </c>
      <c r="AL469" t="s">
        <v>40</v>
      </c>
      <c r="AM469" t="str">
        <f t="shared" si="36"/>
        <v>89 1</v>
      </c>
      <c r="AN469" t="str">
        <f t="shared" si="37"/>
        <v>404771.991,281140.585</v>
      </c>
      <c r="AO469" t="str">
        <f t="shared" si="38"/>
        <v>404732.735,281193.005</v>
      </c>
      <c r="AQ469" t="s">
        <v>1960</v>
      </c>
      <c r="AR469" t="s">
        <v>2347</v>
      </c>
    </row>
    <row r="470" spans="1:44" x14ac:dyDescent="0.3">
      <c r="A470">
        <v>3869</v>
      </c>
      <c r="B470">
        <v>4</v>
      </c>
      <c r="C470">
        <v>4026267</v>
      </c>
      <c r="D470">
        <v>22897</v>
      </c>
      <c r="E470">
        <v>2</v>
      </c>
      <c r="F470">
        <v>670050</v>
      </c>
      <c r="G470" t="s">
        <v>85</v>
      </c>
      <c r="H470" t="s">
        <v>41</v>
      </c>
      <c r="I470">
        <v>0</v>
      </c>
      <c r="J470" s="1">
        <v>405084.83500000002</v>
      </c>
      <c r="K470" s="1">
        <v>281145.83399999997</v>
      </c>
      <c r="L470" s="1">
        <v>405076.53399999999</v>
      </c>
      <c r="M470" s="1">
        <v>281189.19300000003</v>
      </c>
      <c r="N470" t="s">
        <v>40</v>
      </c>
      <c r="P470" t="s">
        <v>40</v>
      </c>
      <c r="Q470">
        <v>0</v>
      </c>
      <c r="R470">
        <v>0</v>
      </c>
      <c r="S470">
        <v>0</v>
      </c>
      <c r="T470">
        <v>6</v>
      </c>
      <c r="U470">
        <v>6</v>
      </c>
      <c r="V470">
        <v>1</v>
      </c>
      <c r="W470">
        <v>1</v>
      </c>
      <c r="X470" t="s">
        <v>40</v>
      </c>
      <c r="Y470">
        <v>3</v>
      </c>
      <c r="Z470">
        <v>95</v>
      </c>
      <c r="AA470">
        <v>1</v>
      </c>
      <c r="AB470">
        <v>0</v>
      </c>
      <c r="AC470">
        <v>44.194000000000003</v>
      </c>
      <c r="AD470">
        <v>5059</v>
      </c>
      <c r="AH470">
        <v>0</v>
      </c>
      <c r="AI470">
        <v>0</v>
      </c>
      <c r="AL470" t="s">
        <v>40</v>
      </c>
      <c r="AM470" t="str">
        <f t="shared" si="36"/>
        <v>95 1</v>
      </c>
      <c r="AN470" t="str">
        <f t="shared" si="37"/>
        <v>405084.835,281145.834</v>
      </c>
      <c r="AO470" t="str">
        <f t="shared" si="38"/>
        <v>405076.534,281189.193</v>
      </c>
      <c r="AQ470" t="s">
        <v>2349</v>
      </c>
      <c r="AR470" t="s">
        <v>2350</v>
      </c>
    </row>
    <row r="471" spans="1:44" x14ac:dyDescent="0.3">
      <c r="A471">
        <v>3869</v>
      </c>
      <c r="B471">
        <v>4</v>
      </c>
      <c r="C471">
        <v>4026268</v>
      </c>
      <c r="D471">
        <v>22942</v>
      </c>
      <c r="E471">
        <v>2</v>
      </c>
      <c r="F471">
        <v>670050</v>
      </c>
      <c r="G471" t="s">
        <v>85</v>
      </c>
      <c r="H471" t="s">
        <v>41</v>
      </c>
      <c r="I471">
        <v>0</v>
      </c>
      <c r="J471" s="1">
        <v>405037.84100000001</v>
      </c>
      <c r="K471" s="1">
        <v>281115.42200000002</v>
      </c>
      <c r="L471" s="1">
        <v>405076.53399999999</v>
      </c>
      <c r="M471" s="1">
        <v>281189.19300000003</v>
      </c>
      <c r="N471" t="s">
        <v>40</v>
      </c>
      <c r="P471" t="s">
        <v>40</v>
      </c>
      <c r="Q471">
        <v>0</v>
      </c>
      <c r="R471">
        <v>0</v>
      </c>
      <c r="S471">
        <v>0</v>
      </c>
      <c r="T471">
        <v>6</v>
      </c>
      <c r="U471">
        <v>6</v>
      </c>
      <c r="V471">
        <v>1</v>
      </c>
      <c r="W471">
        <v>1</v>
      </c>
      <c r="X471" t="s">
        <v>40</v>
      </c>
      <c r="Y471">
        <v>3</v>
      </c>
      <c r="Z471">
        <v>72</v>
      </c>
      <c r="AA471">
        <v>1</v>
      </c>
      <c r="AB471">
        <v>0</v>
      </c>
      <c r="AC471">
        <v>159.98099999999999</v>
      </c>
      <c r="AD471">
        <v>5059</v>
      </c>
      <c r="AH471">
        <v>0</v>
      </c>
      <c r="AI471">
        <v>0</v>
      </c>
      <c r="AL471" t="s">
        <v>40</v>
      </c>
      <c r="AM471" t="str">
        <f t="shared" si="36"/>
        <v>72 1</v>
      </c>
      <c r="AN471" t="str">
        <f t="shared" si="37"/>
        <v>405037.841,281115.422</v>
      </c>
      <c r="AO471" t="str">
        <f t="shared" si="38"/>
        <v>405076.534,281189.193</v>
      </c>
      <c r="AQ471" t="s">
        <v>1980</v>
      </c>
      <c r="AR471" t="s">
        <v>2350</v>
      </c>
    </row>
    <row r="472" spans="1:44" x14ac:dyDescent="0.3">
      <c r="A472">
        <v>3869</v>
      </c>
      <c r="B472">
        <v>4</v>
      </c>
      <c r="C472">
        <v>4026282</v>
      </c>
      <c r="D472">
        <v>81860</v>
      </c>
      <c r="E472">
        <v>2</v>
      </c>
      <c r="F472">
        <v>670050</v>
      </c>
      <c r="G472" t="s">
        <v>85</v>
      </c>
      <c r="H472" t="s">
        <v>41</v>
      </c>
      <c r="I472">
        <v>0</v>
      </c>
      <c r="J472" s="1">
        <v>405039.45199999999</v>
      </c>
      <c r="K472" s="1">
        <v>281132.50799999997</v>
      </c>
      <c r="L472" s="1">
        <v>405004.239</v>
      </c>
      <c r="M472" s="1">
        <v>281174.29800000001</v>
      </c>
      <c r="N472" t="s">
        <v>40</v>
      </c>
      <c r="P472" t="s">
        <v>40</v>
      </c>
      <c r="Q472">
        <v>0</v>
      </c>
      <c r="R472">
        <v>0</v>
      </c>
      <c r="S472">
        <v>0</v>
      </c>
      <c r="T472">
        <v>6</v>
      </c>
      <c r="U472">
        <v>6</v>
      </c>
      <c r="V472">
        <v>1</v>
      </c>
      <c r="W472">
        <v>2</v>
      </c>
      <c r="X472" t="s">
        <v>40</v>
      </c>
      <c r="Y472">
        <v>3</v>
      </c>
      <c r="Z472">
        <v>38</v>
      </c>
      <c r="AA472">
        <v>5001</v>
      </c>
      <c r="AB472">
        <v>0</v>
      </c>
      <c r="AC472">
        <v>76.58</v>
      </c>
      <c r="AD472">
        <v>5059</v>
      </c>
      <c r="AH472">
        <v>0</v>
      </c>
      <c r="AI472">
        <v>0</v>
      </c>
      <c r="AL472" t="s">
        <v>40</v>
      </c>
      <c r="AM472" t="str">
        <f t="shared" si="36"/>
        <v>38 5001</v>
      </c>
      <c r="AN472" t="str">
        <f t="shared" si="37"/>
        <v>405039.452,281132.508</v>
      </c>
      <c r="AO472" t="str">
        <f t="shared" si="38"/>
        <v>405004.239,281174.298</v>
      </c>
      <c r="AQ472" t="s">
        <v>2351</v>
      </c>
      <c r="AR472" t="s">
        <v>731</v>
      </c>
    </row>
    <row r="473" spans="1:44" x14ac:dyDescent="0.3">
      <c r="A473">
        <v>3869</v>
      </c>
      <c r="B473">
        <v>4</v>
      </c>
      <c r="C473">
        <v>4026283</v>
      </c>
      <c r="D473">
        <v>22491</v>
      </c>
      <c r="E473">
        <v>2</v>
      </c>
      <c r="F473">
        <v>670050</v>
      </c>
      <c r="G473" t="s">
        <v>85</v>
      </c>
      <c r="H473" t="s">
        <v>41</v>
      </c>
      <c r="I473">
        <v>0</v>
      </c>
      <c r="J473" s="1">
        <v>405039.45199999999</v>
      </c>
      <c r="K473" s="1">
        <v>281132.50799999997</v>
      </c>
      <c r="L473" s="1">
        <v>405037.84100000001</v>
      </c>
      <c r="M473" s="1">
        <v>281115.42200000002</v>
      </c>
      <c r="N473" t="s">
        <v>40</v>
      </c>
      <c r="P473" t="s">
        <v>40</v>
      </c>
      <c r="Q473">
        <v>0</v>
      </c>
      <c r="R473">
        <v>0</v>
      </c>
      <c r="S473">
        <v>0</v>
      </c>
      <c r="T473">
        <v>6</v>
      </c>
      <c r="U473">
        <v>6</v>
      </c>
      <c r="V473">
        <v>1</v>
      </c>
      <c r="W473">
        <v>2</v>
      </c>
      <c r="X473" t="s">
        <v>40</v>
      </c>
      <c r="Y473">
        <v>3</v>
      </c>
      <c r="Z473">
        <v>38</v>
      </c>
      <c r="AA473">
        <v>1</v>
      </c>
      <c r="AB473">
        <v>0</v>
      </c>
      <c r="AC473">
        <v>17.587</v>
      </c>
      <c r="AD473">
        <v>5059</v>
      </c>
      <c r="AH473">
        <v>0</v>
      </c>
      <c r="AI473">
        <v>0</v>
      </c>
      <c r="AL473" t="s">
        <v>40</v>
      </c>
      <c r="AM473" t="str">
        <f t="shared" si="36"/>
        <v>38 1</v>
      </c>
      <c r="AN473" t="str">
        <f t="shared" si="37"/>
        <v>405039.452,281132.508</v>
      </c>
      <c r="AO473" t="str">
        <f t="shared" si="38"/>
        <v>405037.841,281115.422</v>
      </c>
      <c r="AQ473" t="s">
        <v>2351</v>
      </c>
      <c r="AR473" t="s">
        <v>1980</v>
      </c>
    </row>
    <row r="474" spans="1:44" x14ac:dyDescent="0.3">
      <c r="A474">
        <v>3869</v>
      </c>
      <c r="B474">
        <v>4</v>
      </c>
      <c r="C474">
        <v>4014865</v>
      </c>
      <c r="D474">
        <v>72913</v>
      </c>
      <c r="E474">
        <v>2</v>
      </c>
      <c r="F474">
        <v>670050</v>
      </c>
      <c r="G474" t="s">
        <v>85</v>
      </c>
      <c r="H474" t="s">
        <v>42</v>
      </c>
      <c r="I474">
        <v>0</v>
      </c>
      <c r="J474" s="1">
        <v>404771.99099999998</v>
      </c>
      <c r="K474" s="1">
        <v>281140.58500000002</v>
      </c>
      <c r="L474" s="1">
        <v>404758.91600000003</v>
      </c>
      <c r="M474" s="1">
        <v>281126.38099999999</v>
      </c>
      <c r="N474" t="s">
        <v>40</v>
      </c>
      <c r="P474" t="s">
        <v>40</v>
      </c>
      <c r="Q474">
        <v>0</v>
      </c>
      <c r="R474">
        <v>0</v>
      </c>
      <c r="S474">
        <v>0</v>
      </c>
      <c r="T474">
        <v>6</v>
      </c>
      <c r="U474">
        <v>6</v>
      </c>
      <c r="V474">
        <v>1</v>
      </c>
      <c r="W474">
        <v>1</v>
      </c>
      <c r="X474" t="s">
        <v>40</v>
      </c>
      <c r="Y474">
        <v>3</v>
      </c>
      <c r="Z474">
        <v>90</v>
      </c>
      <c r="AA474">
        <v>1</v>
      </c>
      <c r="AB474">
        <v>0</v>
      </c>
      <c r="AC474">
        <v>23.41</v>
      </c>
      <c r="AD474">
        <v>5059</v>
      </c>
      <c r="AH474">
        <v>0</v>
      </c>
      <c r="AI474">
        <v>0</v>
      </c>
      <c r="AL474" t="s">
        <v>40</v>
      </c>
      <c r="AM474" t="str">
        <f t="shared" si="36"/>
        <v>90 1</v>
      </c>
      <c r="AN474" t="str">
        <f t="shared" si="37"/>
        <v>404771.991,281140.585</v>
      </c>
      <c r="AO474" t="str">
        <f t="shared" si="38"/>
        <v>404758.916,281126.381</v>
      </c>
      <c r="AQ474" t="s">
        <v>1960</v>
      </c>
      <c r="AR474" t="s">
        <v>822</v>
      </c>
    </row>
    <row r="475" spans="1:44" x14ac:dyDescent="0.3">
      <c r="A475">
        <v>3869</v>
      </c>
      <c r="B475">
        <v>4</v>
      </c>
      <c r="C475">
        <v>4020600</v>
      </c>
      <c r="D475">
        <v>38155</v>
      </c>
      <c r="E475">
        <v>2</v>
      </c>
      <c r="F475">
        <v>670050</v>
      </c>
      <c r="G475" t="s">
        <v>86</v>
      </c>
      <c r="H475" t="s">
        <v>53</v>
      </c>
      <c r="I475">
        <v>0</v>
      </c>
      <c r="J475" s="1">
        <v>406792.67599999998</v>
      </c>
      <c r="K475" s="1">
        <v>281092.49</v>
      </c>
      <c r="L475" s="1">
        <v>406794.55200000003</v>
      </c>
      <c r="M475" s="1">
        <v>281101.05099999998</v>
      </c>
      <c r="N475" t="s">
        <v>40</v>
      </c>
      <c r="P475" t="s">
        <v>40</v>
      </c>
      <c r="Q475">
        <v>0</v>
      </c>
      <c r="R475">
        <v>0</v>
      </c>
      <c r="S475">
        <v>199802</v>
      </c>
      <c r="T475">
        <v>6</v>
      </c>
      <c r="U475">
        <v>6</v>
      </c>
      <c r="V475">
        <v>1</v>
      </c>
      <c r="W475">
        <v>1</v>
      </c>
      <c r="X475" t="s">
        <v>40</v>
      </c>
      <c r="Y475">
        <v>3</v>
      </c>
      <c r="Z475">
        <v>38</v>
      </c>
      <c r="AA475">
        <v>1</v>
      </c>
      <c r="AB475">
        <v>0</v>
      </c>
      <c r="AC475">
        <v>10.073</v>
      </c>
      <c r="AD475">
        <v>5059</v>
      </c>
      <c r="AH475">
        <v>0</v>
      </c>
      <c r="AI475">
        <v>0</v>
      </c>
      <c r="AL475" t="s">
        <v>40</v>
      </c>
      <c r="AM475" t="str">
        <f t="shared" si="36"/>
        <v>38 1</v>
      </c>
      <c r="AN475" t="str">
        <f t="shared" si="37"/>
        <v>406792.676,281092.49</v>
      </c>
      <c r="AO475" t="str">
        <f t="shared" si="38"/>
        <v>406794.552,281101.051</v>
      </c>
      <c r="AQ475" t="s">
        <v>2352</v>
      </c>
      <c r="AR475" t="s">
        <v>743</v>
      </c>
    </row>
    <row r="476" spans="1:44" x14ac:dyDescent="0.3">
      <c r="A476">
        <v>3869</v>
      </c>
      <c r="B476">
        <v>4</v>
      </c>
      <c r="C476">
        <v>4020622</v>
      </c>
      <c r="D476">
        <v>38156</v>
      </c>
      <c r="E476">
        <v>2</v>
      </c>
      <c r="F476">
        <v>670050</v>
      </c>
      <c r="G476" t="s">
        <v>86</v>
      </c>
      <c r="H476" t="s">
        <v>53</v>
      </c>
      <c r="I476">
        <v>0</v>
      </c>
      <c r="J476" s="1">
        <v>406793.30599999998</v>
      </c>
      <c r="K476" s="1">
        <v>281099.745</v>
      </c>
      <c r="L476" s="1">
        <v>406794.266</v>
      </c>
      <c r="M476" s="1">
        <v>281101.598</v>
      </c>
      <c r="N476" t="s">
        <v>40</v>
      </c>
      <c r="P476" t="s">
        <v>40</v>
      </c>
      <c r="Q476">
        <v>0</v>
      </c>
      <c r="R476">
        <v>0</v>
      </c>
      <c r="S476">
        <v>199802</v>
      </c>
      <c r="T476">
        <v>6</v>
      </c>
      <c r="U476">
        <v>6</v>
      </c>
      <c r="V476">
        <v>1</v>
      </c>
      <c r="W476">
        <v>3</v>
      </c>
      <c r="X476" t="s">
        <v>40</v>
      </c>
      <c r="Y476">
        <v>3</v>
      </c>
      <c r="Z476">
        <v>36</v>
      </c>
      <c r="AA476">
        <v>99</v>
      </c>
      <c r="AB476">
        <v>0</v>
      </c>
      <c r="AC476">
        <v>4.117</v>
      </c>
      <c r="AD476">
        <v>5059</v>
      </c>
      <c r="AH476">
        <v>0</v>
      </c>
      <c r="AI476">
        <v>0</v>
      </c>
      <c r="AL476" t="s">
        <v>40</v>
      </c>
      <c r="AM476" t="str">
        <f t="shared" si="36"/>
        <v>36 99</v>
      </c>
      <c r="AN476" t="str">
        <f t="shared" si="37"/>
        <v>406793.306,281099.745</v>
      </c>
      <c r="AO476" t="str">
        <f t="shared" si="38"/>
        <v>406794.266,281101.598</v>
      </c>
      <c r="AQ476" t="s">
        <v>2353</v>
      </c>
      <c r="AR476" t="s">
        <v>688</v>
      </c>
    </row>
    <row r="477" spans="1:44" x14ac:dyDescent="0.3">
      <c r="A477">
        <v>3869</v>
      </c>
      <c r="B477">
        <v>4</v>
      </c>
      <c r="C477">
        <v>4020621</v>
      </c>
      <c r="D477">
        <v>38157</v>
      </c>
      <c r="E477">
        <v>2</v>
      </c>
      <c r="F477">
        <v>670050</v>
      </c>
      <c r="G477" t="s">
        <v>86</v>
      </c>
      <c r="H477" t="s">
        <v>53</v>
      </c>
      <c r="I477">
        <v>0</v>
      </c>
      <c r="J477" s="1">
        <v>406793.07500000001</v>
      </c>
      <c r="K477" s="1">
        <v>281092.47100000002</v>
      </c>
      <c r="L477" s="1">
        <v>406793.87699999998</v>
      </c>
      <c r="M477" s="1">
        <v>281101.30300000001</v>
      </c>
      <c r="N477" t="s">
        <v>40</v>
      </c>
      <c r="P477" t="s">
        <v>40</v>
      </c>
      <c r="Q477">
        <v>0</v>
      </c>
      <c r="R477">
        <v>0</v>
      </c>
      <c r="S477">
        <v>199802</v>
      </c>
      <c r="T477">
        <v>6</v>
      </c>
      <c r="U477">
        <v>6</v>
      </c>
      <c r="V477">
        <v>1</v>
      </c>
      <c r="W477">
        <v>1</v>
      </c>
      <c r="X477" t="s">
        <v>40</v>
      </c>
      <c r="Y477">
        <v>3</v>
      </c>
      <c r="Z477">
        <v>38</v>
      </c>
      <c r="AA477">
        <v>1</v>
      </c>
      <c r="AB477">
        <v>0</v>
      </c>
      <c r="AC477">
        <v>9.3759999999999994</v>
      </c>
      <c r="AD477">
        <v>5059</v>
      </c>
      <c r="AH477">
        <v>0</v>
      </c>
      <c r="AI477">
        <v>0</v>
      </c>
      <c r="AL477" t="s">
        <v>40</v>
      </c>
      <c r="AM477" t="str">
        <f t="shared" si="36"/>
        <v>38 1</v>
      </c>
      <c r="AN477" t="str">
        <f t="shared" si="37"/>
        <v>406793.075,281092.471</v>
      </c>
      <c r="AO477" t="str">
        <f t="shared" si="38"/>
        <v>406793.877,281101.303</v>
      </c>
      <c r="AQ477" t="s">
        <v>2354</v>
      </c>
      <c r="AR477" t="s">
        <v>743</v>
      </c>
    </row>
    <row r="478" spans="1:44" x14ac:dyDescent="0.3">
      <c r="A478">
        <v>3869</v>
      </c>
      <c r="B478">
        <v>4</v>
      </c>
      <c r="C478">
        <v>4020590</v>
      </c>
      <c r="D478">
        <v>19490</v>
      </c>
      <c r="E478">
        <v>2</v>
      </c>
      <c r="F478">
        <v>670050</v>
      </c>
      <c r="G478" t="s">
        <v>86</v>
      </c>
      <c r="H478" t="s">
        <v>53</v>
      </c>
      <c r="I478">
        <v>0</v>
      </c>
      <c r="J478" s="1">
        <v>406735.087</v>
      </c>
      <c r="K478" s="1">
        <v>281220.15399999998</v>
      </c>
      <c r="L478" s="1">
        <v>406769.97899999999</v>
      </c>
      <c r="M478" s="1">
        <v>281075.53700000001</v>
      </c>
      <c r="N478" t="s">
        <v>40</v>
      </c>
      <c r="P478" t="s">
        <v>40</v>
      </c>
      <c r="Q478">
        <v>0</v>
      </c>
      <c r="R478">
        <v>0</v>
      </c>
      <c r="S478">
        <v>0</v>
      </c>
      <c r="T478">
        <v>6</v>
      </c>
      <c r="U478">
        <v>6</v>
      </c>
      <c r="V478">
        <v>1</v>
      </c>
      <c r="W478">
        <v>1</v>
      </c>
      <c r="X478" t="s">
        <v>40</v>
      </c>
      <c r="Y478">
        <v>3</v>
      </c>
      <c r="Z478">
        <v>93</v>
      </c>
      <c r="AA478">
        <v>1</v>
      </c>
      <c r="AB478">
        <v>0</v>
      </c>
      <c r="AC478">
        <v>162.376</v>
      </c>
      <c r="AD478">
        <v>5059</v>
      </c>
      <c r="AH478">
        <v>0</v>
      </c>
      <c r="AI478">
        <v>0</v>
      </c>
      <c r="AL478" t="s">
        <v>40</v>
      </c>
      <c r="AM478" t="str">
        <f t="shared" si="36"/>
        <v>93 1</v>
      </c>
      <c r="AN478" t="str">
        <f t="shared" si="37"/>
        <v>406735.087,281220.154</v>
      </c>
      <c r="AO478" t="str">
        <f t="shared" si="38"/>
        <v>406769.979,281075.537</v>
      </c>
      <c r="AQ478" t="s">
        <v>2355</v>
      </c>
      <c r="AR478" t="s">
        <v>2356</v>
      </c>
    </row>
    <row r="479" spans="1:44" x14ac:dyDescent="0.3">
      <c r="A479">
        <v>3869</v>
      </c>
      <c r="B479">
        <v>4</v>
      </c>
      <c r="C479">
        <v>4020560</v>
      </c>
      <c r="D479">
        <v>18395</v>
      </c>
      <c r="E479">
        <v>2</v>
      </c>
      <c r="F479">
        <v>670050</v>
      </c>
      <c r="G479" t="s">
        <v>86</v>
      </c>
      <c r="H479" t="s">
        <v>53</v>
      </c>
      <c r="I479">
        <v>0</v>
      </c>
      <c r="J479" s="1">
        <v>406326.78</v>
      </c>
      <c r="K479" s="1">
        <v>281320.28100000002</v>
      </c>
      <c r="L479" s="1">
        <v>406525.35100000002</v>
      </c>
      <c r="M479" s="1">
        <v>281197.174</v>
      </c>
      <c r="N479" t="s">
        <v>40</v>
      </c>
      <c r="P479" t="s">
        <v>40</v>
      </c>
      <c r="Q479">
        <v>0</v>
      </c>
      <c r="R479">
        <v>0</v>
      </c>
      <c r="S479">
        <v>0</v>
      </c>
      <c r="T479">
        <v>6</v>
      </c>
      <c r="U479">
        <v>6</v>
      </c>
      <c r="V479">
        <v>1</v>
      </c>
      <c r="W479">
        <v>1</v>
      </c>
      <c r="X479" t="s">
        <v>40</v>
      </c>
      <c r="Y479">
        <v>3</v>
      </c>
      <c r="Z479">
        <v>93</v>
      </c>
      <c r="AA479">
        <v>1</v>
      </c>
      <c r="AB479">
        <v>0</v>
      </c>
      <c r="AC479">
        <v>506.10199999999998</v>
      </c>
      <c r="AD479">
        <v>5059</v>
      </c>
      <c r="AH479">
        <v>0</v>
      </c>
      <c r="AI479">
        <v>0</v>
      </c>
      <c r="AL479" t="s">
        <v>40</v>
      </c>
      <c r="AM479" t="str">
        <f t="shared" si="36"/>
        <v>93 1</v>
      </c>
      <c r="AN479" s="6" t="s">
        <v>1186</v>
      </c>
      <c r="AO479" s="6" t="s">
        <v>1191</v>
      </c>
      <c r="AQ479" t="s">
        <v>2357</v>
      </c>
      <c r="AR479" t="s">
        <v>2358</v>
      </c>
    </row>
    <row r="480" spans="1:44" x14ac:dyDescent="0.3">
      <c r="A480">
        <v>3869</v>
      </c>
      <c r="B480">
        <v>4</v>
      </c>
      <c r="C480">
        <v>4026410</v>
      </c>
      <c r="D480">
        <v>26083</v>
      </c>
      <c r="E480">
        <v>2</v>
      </c>
      <c r="F480">
        <v>670050</v>
      </c>
      <c r="G480" t="s">
        <v>86</v>
      </c>
      <c r="H480" t="s">
        <v>41</v>
      </c>
      <c r="I480">
        <v>0</v>
      </c>
      <c r="J480" s="1">
        <v>405684.31900000002</v>
      </c>
      <c r="K480" s="1">
        <v>281526.06</v>
      </c>
      <c r="L480" s="1">
        <v>405687.49599999998</v>
      </c>
      <c r="M480" s="1">
        <v>281520.28499999997</v>
      </c>
      <c r="N480" t="s">
        <v>40</v>
      </c>
      <c r="P480" t="s">
        <v>40</v>
      </c>
      <c r="Q480">
        <v>0</v>
      </c>
      <c r="R480">
        <v>0</v>
      </c>
      <c r="S480">
        <v>0</v>
      </c>
      <c r="T480">
        <v>6</v>
      </c>
      <c r="U480">
        <v>6</v>
      </c>
      <c r="V480">
        <v>1</v>
      </c>
      <c r="W480">
        <v>1</v>
      </c>
      <c r="X480" t="s">
        <v>40</v>
      </c>
      <c r="Y480">
        <v>3</v>
      </c>
      <c r="Z480">
        <v>93</v>
      </c>
      <c r="AA480">
        <v>1</v>
      </c>
      <c r="AB480">
        <v>0</v>
      </c>
      <c r="AC480">
        <v>6.6429999999999998</v>
      </c>
      <c r="AD480">
        <v>5059</v>
      </c>
      <c r="AH480">
        <v>0</v>
      </c>
      <c r="AI480">
        <v>0</v>
      </c>
      <c r="AL480" t="s">
        <v>40</v>
      </c>
      <c r="AM480" t="str">
        <f t="shared" si="36"/>
        <v>93 1</v>
      </c>
      <c r="AN480" t="str">
        <f t="shared" si="37"/>
        <v>405684.319,281526.06</v>
      </c>
      <c r="AO480" t="str">
        <f t="shared" si="38"/>
        <v>405687.496,281520.285</v>
      </c>
      <c r="AQ480" t="s">
        <v>2359</v>
      </c>
      <c r="AR480" t="s">
        <v>2360</v>
      </c>
    </row>
    <row r="481" spans="1:44" x14ac:dyDescent="0.3">
      <c r="A481">
        <v>3869</v>
      </c>
      <c r="B481">
        <v>4</v>
      </c>
      <c r="C481">
        <v>4026411</v>
      </c>
      <c r="D481">
        <v>26086</v>
      </c>
      <c r="E481">
        <v>2</v>
      </c>
      <c r="F481">
        <v>670050</v>
      </c>
      <c r="G481" t="s">
        <v>86</v>
      </c>
      <c r="H481" t="s">
        <v>41</v>
      </c>
      <c r="I481">
        <v>0</v>
      </c>
      <c r="J481" s="1">
        <v>405687.49599999998</v>
      </c>
      <c r="K481" s="1">
        <v>281520.28499999997</v>
      </c>
      <c r="L481" s="1">
        <v>405706.96500000003</v>
      </c>
      <c r="M481" s="1">
        <v>281515.02</v>
      </c>
      <c r="N481" t="s">
        <v>40</v>
      </c>
      <c r="P481" t="s">
        <v>40</v>
      </c>
      <c r="Q481">
        <v>0</v>
      </c>
      <c r="R481">
        <v>0</v>
      </c>
      <c r="S481">
        <v>0</v>
      </c>
      <c r="T481">
        <v>6</v>
      </c>
      <c r="U481">
        <v>6</v>
      </c>
      <c r="V481">
        <v>1</v>
      </c>
      <c r="W481">
        <v>1</v>
      </c>
      <c r="X481" t="s">
        <v>40</v>
      </c>
      <c r="Y481">
        <v>3</v>
      </c>
      <c r="Z481">
        <v>5030</v>
      </c>
      <c r="AA481">
        <v>1</v>
      </c>
      <c r="AB481">
        <v>0</v>
      </c>
      <c r="AC481">
        <v>20.282</v>
      </c>
      <c r="AD481">
        <v>5059</v>
      </c>
      <c r="AH481">
        <v>0</v>
      </c>
      <c r="AI481">
        <v>0</v>
      </c>
      <c r="AL481" t="s">
        <v>40</v>
      </c>
      <c r="AM481" t="str">
        <f t="shared" si="36"/>
        <v>5030 1</v>
      </c>
      <c r="AN481" t="str">
        <f t="shared" si="37"/>
        <v>405687.496,281520.285</v>
      </c>
      <c r="AO481" t="str">
        <f t="shared" si="38"/>
        <v>405706.965,281515.02</v>
      </c>
      <c r="AQ481" t="s">
        <v>2360</v>
      </c>
      <c r="AR481" t="s">
        <v>2361</v>
      </c>
    </row>
    <row r="482" spans="1:44" x14ac:dyDescent="0.3">
      <c r="A482">
        <v>3869</v>
      </c>
      <c r="B482">
        <v>4</v>
      </c>
      <c r="C482">
        <v>4026424</v>
      </c>
      <c r="D482">
        <v>26438</v>
      </c>
      <c r="E482">
        <v>2</v>
      </c>
      <c r="F482">
        <v>670050</v>
      </c>
      <c r="G482" t="s">
        <v>86</v>
      </c>
      <c r="H482" t="s">
        <v>41</v>
      </c>
      <c r="I482">
        <v>0</v>
      </c>
      <c r="J482" s="1">
        <v>405805.78899999999</v>
      </c>
      <c r="K482" s="1">
        <v>281478.12099999998</v>
      </c>
      <c r="L482" s="1">
        <v>405706.96500000003</v>
      </c>
      <c r="M482" s="1">
        <v>281515.02</v>
      </c>
      <c r="N482" t="s">
        <v>40</v>
      </c>
      <c r="P482" t="s">
        <v>40</v>
      </c>
      <c r="Q482">
        <v>0</v>
      </c>
      <c r="R482">
        <v>0</v>
      </c>
      <c r="S482">
        <v>0</v>
      </c>
      <c r="T482">
        <v>6</v>
      </c>
      <c r="U482">
        <v>6</v>
      </c>
      <c r="V482">
        <v>1</v>
      </c>
      <c r="W482">
        <v>1</v>
      </c>
      <c r="X482" t="s">
        <v>40</v>
      </c>
      <c r="Y482">
        <v>3</v>
      </c>
      <c r="Z482">
        <v>93</v>
      </c>
      <c r="AA482">
        <v>1</v>
      </c>
      <c r="AB482">
        <v>0</v>
      </c>
      <c r="AC482">
        <v>135.851</v>
      </c>
      <c r="AD482">
        <v>5059</v>
      </c>
      <c r="AH482">
        <v>0</v>
      </c>
      <c r="AI482">
        <v>0</v>
      </c>
      <c r="AL482" t="s">
        <v>40</v>
      </c>
      <c r="AM482" t="str">
        <f t="shared" si="36"/>
        <v>93 1</v>
      </c>
      <c r="AN482" s="6" t="s">
        <v>1692</v>
      </c>
      <c r="AO482" s="6" t="s">
        <v>376</v>
      </c>
      <c r="AQ482" t="s">
        <v>2361</v>
      </c>
      <c r="AR482" t="s">
        <v>742</v>
      </c>
    </row>
    <row r="483" spans="1:44" x14ac:dyDescent="0.3">
      <c r="A483">
        <v>3869</v>
      </c>
      <c r="B483">
        <v>4</v>
      </c>
      <c r="C483">
        <v>4026298</v>
      </c>
      <c r="D483">
        <v>22513</v>
      </c>
      <c r="E483">
        <v>2</v>
      </c>
      <c r="F483">
        <v>670050</v>
      </c>
      <c r="G483" t="s">
        <v>86</v>
      </c>
      <c r="H483" t="s">
        <v>41</v>
      </c>
      <c r="I483">
        <v>0</v>
      </c>
      <c r="J483" s="1">
        <v>405141.978</v>
      </c>
      <c r="K483" s="1">
        <v>281019.663</v>
      </c>
      <c r="L483" s="1">
        <v>405144.39299999998</v>
      </c>
      <c r="M483" s="1">
        <v>281000</v>
      </c>
      <c r="N483" t="s">
        <v>40</v>
      </c>
      <c r="P483" t="s">
        <v>40</v>
      </c>
      <c r="Q483">
        <v>0</v>
      </c>
      <c r="R483">
        <v>0</v>
      </c>
      <c r="S483">
        <v>0</v>
      </c>
      <c r="T483">
        <v>6</v>
      </c>
      <c r="U483">
        <v>6</v>
      </c>
      <c r="V483">
        <v>1</v>
      </c>
      <c r="W483">
        <v>3</v>
      </c>
      <c r="X483" t="s">
        <v>40</v>
      </c>
      <c r="Y483">
        <v>3</v>
      </c>
      <c r="Z483">
        <v>38</v>
      </c>
      <c r="AA483">
        <v>1</v>
      </c>
      <c r="AB483">
        <v>0</v>
      </c>
      <c r="AC483">
        <v>34.347000000000001</v>
      </c>
      <c r="AD483">
        <v>5059</v>
      </c>
      <c r="AH483">
        <v>0</v>
      </c>
      <c r="AI483">
        <v>0</v>
      </c>
      <c r="AL483" t="s">
        <v>40</v>
      </c>
      <c r="AM483" t="str">
        <f t="shared" si="36"/>
        <v>38 1</v>
      </c>
      <c r="AN483" s="6" t="s">
        <v>1195</v>
      </c>
      <c r="AO483" s="6" t="s">
        <v>1188</v>
      </c>
      <c r="AQ483" t="s">
        <v>2362</v>
      </c>
      <c r="AR483" t="s">
        <v>2363</v>
      </c>
    </row>
    <row r="484" spans="1:44" x14ac:dyDescent="0.3">
      <c r="A484">
        <v>3869</v>
      </c>
      <c r="B484">
        <v>4</v>
      </c>
      <c r="C484">
        <v>4023383</v>
      </c>
      <c r="D484">
        <v>91232</v>
      </c>
      <c r="E484">
        <v>2</v>
      </c>
      <c r="F484">
        <v>670050</v>
      </c>
      <c r="G484" t="s">
        <v>86</v>
      </c>
      <c r="H484" t="s">
        <v>43</v>
      </c>
      <c r="I484">
        <v>0</v>
      </c>
      <c r="J484" s="1">
        <v>405146.1</v>
      </c>
      <c r="K484" s="1">
        <v>280986.09499999997</v>
      </c>
      <c r="L484" s="1">
        <v>405145.32500000001</v>
      </c>
      <c r="M484" s="1">
        <v>280983.48700000002</v>
      </c>
      <c r="N484" t="s">
        <v>40</v>
      </c>
      <c r="P484" t="s">
        <v>40</v>
      </c>
      <c r="Q484">
        <v>0</v>
      </c>
      <c r="R484">
        <v>0</v>
      </c>
      <c r="S484">
        <v>0</v>
      </c>
      <c r="T484">
        <v>6</v>
      </c>
      <c r="U484">
        <v>6</v>
      </c>
      <c r="V484">
        <v>1</v>
      </c>
      <c r="W484">
        <v>3</v>
      </c>
      <c r="X484" t="s">
        <v>40</v>
      </c>
      <c r="Y484">
        <v>3</v>
      </c>
      <c r="Z484">
        <v>38</v>
      </c>
      <c r="AA484">
        <v>1</v>
      </c>
      <c r="AB484">
        <v>0</v>
      </c>
      <c r="AC484">
        <v>8.3389999999999986</v>
      </c>
      <c r="AD484">
        <v>5059</v>
      </c>
      <c r="AH484">
        <v>0</v>
      </c>
      <c r="AI484">
        <v>0</v>
      </c>
      <c r="AL484" t="s">
        <v>40</v>
      </c>
      <c r="AM484" t="str">
        <f t="shared" si="36"/>
        <v>38 1</v>
      </c>
      <c r="AN484" s="6" t="s">
        <v>1694</v>
      </c>
      <c r="AO484" s="6" t="s">
        <v>386</v>
      </c>
      <c r="AQ484" t="s">
        <v>2364</v>
      </c>
      <c r="AR484" t="s">
        <v>745</v>
      </c>
    </row>
    <row r="485" spans="1:44" x14ac:dyDescent="0.3">
      <c r="A485">
        <v>3869</v>
      </c>
      <c r="B485">
        <v>4</v>
      </c>
      <c r="C485">
        <v>4026333</v>
      </c>
      <c r="D485">
        <v>23116</v>
      </c>
      <c r="E485">
        <v>2</v>
      </c>
      <c r="F485">
        <v>670050</v>
      </c>
      <c r="G485" t="s">
        <v>86</v>
      </c>
      <c r="H485" t="s">
        <v>41</v>
      </c>
      <c r="I485">
        <v>0</v>
      </c>
      <c r="J485" s="1">
        <v>405434.52</v>
      </c>
      <c r="K485" s="1">
        <v>281342.36</v>
      </c>
      <c r="L485" s="1">
        <v>405467.30200000003</v>
      </c>
      <c r="M485" s="1">
        <v>281342.55200000003</v>
      </c>
      <c r="N485" t="s">
        <v>40</v>
      </c>
      <c r="P485" t="s">
        <v>40</v>
      </c>
      <c r="Q485">
        <v>0</v>
      </c>
      <c r="R485">
        <v>0</v>
      </c>
      <c r="S485">
        <v>0</v>
      </c>
      <c r="T485">
        <v>6</v>
      </c>
      <c r="U485">
        <v>6</v>
      </c>
      <c r="V485">
        <v>1</v>
      </c>
      <c r="W485">
        <v>1</v>
      </c>
      <c r="X485" t="s">
        <v>40</v>
      </c>
      <c r="Y485">
        <v>3</v>
      </c>
      <c r="Z485">
        <v>40</v>
      </c>
      <c r="AA485">
        <v>5001</v>
      </c>
      <c r="AB485">
        <v>0</v>
      </c>
      <c r="AC485">
        <v>46.387</v>
      </c>
      <c r="AD485">
        <v>5059</v>
      </c>
      <c r="AH485">
        <v>0</v>
      </c>
      <c r="AI485">
        <v>0</v>
      </c>
      <c r="AL485" t="s">
        <v>40</v>
      </c>
      <c r="AM485" t="str">
        <f t="shared" si="36"/>
        <v>40 5001</v>
      </c>
      <c r="AN485" t="str">
        <f t="shared" si="37"/>
        <v>405434.52,281342.36</v>
      </c>
      <c r="AO485" t="str">
        <f t="shared" si="38"/>
        <v>405467.302,281342.552</v>
      </c>
      <c r="AQ485" t="s">
        <v>2365</v>
      </c>
      <c r="AR485" t="s">
        <v>2366</v>
      </c>
    </row>
    <row r="486" spans="1:44" x14ac:dyDescent="0.3">
      <c r="A486">
        <v>3869</v>
      </c>
      <c r="B486">
        <v>4</v>
      </c>
      <c r="C486">
        <v>4020644</v>
      </c>
      <c r="D486">
        <v>39248</v>
      </c>
      <c r="E486">
        <v>2</v>
      </c>
      <c r="F486">
        <v>670050</v>
      </c>
      <c r="G486" t="s">
        <v>86</v>
      </c>
      <c r="H486" t="s">
        <v>53</v>
      </c>
      <c r="I486">
        <v>0</v>
      </c>
      <c r="J486" s="1">
        <v>406793.30599999998</v>
      </c>
      <c r="K486" s="1">
        <v>281099.745</v>
      </c>
      <c r="L486" s="1">
        <v>406793.87300000002</v>
      </c>
      <c r="M486" s="1">
        <v>281097.70600000001</v>
      </c>
      <c r="N486" t="s">
        <v>40</v>
      </c>
      <c r="P486" t="s">
        <v>40</v>
      </c>
      <c r="Q486">
        <v>0</v>
      </c>
      <c r="R486">
        <v>0</v>
      </c>
      <c r="S486">
        <v>199802</v>
      </c>
      <c r="T486">
        <v>6</v>
      </c>
      <c r="U486">
        <v>6</v>
      </c>
      <c r="V486">
        <v>1</v>
      </c>
      <c r="W486">
        <v>3</v>
      </c>
      <c r="X486" t="s">
        <v>40</v>
      </c>
      <c r="Y486">
        <v>3</v>
      </c>
      <c r="Z486">
        <v>36</v>
      </c>
      <c r="AA486">
        <v>1</v>
      </c>
      <c r="AB486">
        <v>0</v>
      </c>
      <c r="AC486">
        <v>2.218</v>
      </c>
      <c r="AD486">
        <v>5059</v>
      </c>
      <c r="AH486">
        <v>0</v>
      </c>
      <c r="AI486">
        <v>0</v>
      </c>
      <c r="AL486" t="s">
        <v>40</v>
      </c>
      <c r="AM486" t="str">
        <f t="shared" si="36"/>
        <v>36 1</v>
      </c>
      <c r="AN486" t="str">
        <f t="shared" si="37"/>
        <v>406793.306,281099.745</v>
      </c>
      <c r="AO486" t="str">
        <f t="shared" si="38"/>
        <v>406793.873,281097.706</v>
      </c>
      <c r="AQ486" t="s">
        <v>2353</v>
      </c>
      <c r="AR486" t="s">
        <v>2367</v>
      </c>
    </row>
    <row r="487" spans="1:44" x14ac:dyDescent="0.3">
      <c r="A487">
        <v>3869</v>
      </c>
      <c r="B487">
        <v>4</v>
      </c>
      <c r="C487">
        <v>4026299</v>
      </c>
      <c r="D487">
        <v>22571</v>
      </c>
      <c r="E487">
        <v>2</v>
      </c>
      <c r="F487">
        <v>670050</v>
      </c>
      <c r="G487" t="s">
        <v>86</v>
      </c>
      <c r="H487" t="s">
        <v>41</v>
      </c>
      <c r="I487">
        <v>0</v>
      </c>
      <c r="J487" s="1">
        <v>405153.89500000002</v>
      </c>
      <c r="K487" s="1">
        <v>281031.522</v>
      </c>
      <c r="L487" s="1">
        <v>405141.978</v>
      </c>
      <c r="M487" s="1">
        <v>281019.663</v>
      </c>
      <c r="N487" t="s">
        <v>40</v>
      </c>
      <c r="P487" t="s">
        <v>40</v>
      </c>
      <c r="Q487">
        <v>0</v>
      </c>
      <c r="R487">
        <v>0</v>
      </c>
      <c r="S487">
        <v>0</v>
      </c>
      <c r="T487">
        <v>6</v>
      </c>
      <c r="U487">
        <v>6</v>
      </c>
      <c r="V487">
        <v>1</v>
      </c>
      <c r="W487">
        <v>1</v>
      </c>
      <c r="X487" t="s">
        <v>40</v>
      </c>
      <c r="Y487">
        <v>3</v>
      </c>
      <c r="Z487">
        <v>93</v>
      </c>
      <c r="AA487">
        <v>1</v>
      </c>
      <c r="AB487">
        <v>0</v>
      </c>
      <c r="AC487">
        <v>530.98099999999999</v>
      </c>
      <c r="AD487">
        <v>5059</v>
      </c>
      <c r="AH487">
        <v>0</v>
      </c>
      <c r="AI487">
        <v>0</v>
      </c>
      <c r="AL487" t="s">
        <v>40</v>
      </c>
      <c r="AM487" t="str">
        <f t="shared" si="36"/>
        <v>93 1</v>
      </c>
      <c r="AN487" s="6" t="s">
        <v>1187</v>
      </c>
      <c r="AO487" s="6" t="s">
        <v>1190</v>
      </c>
      <c r="AQ487" t="s">
        <v>2368</v>
      </c>
      <c r="AR487" t="s">
        <v>2365</v>
      </c>
    </row>
    <row r="488" spans="1:44" x14ac:dyDescent="0.3">
      <c r="A488">
        <v>3869</v>
      </c>
      <c r="B488">
        <v>4</v>
      </c>
      <c r="C488">
        <v>4020576</v>
      </c>
      <c r="D488">
        <v>19420</v>
      </c>
      <c r="E488">
        <v>2</v>
      </c>
      <c r="F488">
        <v>670050</v>
      </c>
      <c r="G488" t="s">
        <v>86</v>
      </c>
      <c r="H488" t="s">
        <v>53</v>
      </c>
      <c r="I488">
        <v>0</v>
      </c>
      <c r="J488" s="1">
        <v>406691.88500000001</v>
      </c>
      <c r="K488" s="1">
        <v>281213.99400000001</v>
      </c>
      <c r="L488" s="1">
        <v>406735.087</v>
      </c>
      <c r="M488" s="1">
        <v>281220.15399999998</v>
      </c>
      <c r="N488" t="s">
        <v>40</v>
      </c>
      <c r="P488" t="s">
        <v>40</v>
      </c>
      <c r="Q488">
        <v>0</v>
      </c>
      <c r="R488">
        <v>0</v>
      </c>
      <c r="S488">
        <v>0</v>
      </c>
      <c r="T488">
        <v>6</v>
      </c>
      <c r="U488">
        <v>6</v>
      </c>
      <c r="V488">
        <v>1</v>
      </c>
      <c r="W488">
        <v>1</v>
      </c>
      <c r="X488" t="s">
        <v>40</v>
      </c>
      <c r="Y488">
        <v>3</v>
      </c>
      <c r="Z488">
        <v>40</v>
      </c>
      <c r="AA488">
        <v>1</v>
      </c>
      <c r="AB488">
        <v>0</v>
      </c>
      <c r="AC488">
        <v>55.975000000000001</v>
      </c>
      <c r="AD488">
        <v>5059</v>
      </c>
      <c r="AH488">
        <v>0</v>
      </c>
      <c r="AI488">
        <v>0</v>
      </c>
      <c r="AL488" t="s">
        <v>40</v>
      </c>
      <c r="AM488" t="str">
        <f t="shared" si="36"/>
        <v>40 1</v>
      </c>
      <c r="AN488" t="str">
        <f t="shared" si="37"/>
        <v>406691.885,281213.994</v>
      </c>
      <c r="AO488" t="str">
        <f t="shared" si="38"/>
        <v>406735.087,281220.154</v>
      </c>
      <c r="AQ488" t="s">
        <v>2358</v>
      </c>
      <c r="AR488" t="s">
        <v>2355</v>
      </c>
    </row>
    <row r="489" spans="1:44" x14ac:dyDescent="0.3">
      <c r="A489">
        <v>3869</v>
      </c>
      <c r="B489">
        <v>4</v>
      </c>
      <c r="C489">
        <v>4020519</v>
      </c>
      <c r="D489">
        <v>18400</v>
      </c>
      <c r="E489">
        <v>2</v>
      </c>
      <c r="F489">
        <v>670050</v>
      </c>
      <c r="G489" t="s">
        <v>86</v>
      </c>
      <c r="H489" t="s">
        <v>53</v>
      </c>
      <c r="I489">
        <v>0</v>
      </c>
      <c r="J489" s="1">
        <v>406134.58899999998</v>
      </c>
      <c r="K489" s="1">
        <v>281408.92499999999</v>
      </c>
      <c r="L489" s="1">
        <v>406303.10499999998</v>
      </c>
      <c r="M489" s="1">
        <v>281350.54300000001</v>
      </c>
      <c r="N489" t="s">
        <v>40</v>
      </c>
      <c r="P489" t="s">
        <v>40</v>
      </c>
      <c r="Q489">
        <v>0</v>
      </c>
      <c r="R489">
        <v>0</v>
      </c>
      <c r="S489">
        <v>0</v>
      </c>
      <c r="T489">
        <v>6</v>
      </c>
      <c r="U489">
        <v>6</v>
      </c>
      <c r="V489">
        <v>1</v>
      </c>
      <c r="W489">
        <v>1</v>
      </c>
      <c r="X489" t="s">
        <v>40</v>
      </c>
      <c r="Y489">
        <v>3</v>
      </c>
      <c r="Z489">
        <v>93</v>
      </c>
      <c r="AA489">
        <v>1</v>
      </c>
      <c r="AB489">
        <v>0</v>
      </c>
      <c r="AC489">
        <v>564.63900000000001</v>
      </c>
      <c r="AD489">
        <v>5059</v>
      </c>
      <c r="AH489">
        <v>0</v>
      </c>
      <c r="AI489">
        <v>0</v>
      </c>
      <c r="AL489" t="s">
        <v>40</v>
      </c>
      <c r="AM489" t="str">
        <f t="shared" si="36"/>
        <v>93 1</v>
      </c>
      <c r="AN489" s="6" t="s">
        <v>1196</v>
      </c>
      <c r="AO489" s="6" t="s">
        <v>377</v>
      </c>
      <c r="AQ489" t="s">
        <v>2369</v>
      </c>
      <c r="AR489" t="s">
        <v>743</v>
      </c>
    </row>
    <row r="490" spans="1:44" x14ac:dyDescent="0.3">
      <c r="A490">
        <v>3869</v>
      </c>
      <c r="B490">
        <v>4</v>
      </c>
      <c r="C490">
        <v>4020630</v>
      </c>
      <c r="D490">
        <v>19191</v>
      </c>
      <c r="E490">
        <v>2</v>
      </c>
      <c r="F490">
        <v>670050</v>
      </c>
      <c r="G490" t="s">
        <v>86</v>
      </c>
      <c r="H490" t="s">
        <v>53</v>
      </c>
      <c r="I490">
        <v>0</v>
      </c>
      <c r="J490" s="1">
        <v>406777.11200000002</v>
      </c>
      <c r="K490" s="1">
        <v>281069.19699999999</v>
      </c>
      <c r="L490" s="1">
        <v>406793.07500000001</v>
      </c>
      <c r="M490" s="1">
        <v>281092.47100000002</v>
      </c>
      <c r="N490" t="s">
        <v>40</v>
      </c>
      <c r="P490" t="s">
        <v>40</v>
      </c>
      <c r="Q490">
        <v>0</v>
      </c>
      <c r="R490">
        <v>0</v>
      </c>
      <c r="S490">
        <v>0</v>
      </c>
      <c r="T490">
        <v>6</v>
      </c>
      <c r="U490">
        <v>6</v>
      </c>
      <c r="V490">
        <v>1</v>
      </c>
      <c r="W490">
        <v>1</v>
      </c>
      <c r="X490" t="s">
        <v>40</v>
      </c>
      <c r="Y490">
        <v>3</v>
      </c>
      <c r="Z490">
        <v>92</v>
      </c>
      <c r="AA490">
        <v>1</v>
      </c>
      <c r="AB490">
        <v>0</v>
      </c>
      <c r="AC490">
        <v>31.094999999999999</v>
      </c>
      <c r="AD490">
        <v>5059</v>
      </c>
      <c r="AH490">
        <v>0</v>
      </c>
      <c r="AI490">
        <v>0</v>
      </c>
      <c r="AL490" t="s">
        <v>40</v>
      </c>
      <c r="AM490" t="str">
        <f t="shared" si="36"/>
        <v>92 1</v>
      </c>
      <c r="AN490" t="str">
        <f t="shared" si="37"/>
        <v>406777.112,281069.197</v>
      </c>
      <c r="AO490" t="str">
        <f t="shared" si="38"/>
        <v>406793.075,281092.471</v>
      </c>
      <c r="AQ490" t="s">
        <v>2370</v>
      </c>
      <c r="AR490" t="s">
        <v>2354</v>
      </c>
    </row>
    <row r="491" spans="1:44" x14ac:dyDescent="0.3">
      <c r="A491">
        <v>3869</v>
      </c>
      <c r="B491">
        <v>4</v>
      </c>
      <c r="C491">
        <v>4020629</v>
      </c>
      <c r="D491">
        <v>19190</v>
      </c>
      <c r="E491">
        <v>2</v>
      </c>
      <c r="F491">
        <v>670050</v>
      </c>
      <c r="G491" t="s">
        <v>86</v>
      </c>
      <c r="H491" t="s">
        <v>53</v>
      </c>
      <c r="I491">
        <v>0</v>
      </c>
      <c r="J491" s="1">
        <v>406769.97899999999</v>
      </c>
      <c r="K491" s="1">
        <v>281075.53700000001</v>
      </c>
      <c r="L491" s="1">
        <v>406792.67599999998</v>
      </c>
      <c r="M491" s="1">
        <v>281092.49</v>
      </c>
      <c r="N491" t="s">
        <v>40</v>
      </c>
      <c r="P491" t="s">
        <v>40</v>
      </c>
      <c r="Q491">
        <v>0</v>
      </c>
      <c r="R491">
        <v>0</v>
      </c>
      <c r="S491">
        <v>0</v>
      </c>
      <c r="T491">
        <v>6</v>
      </c>
      <c r="U491">
        <v>6</v>
      </c>
      <c r="V491">
        <v>1</v>
      </c>
      <c r="W491">
        <v>1</v>
      </c>
      <c r="X491" t="s">
        <v>40</v>
      </c>
      <c r="Y491">
        <v>3</v>
      </c>
      <c r="Z491">
        <v>92</v>
      </c>
      <c r="AA491">
        <v>1</v>
      </c>
      <c r="AB491">
        <v>0</v>
      </c>
      <c r="AC491">
        <v>35.136000000000003</v>
      </c>
      <c r="AD491">
        <v>5059</v>
      </c>
      <c r="AH491">
        <v>0</v>
      </c>
      <c r="AI491">
        <v>0</v>
      </c>
      <c r="AL491" t="s">
        <v>40</v>
      </c>
      <c r="AM491" t="str">
        <f t="shared" si="36"/>
        <v>92 1</v>
      </c>
      <c r="AN491" t="str">
        <f t="shared" si="37"/>
        <v>406769.979,281075.537</v>
      </c>
      <c r="AO491" t="str">
        <f t="shared" si="38"/>
        <v>406792.676,281092.49</v>
      </c>
      <c r="AQ491" t="s">
        <v>2356</v>
      </c>
      <c r="AR491" t="s">
        <v>2352</v>
      </c>
    </row>
    <row r="492" spans="1:44" x14ac:dyDescent="0.3">
      <c r="A492">
        <v>3869</v>
      </c>
      <c r="B492">
        <v>4</v>
      </c>
      <c r="C492">
        <v>4026397</v>
      </c>
      <c r="D492">
        <v>26090</v>
      </c>
      <c r="E492">
        <v>2</v>
      </c>
      <c r="F492">
        <v>670050</v>
      </c>
      <c r="G492" t="s">
        <v>86</v>
      </c>
      <c r="H492" t="s">
        <v>41</v>
      </c>
      <c r="I492">
        <v>0</v>
      </c>
      <c r="J492" s="1">
        <v>405681.09899999999</v>
      </c>
      <c r="K492" s="1">
        <v>281541.984</v>
      </c>
      <c r="L492" s="1">
        <v>405684.31900000002</v>
      </c>
      <c r="M492" s="1">
        <v>281526.06</v>
      </c>
      <c r="N492" t="s">
        <v>40</v>
      </c>
      <c r="P492" t="s">
        <v>40</v>
      </c>
      <c r="Q492">
        <v>0</v>
      </c>
      <c r="R492">
        <v>0</v>
      </c>
      <c r="S492">
        <v>0</v>
      </c>
      <c r="T492">
        <v>6</v>
      </c>
      <c r="U492">
        <v>6</v>
      </c>
      <c r="V492">
        <v>1</v>
      </c>
      <c r="W492">
        <v>1</v>
      </c>
      <c r="X492" t="s">
        <v>40</v>
      </c>
      <c r="Y492">
        <v>3</v>
      </c>
      <c r="Z492">
        <v>5030</v>
      </c>
      <c r="AA492">
        <v>1</v>
      </c>
      <c r="AB492">
        <v>0</v>
      </c>
      <c r="AC492">
        <v>18.21</v>
      </c>
      <c r="AD492">
        <v>5059</v>
      </c>
      <c r="AH492">
        <v>0</v>
      </c>
      <c r="AI492">
        <v>0</v>
      </c>
      <c r="AL492" t="s">
        <v>40</v>
      </c>
      <c r="AM492" t="str">
        <f t="shared" si="36"/>
        <v>5030 1</v>
      </c>
      <c r="AN492" t="str">
        <f t="shared" si="37"/>
        <v>405681.099,281541.984</v>
      </c>
      <c r="AO492" t="str">
        <f t="shared" si="38"/>
        <v>405684.319,281526.06</v>
      </c>
      <c r="AQ492" t="s">
        <v>742</v>
      </c>
      <c r="AR492" t="s">
        <v>2359</v>
      </c>
    </row>
    <row r="493" spans="1:44" x14ac:dyDescent="0.3">
      <c r="A493">
        <v>3869</v>
      </c>
      <c r="B493">
        <v>4</v>
      </c>
      <c r="C493">
        <v>4024712</v>
      </c>
      <c r="D493">
        <v>21384</v>
      </c>
      <c r="E493">
        <v>2</v>
      </c>
      <c r="F493">
        <v>670050</v>
      </c>
      <c r="G493" t="s">
        <v>86</v>
      </c>
      <c r="H493" t="s">
        <v>61</v>
      </c>
      <c r="I493">
        <v>0</v>
      </c>
      <c r="J493" s="1">
        <v>406902.11599999998</v>
      </c>
      <c r="K493" s="1">
        <v>280823.125</v>
      </c>
      <c r="L493" s="1">
        <v>406968.83799999999</v>
      </c>
      <c r="M493" s="1">
        <v>280614.14199999999</v>
      </c>
      <c r="N493" t="s">
        <v>40</v>
      </c>
      <c r="P493" t="s">
        <v>40</v>
      </c>
      <c r="Q493">
        <v>0</v>
      </c>
      <c r="R493">
        <v>0</v>
      </c>
      <c r="S493">
        <v>0</v>
      </c>
      <c r="T493">
        <v>6</v>
      </c>
      <c r="U493">
        <v>6</v>
      </c>
      <c r="V493">
        <v>1</v>
      </c>
      <c r="W493">
        <v>1</v>
      </c>
      <c r="X493" t="s">
        <v>40</v>
      </c>
      <c r="Y493">
        <v>3</v>
      </c>
      <c r="Z493">
        <v>93</v>
      </c>
      <c r="AA493">
        <v>1</v>
      </c>
      <c r="AB493">
        <v>0</v>
      </c>
      <c r="AC493">
        <v>1408.8389999999999</v>
      </c>
      <c r="AD493">
        <v>5059</v>
      </c>
      <c r="AH493">
        <v>0</v>
      </c>
      <c r="AI493">
        <v>0</v>
      </c>
      <c r="AL493" t="s">
        <v>40</v>
      </c>
      <c r="AM493" t="str">
        <f t="shared" ref="AM493:AM522" si="39">_xlfn.CONCAT(Z493, " ",AA493)</f>
        <v>93 1</v>
      </c>
      <c r="AN493" s="6" t="s">
        <v>383</v>
      </c>
      <c r="AO493" s="6" t="s">
        <v>1192</v>
      </c>
      <c r="AQ493" t="s">
        <v>744</v>
      </c>
      <c r="AR493" t="s">
        <v>2370</v>
      </c>
    </row>
    <row r="494" spans="1:44" x14ac:dyDescent="0.3">
      <c r="A494">
        <v>3869</v>
      </c>
      <c r="B494">
        <v>4</v>
      </c>
      <c r="C494">
        <v>4026375</v>
      </c>
      <c r="D494">
        <v>26091</v>
      </c>
      <c r="E494">
        <v>2</v>
      </c>
      <c r="F494">
        <v>670050</v>
      </c>
      <c r="G494" t="s">
        <v>86</v>
      </c>
      <c r="H494" t="s">
        <v>41</v>
      </c>
      <c r="I494">
        <v>0</v>
      </c>
      <c r="J494" s="1">
        <v>405681.42</v>
      </c>
      <c r="K494" s="1">
        <v>281524.60800000001</v>
      </c>
      <c r="L494" s="1">
        <v>405680.70899999997</v>
      </c>
      <c r="M494" s="1">
        <v>281542.07199999999</v>
      </c>
      <c r="N494" t="s">
        <v>40</v>
      </c>
      <c r="P494" t="s">
        <v>40</v>
      </c>
      <c r="Q494">
        <v>0</v>
      </c>
      <c r="R494">
        <v>0</v>
      </c>
      <c r="S494">
        <v>0</v>
      </c>
      <c r="T494">
        <v>6</v>
      </c>
      <c r="U494">
        <v>6</v>
      </c>
      <c r="V494">
        <v>1</v>
      </c>
      <c r="W494">
        <v>1</v>
      </c>
      <c r="X494" t="s">
        <v>40</v>
      </c>
      <c r="Y494">
        <v>3</v>
      </c>
      <c r="Z494">
        <v>5030</v>
      </c>
      <c r="AA494">
        <v>1</v>
      </c>
      <c r="AB494">
        <v>0</v>
      </c>
      <c r="AC494">
        <v>21.300999999999998</v>
      </c>
      <c r="AD494">
        <v>5059</v>
      </c>
      <c r="AH494">
        <v>0</v>
      </c>
      <c r="AI494">
        <v>0</v>
      </c>
      <c r="AL494" t="s">
        <v>40</v>
      </c>
      <c r="AM494" t="str">
        <f t="shared" si="39"/>
        <v>5030 1</v>
      </c>
      <c r="AN494" t="str">
        <f t="shared" ref="AN494:AN521" si="40">ROUND(J494,3)&amp;","&amp;ROUND(K494,3)</f>
        <v>405681.42,281524.608</v>
      </c>
      <c r="AO494" t="str">
        <f t="shared" ref="AO494:AO521" si="41">ROUND(L494,3)&amp;","&amp;ROUND(M494,3)</f>
        <v>405680.709,281542.072</v>
      </c>
      <c r="AQ494" t="s">
        <v>2371</v>
      </c>
      <c r="AR494" t="s">
        <v>741</v>
      </c>
    </row>
    <row r="495" spans="1:44" x14ac:dyDescent="0.3">
      <c r="A495">
        <v>3869</v>
      </c>
      <c r="B495">
        <v>4</v>
      </c>
      <c r="C495">
        <v>4026368</v>
      </c>
      <c r="D495">
        <v>26405</v>
      </c>
      <c r="E495">
        <v>2</v>
      </c>
      <c r="F495">
        <v>670050</v>
      </c>
      <c r="G495" t="s">
        <v>86</v>
      </c>
      <c r="H495" t="s">
        <v>41</v>
      </c>
      <c r="I495">
        <v>0</v>
      </c>
      <c r="J495" s="1">
        <v>405586.82500000001</v>
      </c>
      <c r="K495" s="1">
        <v>281522.09899999999</v>
      </c>
      <c r="L495" s="1">
        <v>405681.42</v>
      </c>
      <c r="M495" s="1">
        <v>281524.60800000001</v>
      </c>
      <c r="N495" t="s">
        <v>40</v>
      </c>
      <c r="P495" t="s">
        <v>40</v>
      </c>
      <c r="Q495">
        <v>0</v>
      </c>
      <c r="R495">
        <v>0</v>
      </c>
      <c r="S495">
        <v>0</v>
      </c>
      <c r="T495">
        <v>6</v>
      </c>
      <c r="U495">
        <v>6</v>
      </c>
      <c r="V495">
        <v>1</v>
      </c>
      <c r="W495">
        <v>1</v>
      </c>
      <c r="X495" t="s">
        <v>40</v>
      </c>
      <c r="Y495">
        <v>3</v>
      </c>
      <c r="Z495">
        <v>93</v>
      </c>
      <c r="AA495">
        <v>1</v>
      </c>
      <c r="AB495">
        <v>0</v>
      </c>
      <c r="AC495">
        <v>322.52200000000005</v>
      </c>
      <c r="AD495">
        <v>5059</v>
      </c>
      <c r="AH495">
        <v>0</v>
      </c>
      <c r="AI495">
        <v>0</v>
      </c>
      <c r="AL495" t="s">
        <v>40</v>
      </c>
      <c r="AM495" t="str">
        <f t="shared" si="39"/>
        <v>93 1</v>
      </c>
      <c r="AN495" s="6" t="s">
        <v>1189</v>
      </c>
      <c r="AO495" s="6" t="s">
        <v>1194</v>
      </c>
      <c r="AQ495" t="s">
        <v>2366</v>
      </c>
      <c r="AR495" t="s">
        <v>2371</v>
      </c>
    </row>
    <row r="496" spans="1:44" x14ac:dyDescent="0.3">
      <c r="A496">
        <v>3869</v>
      </c>
      <c r="B496">
        <v>4</v>
      </c>
      <c r="C496">
        <v>4020542</v>
      </c>
      <c r="D496">
        <v>38134</v>
      </c>
      <c r="E496">
        <v>2</v>
      </c>
      <c r="F496">
        <v>670050</v>
      </c>
      <c r="G496" t="s">
        <v>86</v>
      </c>
      <c r="H496" t="s">
        <v>53</v>
      </c>
      <c r="I496">
        <v>0</v>
      </c>
      <c r="J496" s="1">
        <v>406303.853</v>
      </c>
      <c r="K496" s="1">
        <v>281346.09899999999</v>
      </c>
      <c r="L496" s="1">
        <v>406332.52</v>
      </c>
      <c r="M496" s="1">
        <v>281348.31099999999</v>
      </c>
      <c r="N496" t="s">
        <v>40</v>
      </c>
      <c r="P496" t="s">
        <v>40</v>
      </c>
      <c r="Q496">
        <v>0</v>
      </c>
      <c r="R496">
        <v>0</v>
      </c>
      <c r="S496">
        <v>0</v>
      </c>
      <c r="T496">
        <v>6</v>
      </c>
      <c r="U496">
        <v>6</v>
      </c>
      <c r="V496">
        <v>1</v>
      </c>
      <c r="W496">
        <v>1</v>
      </c>
      <c r="X496" t="s">
        <v>40</v>
      </c>
      <c r="Y496">
        <v>3</v>
      </c>
      <c r="Z496">
        <v>92</v>
      </c>
      <c r="AA496">
        <v>1</v>
      </c>
      <c r="AB496">
        <v>0</v>
      </c>
      <c r="AC496">
        <v>39.320999999999998</v>
      </c>
      <c r="AD496">
        <v>5059</v>
      </c>
      <c r="AH496">
        <v>0</v>
      </c>
      <c r="AI496">
        <v>0</v>
      </c>
      <c r="AL496" t="s">
        <v>40</v>
      </c>
      <c r="AM496" t="str">
        <f t="shared" si="39"/>
        <v>92 1</v>
      </c>
      <c r="AN496" t="str">
        <f t="shared" si="40"/>
        <v>406303.853,281346.099</v>
      </c>
      <c r="AO496" t="str">
        <f t="shared" si="41"/>
        <v>406332.52,281348.311</v>
      </c>
      <c r="AQ496" t="s">
        <v>2357</v>
      </c>
      <c r="AR496" t="s">
        <v>741</v>
      </c>
    </row>
    <row r="497" spans="1:44" x14ac:dyDescent="0.3">
      <c r="A497">
        <v>3869</v>
      </c>
      <c r="B497">
        <v>4</v>
      </c>
      <c r="C497">
        <v>4026296</v>
      </c>
      <c r="D497">
        <v>22563</v>
      </c>
      <c r="E497">
        <v>2</v>
      </c>
      <c r="F497">
        <v>670050</v>
      </c>
      <c r="G497" t="s">
        <v>86</v>
      </c>
      <c r="H497" t="s">
        <v>41</v>
      </c>
      <c r="I497">
        <v>0</v>
      </c>
      <c r="J497" s="1">
        <v>405141.45699999999</v>
      </c>
      <c r="K497" s="1">
        <v>281019.58100000001</v>
      </c>
      <c r="L497" s="1">
        <v>405140.63400000002</v>
      </c>
      <c r="M497" s="1">
        <v>281019.45</v>
      </c>
      <c r="N497" t="s">
        <v>40</v>
      </c>
      <c r="P497" t="s">
        <v>40</v>
      </c>
      <c r="Q497">
        <v>0</v>
      </c>
      <c r="R497">
        <v>0</v>
      </c>
      <c r="S497">
        <v>0</v>
      </c>
      <c r="T497">
        <v>6</v>
      </c>
      <c r="U497">
        <v>6</v>
      </c>
      <c r="V497">
        <v>1</v>
      </c>
      <c r="W497">
        <v>1</v>
      </c>
      <c r="X497" t="s">
        <v>40</v>
      </c>
      <c r="Y497">
        <v>3</v>
      </c>
      <c r="Z497">
        <v>38</v>
      </c>
      <c r="AA497">
        <v>99</v>
      </c>
      <c r="AB497">
        <v>0</v>
      </c>
      <c r="AC497">
        <v>0.83299999999999996</v>
      </c>
      <c r="AD497">
        <v>5059</v>
      </c>
      <c r="AH497">
        <v>0</v>
      </c>
      <c r="AI497">
        <v>0</v>
      </c>
      <c r="AL497" t="s">
        <v>40</v>
      </c>
      <c r="AM497" t="str">
        <f t="shared" si="39"/>
        <v>38 99</v>
      </c>
      <c r="AN497" t="str">
        <f t="shared" si="40"/>
        <v>405141.457,281019.581</v>
      </c>
      <c r="AO497" t="str">
        <f t="shared" si="41"/>
        <v>405140.634,281019.45</v>
      </c>
      <c r="AQ497" t="s">
        <v>2362</v>
      </c>
      <c r="AR497" t="s">
        <v>2372</v>
      </c>
    </row>
    <row r="498" spans="1:44" x14ac:dyDescent="0.3">
      <c r="A498">
        <v>3869</v>
      </c>
      <c r="B498">
        <v>4</v>
      </c>
      <c r="C498">
        <v>4020524</v>
      </c>
      <c r="D498">
        <v>38133</v>
      </c>
      <c r="E498">
        <v>2</v>
      </c>
      <c r="F498">
        <v>670050</v>
      </c>
      <c r="G498" t="s">
        <v>86</v>
      </c>
      <c r="H498" t="s">
        <v>53</v>
      </c>
      <c r="I498">
        <v>0</v>
      </c>
      <c r="J498" s="1">
        <v>406303.10499999998</v>
      </c>
      <c r="K498" s="1">
        <v>281350.54300000001</v>
      </c>
      <c r="L498" s="1">
        <v>406332.56800000003</v>
      </c>
      <c r="M498" s="1">
        <v>281348.79700000002</v>
      </c>
      <c r="N498" t="s">
        <v>40</v>
      </c>
      <c r="P498" t="s">
        <v>40</v>
      </c>
      <c r="Q498">
        <v>0</v>
      </c>
      <c r="R498">
        <v>0</v>
      </c>
      <c r="S498">
        <v>0</v>
      </c>
      <c r="T498">
        <v>6</v>
      </c>
      <c r="U498">
        <v>6</v>
      </c>
      <c r="V498">
        <v>1</v>
      </c>
      <c r="W498">
        <v>1</v>
      </c>
      <c r="X498" t="s">
        <v>40</v>
      </c>
      <c r="Y498">
        <v>3</v>
      </c>
      <c r="Z498">
        <v>92</v>
      </c>
      <c r="AA498">
        <v>1</v>
      </c>
      <c r="AB498">
        <v>0</v>
      </c>
      <c r="AC498">
        <v>33.662999999999997</v>
      </c>
      <c r="AD498">
        <v>5059</v>
      </c>
      <c r="AH498">
        <v>0</v>
      </c>
      <c r="AI498">
        <v>0</v>
      </c>
      <c r="AL498" t="s">
        <v>40</v>
      </c>
      <c r="AM498" t="str">
        <f t="shared" si="39"/>
        <v>92 1</v>
      </c>
      <c r="AN498" t="str">
        <f t="shared" si="40"/>
        <v>406303.105,281350.543</v>
      </c>
      <c r="AO498" t="str">
        <f t="shared" si="41"/>
        <v>406332.568,281348.797</v>
      </c>
      <c r="AQ498" t="s">
        <v>2369</v>
      </c>
      <c r="AR498" t="s">
        <v>740</v>
      </c>
    </row>
    <row r="499" spans="1:44" x14ac:dyDescent="0.3">
      <c r="A499">
        <v>3869</v>
      </c>
      <c r="B499">
        <v>4</v>
      </c>
      <c r="C499">
        <v>4019367</v>
      </c>
      <c r="D499">
        <v>53019</v>
      </c>
      <c r="E499">
        <v>2</v>
      </c>
      <c r="F499">
        <v>670050</v>
      </c>
      <c r="G499" t="s">
        <v>88</v>
      </c>
      <c r="H499" t="s">
        <v>87</v>
      </c>
      <c r="I499">
        <v>0</v>
      </c>
      <c r="J499" s="1">
        <v>407489.91700000002</v>
      </c>
      <c r="K499" s="1">
        <v>280311.27600000001</v>
      </c>
      <c r="L499" s="1">
        <v>407494.48300000001</v>
      </c>
      <c r="M499" s="1">
        <v>280312.45199999999</v>
      </c>
      <c r="N499" t="s">
        <v>40</v>
      </c>
      <c r="P499" t="s">
        <v>40</v>
      </c>
      <c r="Q499">
        <v>0</v>
      </c>
      <c r="R499">
        <v>0</v>
      </c>
      <c r="S499">
        <v>0</v>
      </c>
      <c r="T499">
        <v>6</v>
      </c>
      <c r="U499">
        <v>6</v>
      </c>
      <c r="V499">
        <v>1</v>
      </c>
      <c r="W499">
        <v>2</v>
      </c>
      <c r="X499" t="s">
        <v>40</v>
      </c>
      <c r="Y499">
        <v>3</v>
      </c>
      <c r="Z499">
        <v>52</v>
      </c>
      <c r="AA499">
        <v>1</v>
      </c>
      <c r="AB499">
        <v>0</v>
      </c>
      <c r="AC499">
        <v>125.146</v>
      </c>
      <c r="AD499">
        <v>5059</v>
      </c>
      <c r="AH499">
        <v>0</v>
      </c>
      <c r="AI499">
        <v>0</v>
      </c>
      <c r="AL499" t="s">
        <v>40</v>
      </c>
      <c r="AM499" t="str">
        <f t="shared" si="39"/>
        <v>52 1</v>
      </c>
      <c r="AN499" s="6" t="s">
        <v>1204</v>
      </c>
      <c r="AO499" s="6" t="s">
        <v>404</v>
      </c>
      <c r="AQ499" t="s">
        <v>2373</v>
      </c>
      <c r="AR499" t="s">
        <v>750</v>
      </c>
    </row>
    <row r="500" spans="1:44" x14ac:dyDescent="0.3">
      <c r="A500">
        <v>3869</v>
      </c>
      <c r="B500">
        <v>4</v>
      </c>
      <c r="C500">
        <v>4021018</v>
      </c>
      <c r="D500">
        <v>18971</v>
      </c>
      <c r="E500">
        <v>2</v>
      </c>
      <c r="F500">
        <v>670050</v>
      </c>
      <c r="G500" t="s">
        <v>88</v>
      </c>
      <c r="H500" t="s">
        <v>89</v>
      </c>
      <c r="I500">
        <v>0</v>
      </c>
      <c r="J500" s="1">
        <v>408000</v>
      </c>
      <c r="K500" s="1">
        <v>282524.05</v>
      </c>
      <c r="L500" s="1">
        <v>408026.929</v>
      </c>
      <c r="M500" s="1">
        <v>282533.76500000001</v>
      </c>
      <c r="N500" t="s">
        <v>40</v>
      </c>
      <c r="P500" t="s">
        <v>40</v>
      </c>
      <c r="Q500">
        <v>0</v>
      </c>
      <c r="R500">
        <v>0</v>
      </c>
      <c r="S500">
        <v>0</v>
      </c>
      <c r="T500">
        <v>6</v>
      </c>
      <c r="U500">
        <v>6</v>
      </c>
      <c r="V500">
        <v>1</v>
      </c>
      <c r="W500">
        <v>1</v>
      </c>
      <c r="X500" t="s">
        <v>40</v>
      </c>
      <c r="Y500">
        <v>3</v>
      </c>
      <c r="Z500">
        <v>90</v>
      </c>
      <c r="AA500">
        <v>1</v>
      </c>
      <c r="AB500">
        <v>0</v>
      </c>
      <c r="AC500">
        <v>553.14499999999998</v>
      </c>
      <c r="AD500">
        <v>5059</v>
      </c>
      <c r="AH500">
        <v>0</v>
      </c>
      <c r="AI500">
        <v>0</v>
      </c>
      <c r="AL500" t="s">
        <v>40</v>
      </c>
      <c r="AM500" t="str">
        <f t="shared" si="39"/>
        <v>90 1</v>
      </c>
      <c r="AN500" s="6" t="s">
        <v>1210</v>
      </c>
      <c r="AO500" s="6" t="s">
        <v>398</v>
      </c>
      <c r="AQ500" t="s">
        <v>2374</v>
      </c>
      <c r="AR500" t="s">
        <v>748</v>
      </c>
    </row>
    <row r="501" spans="1:44" x14ac:dyDescent="0.3">
      <c r="A501">
        <v>3869</v>
      </c>
      <c r="B501">
        <v>4</v>
      </c>
      <c r="C501">
        <v>4027676</v>
      </c>
      <c r="D501">
        <v>62961</v>
      </c>
      <c r="E501">
        <v>2</v>
      </c>
      <c r="F501">
        <v>670050</v>
      </c>
      <c r="G501" t="s">
        <v>88</v>
      </c>
      <c r="H501" t="s">
        <v>51</v>
      </c>
      <c r="I501">
        <v>0</v>
      </c>
      <c r="J501" s="1">
        <v>407431.37400000001</v>
      </c>
      <c r="K501" s="1">
        <v>281748.03200000001</v>
      </c>
      <c r="L501" s="1">
        <v>407431.071</v>
      </c>
      <c r="M501" s="1">
        <v>281716.24699999997</v>
      </c>
      <c r="N501" t="s">
        <v>40</v>
      </c>
      <c r="P501" t="s">
        <v>40</v>
      </c>
      <c r="Q501">
        <v>0</v>
      </c>
      <c r="R501">
        <v>0</v>
      </c>
      <c r="S501">
        <v>0</v>
      </c>
      <c r="T501">
        <v>6</v>
      </c>
      <c r="U501">
        <v>6</v>
      </c>
      <c r="V501">
        <v>1</v>
      </c>
      <c r="W501">
        <v>2</v>
      </c>
      <c r="X501" t="s">
        <v>40</v>
      </c>
      <c r="Y501">
        <v>3</v>
      </c>
      <c r="Z501">
        <v>95</v>
      </c>
      <c r="AA501">
        <v>99</v>
      </c>
      <c r="AB501">
        <v>0</v>
      </c>
      <c r="AC501">
        <v>32.728000000000002</v>
      </c>
      <c r="AD501">
        <v>5059</v>
      </c>
      <c r="AH501">
        <v>0</v>
      </c>
      <c r="AI501">
        <v>0</v>
      </c>
      <c r="AL501" t="s">
        <v>40</v>
      </c>
      <c r="AM501" t="str">
        <f t="shared" si="39"/>
        <v>95 99</v>
      </c>
      <c r="AN501" t="str">
        <f t="shared" si="40"/>
        <v>407431.374,281748.032</v>
      </c>
      <c r="AO501" t="str">
        <f t="shared" si="41"/>
        <v>407431.071,281716.247</v>
      </c>
      <c r="AQ501" t="s">
        <v>2375</v>
      </c>
      <c r="AR501" t="s">
        <v>758</v>
      </c>
    </row>
    <row r="502" spans="1:44" x14ac:dyDescent="0.3">
      <c r="A502">
        <v>3869</v>
      </c>
      <c r="B502">
        <v>4</v>
      </c>
      <c r="C502">
        <v>4027681</v>
      </c>
      <c r="D502">
        <v>24331</v>
      </c>
      <c r="E502">
        <v>2</v>
      </c>
      <c r="F502">
        <v>670050</v>
      </c>
      <c r="G502" t="s">
        <v>88</v>
      </c>
      <c r="H502" t="s">
        <v>51</v>
      </c>
      <c r="I502">
        <v>0</v>
      </c>
      <c r="J502" s="1">
        <v>407430.91499999998</v>
      </c>
      <c r="K502" s="1">
        <v>281701.11700000003</v>
      </c>
      <c r="L502" s="1">
        <v>407431.33</v>
      </c>
      <c r="M502" s="1">
        <v>281747.43300000002</v>
      </c>
      <c r="N502" t="s">
        <v>40</v>
      </c>
      <c r="P502" t="s">
        <v>40</v>
      </c>
      <c r="Q502">
        <v>0</v>
      </c>
      <c r="R502">
        <v>0</v>
      </c>
      <c r="S502">
        <v>0</v>
      </c>
      <c r="T502">
        <v>6</v>
      </c>
      <c r="U502">
        <v>6</v>
      </c>
      <c r="V502">
        <v>1</v>
      </c>
      <c r="W502">
        <v>3</v>
      </c>
      <c r="X502" t="s">
        <v>40</v>
      </c>
      <c r="Y502">
        <v>3</v>
      </c>
      <c r="Z502">
        <v>86</v>
      </c>
      <c r="AA502">
        <v>1</v>
      </c>
      <c r="AB502">
        <v>0</v>
      </c>
      <c r="AC502">
        <v>58.84</v>
      </c>
      <c r="AD502">
        <v>5059</v>
      </c>
      <c r="AH502">
        <v>0</v>
      </c>
      <c r="AI502">
        <v>0</v>
      </c>
      <c r="AL502" t="s">
        <v>40</v>
      </c>
      <c r="AM502" t="str">
        <f t="shared" si="39"/>
        <v>86 1</v>
      </c>
      <c r="AN502" t="str">
        <f t="shared" si="40"/>
        <v>407430.915,281701.117</v>
      </c>
      <c r="AO502" t="str">
        <f t="shared" si="41"/>
        <v>407431.33,281747.433</v>
      </c>
      <c r="AQ502" t="s">
        <v>758</v>
      </c>
      <c r="AR502" t="s">
        <v>2376</v>
      </c>
    </row>
    <row r="503" spans="1:44" x14ac:dyDescent="0.3">
      <c r="A503">
        <v>3869</v>
      </c>
      <c r="B503">
        <v>4</v>
      </c>
      <c r="C503">
        <v>4027682</v>
      </c>
      <c r="D503">
        <v>24394</v>
      </c>
      <c r="E503">
        <v>2</v>
      </c>
      <c r="F503">
        <v>670050</v>
      </c>
      <c r="G503" t="s">
        <v>88</v>
      </c>
      <c r="H503" t="s">
        <v>51</v>
      </c>
      <c r="I503">
        <v>0</v>
      </c>
      <c r="J503" s="1">
        <v>407431.33</v>
      </c>
      <c r="K503" s="1">
        <v>281747.43300000002</v>
      </c>
      <c r="L503" s="1">
        <v>407424.28</v>
      </c>
      <c r="M503" s="1">
        <v>281748.527</v>
      </c>
      <c r="N503" t="s">
        <v>40</v>
      </c>
      <c r="P503" t="s">
        <v>40</v>
      </c>
      <c r="Q503">
        <v>0</v>
      </c>
      <c r="R503">
        <v>0</v>
      </c>
      <c r="S503">
        <v>201103</v>
      </c>
      <c r="T503">
        <v>6</v>
      </c>
      <c r="U503">
        <v>6</v>
      </c>
      <c r="V503">
        <v>1</v>
      </c>
      <c r="W503">
        <v>3</v>
      </c>
      <c r="X503" t="s">
        <v>40</v>
      </c>
      <c r="Y503">
        <v>3</v>
      </c>
      <c r="Z503">
        <v>5023</v>
      </c>
      <c r="AA503">
        <v>1</v>
      </c>
      <c r="AB503">
        <v>0</v>
      </c>
      <c r="AC503">
        <v>7.2290000000000001</v>
      </c>
      <c r="AD503">
        <v>5059</v>
      </c>
      <c r="AE503" t="s">
        <v>90</v>
      </c>
      <c r="AH503">
        <v>0</v>
      </c>
      <c r="AI503">
        <v>0</v>
      </c>
      <c r="AL503" t="s">
        <v>40</v>
      </c>
      <c r="AM503" t="str">
        <f t="shared" si="39"/>
        <v>5023 1</v>
      </c>
      <c r="AN503" t="str">
        <f t="shared" si="40"/>
        <v>407431.33,281747.433</v>
      </c>
      <c r="AO503" t="str">
        <f t="shared" si="41"/>
        <v>407424.28,281748.527</v>
      </c>
      <c r="AQ503" t="s">
        <v>2376</v>
      </c>
      <c r="AR503" t="s">
        <v>2377</v>
      </c>
    </row>
    <row r="504" spans="1:44" x14ac:dyDescent="0.3">
      <c r="A504">
        <v>3869</v>
      </c>
      <c r="B504">
        <v>4</v>
      </c>
      <c r="C504">
        <v>4027683</v>
      </c>
      <c r="D504">
        <v>24395</v>
      </c>
      <c r="E504">
        <v>2</v>
      </c>
      <c r="F504">
        <v>670050</v>
      </c>
      <c r="G504" t="s">
        <v>88</v>
      </c>
      <c r="H504" t="s">
        <v>51</v>
      </c>
      <c r="I504">
        <v>0</v>
      </c>
      <c r="J504" s="1">
        <v>407431.37400000001</v>
      </c>
      <c r="K504" s="1">
        <v>281748.03200000001</v>
      </c>
      <c r="L504" s="1">
        <v>407424.28</v>
      </c>
      <c r="M504" s="1">
        <v>281748.527</v>
      </c>
      <c r="N504" t="s">
        <v>40</v>
      </c>
      <c r="P504" t="s">
        <v>40</v>
      </c>
      <c r="Q504">
        <v>0</v>
      </c>
      <c r="R504">
        <v>0</v>
      </c>
      <c r="S504">
        <v>201103</v>
      </c>
      <c r="T504">
        <v>6</v>
      </c>
      <c r="U504">
        <v>6</v>
      </c>
      <c r="V504">
        <v>1</v>
      </c>
      <c r="W504">
        <v>2</v>
      </c>
      <c r="X504" t="s">
        <v>40</v>
      </c>
      <c r="Y504">
        <v>3</v>
      </c>
      <c r="Z504">
        <v>5028</v>
      </c>
      <c r="AA504">
        <v>1</v>
      </c>
      <c r="AB504">
        <v>0</v>
      </c>
      <c r="AC504">
        <v>7.1109999999999998</v>
      </c>
      <c r="AD504">
        <v>5059</v>
      </c>
      <c r="AE504" t="s">
        <v>90</v>
      </c>
      <c r="AH504">
        <v>0</v>
      </c>
      <c r="AI504">
        <v>0</v>
      </c>
      <c r="AL504" t="s">
        <v>40</v>
      </c>
      <c r="AM504" t="str">
        <f t="shared" si="39"/>
        <v>5028 1</v>
      </c>
      <c r="AN504" t="str">
        <f t="shared" si="40"/>
        <v>407431.374,281748.032</v>
      </c>
      <c r="AO504" t="str">
        <f t="shared" si="41"/>
        <v>407424.28,281748.527</v>
      </c>
      <c r="AQ504" t="s">
        <v>2375</v>
      </c>
      <c r="AR504" t="s">
        <v>2377</v>
      </c>
    </row>
    <row r="505" spans="1:44" x14ac:dyDescent="0.3">
      <c r="A505">
        <v>3869</v>
      </c>
      <c r="B505">
        <v>4</v>
      </c>
      <c r="C505">
        <v>4027698</v>
      </c>
      <c r="D505">
        <v>62979</v>
      </c>
      <c r="E505">
        <v>2</v>
      </c>
      <c r="F505">
        <v>670050</v>
      </c>
      <c r="G505" t="s">
        <v>88</v>
      </c>
      <c r="H505" t="s">
        <v>51</v>
      </c>
      <c r="I505">
        <v>0</v>
      </c>
      <c r="J505" s="1">
        <v>407560.25</v>
      </c>
      <c r="K505" s="1">
        <v>281885.38299999997</v>
      </c>
      <c r="L505" s="1">
        <v>407559.652</v>
      </c>
      <c r="M505" s="1">
        <v>281887.09899999999</v>
      </c>
      <c r="N505" t="s">
        <v>40</v>
      </c>
      <c r="P505" t="s">
        <v>40</v>
      </c>
      <c r="Q505">
        <v>0</v>
      </c>
      <c r="R505">
        <v>0</v>
      </c>
      <c r="S505">
        <v>0</v>
      </c>
      <c r="T505">
        <v>6</v>
      </c>
      <c r="U505">
        <v>6</v>
      </c>
      <c r="V505">
        <v>1</v>
      </c>
      <c r="W505">
        <v>1</v>
      </c>
      <c r="X505" t="s">
        <v>40</v>
      </c>
      <c r="Y505">
        <v>3</v>
      </c>
      <c r="Z505">
        <v>38</v>
      </c>
      <c r="AA505">
        <v>1</v>
      </c>
      <c r="AB505">
        <v>0</v>
      </c>
      <c r="AC505">
        <v>2.0059999999999998</v>
      </c>
      <c r="AD505">
        <v>5059</v>
      </c>
      <c r="AH505">
        <v>0</v>
      </c>
      <c r="AI505">
        <v>0</v>
      </c>
      <c r="AL505" t="s">
        <v>40</v>
      </c>
      <c r="AM505" t="str">
        <f t="shared" si="39"/>
        <v>38 1</v>
      </c>
      <c r="AN505" t="str">
        <f t="shared" si="40"/>
        <v>407560.25,281885.383</v>
      </c>
      <c r="AO505" t="str">
        <f t="shared" si="41"/>
        <v>407559.652,281887.099</v>
      </c>
      <c r="AQ505" t="s">
        <v>2378</v>
      </c>
      <c r="AR505" t="s">
        <v>747</v>
      </c>
    </row>
    <row r="506" spans="1:44" x14ac:dyDescent="0.3">
      <c r="A506">
        <v>3869</v>
      </c>
      <c r="B506">
        <v>4</v>
      </c>
      <c r="C506">
        <v>4019303</v>
      </c>
      <c r="D506">
        <v>18549</v>
      </c>
      <c r="E506">
        <v>2</v>
      </c>
      <c r="F506">
        <v>670050</v>
      </c>
      <c r="G506" t="s">
        <v>88</v>
      </c>
      <c r="H506" t="s">
        <v>87</v>
      </c>
      <c r="I506">
        <v>0</v>
      </c>
      <c r="J506" s="1">
        <v>407409.94300000003</v>
      </c>
      <c r="K506" s="1">
        <v>280709.20799999998</v>
      </c>
      <c r="L506" s="1">
        <v>407404.55900000001</v>
      </c>
      <c r="M506" s="1">
        <v>280826.90299999999</v>
      </c>
      <c r="N506" t="s">
        <v>40</v>
      </c>
      <c r="P506" t="s">
        <v>40</v>
      </c>
      <c r="Q506">
        <v>0</v>
      </c>
      <c r="R506">
        <v>0</v>
      </c>
      <c r="S506">
        <v>0</v>
      </c>
      <c r="T506">
        <v>6</v>
      </c>
      <c r="U506">
        <v>6</v>
      </c>
      <c r="V506">
        <v>1</v>
      </c>
      <c r="W506">
        <v>2</v>
      </c>
      <c r="X506" t="s">
        <v>40</v>
      </c>
      <c r="Y506">
        <v>3</v>
      </c>
      <c r="Z506">
        <v>93</v>
      </c>
      <c r="AA506">
        <v>1</v>
      </c>
      <c r="AB506">
        <v>0</v>
      </c>
      <c r="AC506">
        <v>718.33</v>
      </c>
      <c r="AD506">
        <v>5059</v>
      </c>
      <c r="AH506">
        <v>0</v>
      </c>
      <c r="AI506">
        <v>0</v>
      </c>
      <c r="AL506" t="s">
        <v>40</v>
      </c>
      <c r="AM506" t="str">
        <f t="shared" si="39"/>
        <v>93 1</v>
      </c>
      <c r="AN506" s="6" t="s">
        <v>1204</v>
      </c>
      <c r="AO506" s="6" t="s">
        <v>400</v>
      </c>
      <c r="AQ506" t="s">
        <v>2373</v>
      </c>
      <c r="AR506" t="s">
        <v>749</v>
      </c>
    </row>
    <row r="507" spans="1:44" x14ac:dyDescent="0.3">
      <c r="A507">
        <v>3869</v>
      </c>
      <c r="B507">
        <v>4</v>
      </c>
      <c r="C507">
        <v>4019325</v>
      </c>
      <c r="D507">
        <v>53007</v>
      </c>
      <c r="E507">
        <v>2</v>
      </c>
      <c r="F507">
        <v>670050</v>
      </c>
      <c r="G507" t="s">
        <v>88</v>
      </c>
      <c r="H507" t="s">
        <v>87</v>
      </c>
      <c r="I507">
        <v>0</v>
      </c>
      <c r="J507" s="1">
        <v>407411.99800000002</v>
      </c>
      <c r="K507" s="1">
        <v>280673.35399999999</v>
      </c>
      <c r="L507" s="1">
        <v>407502.95</v>
      </c>
      <c r="M507" s="1">
        <v>280665.538</v>
      </c>
      <c r="N507" t="s">
        <v>40</v>
      </c>
      <c r="P507" t="s">
        <v>40</v>
      </c>
      <c r="Q507">
        <v>0</v>
      </c>
      <c r="R507">
        <v>0</v>
      </c>
      <c r="S507">
        <v>0</v>
      </c>
      <c r="T507">
        <v>6</v>
      </c>
      <c r="U507">
        <v>6</v>
      </c>
      <c r="V507">
        <v>1</v>
      </c>
      <c r="W507">
        <v>3</v>
      </c>
      <c r="X507" t="s">
        <v>40</v>
      </c>
      <c r="Y507">
        <v>3</v>
      </c>
      <c r="Z507">
        <v>38</v>
      </c>
      <c r="AA507">
        <v>1</v>
      </c>
      <c r="AB507">
        <v>0</v>
      </c>
      <c r="AC507">
        <v>102.89100000000001</v>
      </c>
      <c r="AD507">
        <v>5059</v>
      </c>
      <c r="AH507">
        <v>0</v>
      </c>
      <c r="AI507">
        <v>0</v>
      </c>
      <c r="AL507" t="s">
        <v>40</v>
      </c>
      <c r="AM507" t="str">
        <f t="shared" si="39"/>
        <v>38 1</v>
      </c>
      <c r="AN507" t="str">
        <f t="shared" si="40"/>
        <v>407411.998,280673.354</v>
      </c>
      <c r="AO507" t="str">
        <f t="shared" si="41"/>
        <v>407502.95,280665.538</v>
      </c>
      <c r="AQ507" t="s">
        <v>2379</v>
      </c>
      <c r="AR507" t="s">
        <v>747</v>
      </c>
    </row>
    <row r="508" spans="1:44" x14ac:dyDescent="0.3">
      <c r="A508">
        <v>3869</v>
      </c>
      <c r="B508">
        <v>4</v>
      </c>
      <c r="C508">
        <v>4021095</v>
      </c>
      <c r="D508">
        <v>19686</v>
      </c>
      <c r="E508">
        <v>2</v>
      </c>
      <c r="F508">
        <v>670050</v>
      </c>
      <c r="G508" t="s">
        <v>88</v>
      </c>
      <c r="H508" t="s">
        <v>89</v>
      </c>
      <c r="I508">
        <v>0</v>
      </c>
      <c r="J508" s="1">
        <v>408027.47700000001</v>
      </c>
      <c r="K508" s="1">
        <v>282794.27399999998</v>
      </c>
      <c r="L508" s="1">
        <v>408093.62</v>
      </c>
      <c r="M508" s="1">
        <v>282844.59700000001</v>
      </c>
      <c r="N508" t="s">
        <v>40</v>
      </c>
      <c r="P508" t="s">
        <v>40</v>
      </c>
      <c r="Q508">
        <v>0</v>
      </c>
      <c r="R508">
        <v>0</v>
      </c>
      <c r="S508">
        <v>200901</v>
      </c>
      <c r="T508">
        <v>6</v>
      </c>
      <c r="U508">
        <v>6</v>
      </c>
      <c r="V508">
        <v>1</v>
      </c>
      <c r="W508">
        <v>1</v>
      </c>
      <c r="X508" t="s">
        <v>40</v>
      </c>
      <c r="Y508">
        <v>3</v>
      </c>
      <c r="Z508">
        <v>5023</v>
      </c>
      <c r="AA508">
        <v>1</v>
      </c>
      <c r="AB508">
        <v>0</v>
      </c>
      <c r="AC508">
        <v>163.53199999999998</v>
      </c>
      <c r="AD508">
        <v>5059</v>
      </c>
      <c r="AH508">
        <v>0</v>
      </c>
      <c r="AI508">
        <v>0</v>
      </c>
      <c r="AL508" t="s">
        <v>40</v>
      </c>
      <c r="AM508" t="str">
        <f t="shared" si="39"/>
        <v>5023 1</v>
      </c>
      <c r="AN508" s="6" t="s">
        <v>388</v>
      </c>
      <c r="AO508" s="6" t="s">
        <v>1202</v>
      </c>
      <c r="AQ508" t="s">
        <v>746</v>
      </c>
      <c r="AR508" t="s">
        <v>2380</v>
      </c>
    </row>
    <row r="509" spans="1:44" x14ac:dyDescent="0.3">
      <c r="A509">
        <v>3869</v>
      </c>
      <c r="B509">
        <v>4</v>
      </c>
      <c r="C509">
        <v>4021123</v>
      </c>
      <c r="D509">
        <v>19433</v>
      </c>
      <c r="E509">
        <v>2</v>
      </c>
      <c r="F509">
        <v>670050</v>
      </c>
      <c r="G509" t="s">
        <v>88</v>
      </c>
      <c r="H509" t="s">
        <v>89</v>
      </c>
      <c r="I509">
        <v>0</v>
      </c>
      <c r="J509" s="1">
        <v>408121.511</v>
      </c>
      <c r="K509" s="1">
        <v>282900.25199999998</v>
      </c>
      <c r="L509" s="1">
        <v>408093.32500000001</v>
      </c>
      <c r="M509" s="1">
        <v>282844.86599999998</v>
      </c>
      <c r="N509" t="s">
        <v>40</v>
      </c>
      <c r="P509" t="s">
        <v>40</v>
      </c>
      <c r="Q509">
        <v>0</v>
      </c>
      <c r="R509">
        <v>0</v>
      </c>
      <c r="S509">
        <v>200901</v>
      </c>
      <c r="T509">
        <v>6</v>
      </c>
      <c r="U509">
        <v>6</v>
      </c>
      <c r="V509">
        <v>1</v>
      </c>
      <c r="W509">
        <v>1</v>
      </c>
      <c r="X509" t="s">
        <v>40</v>
      </c>
      <c r="Y509">
        <v>3</v>
      </c>
      <c r="Z509">
        <v>5023</v>
      </c>
      <c r="AA509">
        <v>1</v>
      </c>
      <c r="AB509">
        <v>0</v>
      </c>
      <c r="AC509">
        <v>159.68700000000001</v>
      </c>
      <c r="AD509">
        <v>5059</v>
      </c>
      <c r="AH509">
        <v>0</v>
      </c>
      <c r="AI509">
        <v>0</v>
      </c>
      <c r="AL509" t="s">
        <v>40</v>
      </c>
      <c r="AM509" t="str">
        <f t="shared" si="39"/>
        <v>5023 1</v>
      </c>
      <c r="AN509" s="6" t="s">
        <v>1206</v>
      </c>
      <c r="AO509" s="6" t="s">
        <v>387</v>
      </c>
      <c r="AQ509" t="s">
        <v>2381</v>
      </c>
      <c r="AR509" t="s">
        <v>746</v>
      </c>
    </row>
    <row r="510" spans="1:44" x14ac:dyDescent="0.3">
      <c r="A510">
        <v>3869</v>
      </c>
      <c r="B510">
        <v>4</v>
      </c>
      <c r="C510">
        <v>4027715</v>
      </c>
      <c r="D510">
        <v>62980</v>
      </c>
      <c r="E510">
        <v>2</v>
      </c>
      <c r="F510">
        <v>670050</v>
      </c>
      <c r="G510" t="s">
        <v>88</v>
      </c>
      <c r="H510" t="s">
        <v>51</v>
      </c>
      <c r="I510">
        <v>0</v>
      </c>
      <c r="J510" s="1">
        <v>407560.43</v>
      </c>
      <c r="K510" s="1">
        <v>281886.79399999999</v>
      </c>
      <c r="L510" s="1">
        <v>407559.02600000001</v>
      </c>
      <c r="M510" s="1">
        <v>281887.66200000001</v>
      </c>
      <c r="N510" t="s">
        <v>40</v>
      </c>
      <c r="P510" t="s">
        <v>40</v>
      </c>
      <c r="Q510">
        <v>0</v>
      </c>
      <c r="R510">
        <v>0</v>
      </c>
      <c r="S510">
        <v>0</v>
      </c>
      <c r="T510">
        <v>6</v>
      </c>
      <c r="U510">
        <v>6</v>
      </c>
      <c r="V510">
        <v>1</v>
      </c>
      <c r="W510">
        <v>1</v>
      </c>
      <c r="X510" t="s">
        <v>40</v>
      </c>
      <c r="Y510">
        <v>3</v>
      </c>
      <c r="Z510">
        <v>38</v>
      </c>
      <c r="AA510">
        <v>1</v>
      </c>
      <c r="AB510">
        <v>0</v>
      </c>
      <c r="AC510">
        <v>3.9830000000000001</v>
      </c>
      <c r="AD510">
        <v>5059</v>
      </c>
      <c r="AH510">
        <v>0</v>
      </c>
      <c r="AI510">
        <v>0</v>
      </c>
      <c r="AL510" t="s">
        <v>40</v>
      </c>
      <c r="AM510" t="str">
        <f t="shared" si="39"/>
        <v>38 1</v>
      </c>
      <c r="AN510" t="str">
        <f t="shared" si="40"/>
        <v>407560.43,281886.794</v>
      </c>
      <c r="AO510" t="str">
        <f t="shared" si="41"/>
        <v>407559.026,281887.662</v>
      </c>
      <c r="AQ510" t="s">
        <v>2382</v>
      </c>
      <c r="AR510" t="s">
        <v>747</v>
      </c>
    </row>
    <row r="511" spans="1:44" x14ac:dyDescent="0.3">
      <c r="A511">
        <v>3869</v>
      </c>
      <c r="B511">
        <v>4</v>
      </c>
      <c r="C511">
        <v>4020723</v>
      </c>
      <c r="D511">
        <v>17198</v>
      </c>
      <c r="E511">
        <v>2</v>
      </c>
      <c r="F511">
        <v>670050</v>
      </c>
      <c r="G511" t="s">
        <v>88</v>
      </c>
      <c r="H511" t="s">
        <v>53</v>
      </c>
      <c r="I511">
        <v>0</v>
      </c>
      <c r="J511" s="1">
        <v>406580.93699999998</v>
      </c>
      <c r="K511" s="1">
        <v>281140.83299999998</v>
      </c>
      <c r="L511" s="1">
        <v>406689.73200000002</v>
      </c>
      <c r="M511" s="1">
        <v>281212.02899999998</v>
      </c>
      <c r="N511" t="s">
        <v>40</v>
      </c>
      <c r="P511" t="s">
        <v>40</v>
      </c>
      <c r="Q511">
        <v>0</v>
      </c>
      <c r="R511">
        <v>0</v>
      </c>
      <c r="S511">
        <v>0</v>
      </c>
      <c r="T511">
        <v>6</v>
      </c>
      <c r="U511">
        <v>6</v>
      </c>
      <c r="V511">
        <v>1</v>
      </c>
      <c r="W511">
        <v>1</v>
      </c>
      <c r="X511" t="s">
        <v>40</v>
      </c>
      <c r="Y511">
        <v>3</v>
      </c>
      <c r="Z511">
        <v>92</v>
      </c>
      <c r="AA511">
        <v>1</v>
      </c>
      <c r="AB511">
        <v>0</v>
      </c>
      <c r="AC511">
        <v>1078.3240000000001</v>
      </c>
      <c r="AD511">
        <v>5059</v>
      </c>
      <c r="AH511">
        <v>0</v>
      </c>
      <c r="AI511">
        <v>0</v>
      </c>
      <c r="AL511" t="s">
        <v>40</v>
      </c>
      <c r="AM511" t="str">
        <f t="shared" si="39"/>
        <v>92 1</v>
      </c>
      <c r="AN511" s="6" t="s">
        <v>1205</v>
      </c>
      <c r="AO511" s="6" t="s">
        <v>1208</v>
      </c>
      <c r="AQ511" t="s">
        <v>2383</v>
      </c>
      <c r="AR511" t="s">
        <v>2384</v>
      </c>
    </row>
    <row r="512" spans="1:44" x14ac:dyDescent="0.3">
      <c r="A512">
        <v>3869</v>
      </c>
      <c r="B512">
        <v>4</v>
      </c>
      <c r="C512">
        <v>4027480</v>
      </c>
      <c r="D512">
        <v>61800</v>
      </c>
      <c r="E512">
        <v>2</v>
      </c>
      <c r="F512">
        <v>670050</v>
      </c>
      <c r="G512" t="s">
        <v>88</v>
      </c>
      <c r="H512" t="s">
        <v>51</v>
      </c>
      <c r="I512">
        <v>0</v>
      </c>
      <c r="J512" s="1">
        <v>407200.516</v>
      </c>
      <c r="K512" s="1">
        <v>281149.978</v>
      </c>
      <c r="L512" s="1">
        <v>407384.57900000003</v>
      </c>
      <c r="M512" s="1">
        <v>281096.59299999999</v>
      </c>
      <c r="N512" t="s">
        <v>40</v>
      </c>
      <c r="P512" t="s">
        <v>40</v>
      </c>
      <c r="Q512">
        <v>0</v>
      </c>
      <c r="R512">
        <v>0</v>
      </c>
      <c r="S512">
        <v>0</v>
      </c>
      <c r="T512">
        <v>6</v>
      </c>
      <c r="U512">
        <v>6</v>
      </c>
      <c r="V512">
        <v>1</v>
      </c>
      <c r="W512">
        <v>1</v>
      </c>
      <c r="X512" t="s">
        <v>40</v>
      </c>
      <c r="Y512">
        <v>3</v>
      </c>
      <c r="Z512">
        <v>92</v>
      </c>
      <c r="AA512">
        <v>1</v>
      </c>
      <c r="AB512">
        <v>0</v>
      </c>
      <c r="AC512">
        <v>665.27700000000004</v>
      </c>
      <c r="AD512">
        <v>5059</v>
      </c>
      <c r="AH512">
        <v>0</v>
      </c>
      <c r="AI512">
        <v>0</v>
      </c>
      <c r="AL512" t="s">
        <v>40</v>
      </c>
      <c r="AM512" t="str">
        <f t="shared" si="39"/>
        <v>92 1</v>
      </c>
      <c r="AN512" s="6" t="s">
        <v>1200</v>
      </c>
      <c r="AO512" s="6" t="s">
        <v>399</v>
      </c>
      <c r="AQ512" t="s">
        <v>2385</v>
      </c>
      <c r="AR512" t="s">
        <v>743</v>
      </c>
    </row>
    <row r="513" spans="1:44" x14ac:dyDescent="0.3">
      <c r="A513">
        <v>3869</v>
      </c>
      <c r="B513">
        <v>4</v>
      </c>
      <c r="C513">
        <v>4020724</v>
      </c>
      <c r="D513">
        <v>19487</v>
      </c>
      <c r="E513">
        <v>2</v>
      </c>
      <c r="F513">
        <v>670050</v>
      </c>
      <c r="G513" t="s">
        <v>88</v>
      </c>
      <c r="H513" t="s">
        <v>53</v>
      </c>
      <c r="I513">
        <v>0</v>
      </c>
      <c r="J513" s="1">
        <v>406689.73200000002</v>
      </c>
      <c r="K513" s="1">
        <v>281212.02899999998</v>
      </c>
      <c r="L513" s="1">
        <v>406767.91499999998</v>
      </c>
      <c r="M513" s="1">
        <v>281240.24699999997</v>
      </c>
      <c r="N513" t="s">
        <v>40</v>
      </c>
      <c r="P513" t="s">
        <v>40</v>
      </c>
      <c r="Q513">
        <v>0</v>
      </c>
      <c r="R513">
        <v>0</v>
      </c>
      <c r="S513">
        <v>0</v>
      </c>
      <c r="T513">
        <v>6</v>
      </c>
      <c r="U513">
        <v>6</v>
      </c>
      <c r="V513">
        <v>1</v>
      </c>
      <c r="W513">
        <v>1</v>
      </c>
      <c r="X513" t="s">
        <v>40</v>
      </c>
      <c r="Y513">
        <v>3</v>
      </c>
      <c r="Z513">
        <v>40</v>
      </c>
      <c r="AA513">
        <v>1</v>
      </c>
      <c r="AB513">
        <v>0</v>
      </c>
      <c r="AC513">
        <v>98.216999999999999</v>
      </c>
      <c r="AD513">
        <v>5059</v>
      </c>
      <c r="AH513">
        <v>0</v>
      </c>
      <c r="AI513">
        <v>0</v>
      </c>
      <c r="AL513" t="s">
        <v>40</v>
      </c>
      <c r="AM513" t="str">
        <f t="shared" si="39"/>
        <v>40 1</v>
      </c>
      <c r="AN513" t="str">
        <f t="shared" si="40"/>
        <v>406689.732,281212.029</v>
      </c>
      <c r="AO513" t="str">
        <f t="shared" si="41"/>
        <v>406767.915,281240.247</v>
      </c>
      <c r="AQ513" t="s">
        <v>2383</v>
      </c>
      <c r="AR513" t="s">
        <v>2385</v>
      </c>
    </row>
    <row r="514" spans="1:44" x14ac:dyDescent="0.3">
      <c r="A514">
        <v>3869</v>
      </c>
      <c r="B514">
        <v>4</v>
      </c>
      <c r="C514">
        <v>4027774</v>
      </c>
      <c r="D514">
        <v>66879</v>
      </c>
      <c r="E514">
        <v>2</v>
      </c>
      <c r="F514">
        <v>670050</v>
      </c>
      <c r="G514" t="s">
        <v>88</v>
      </c>
      <c r="H514" t="s">
        <v>51</v>
      </c>
      <c r="I514">
        <v>0</v>
      </c>
      <c r="J514" s="1">
        <v>407379.53899999999</v>
      </c>
      <c r="K514" s="1">
        <v>281093.66399999999</v>
      </c>
      <c r="L514" s="1">
        <v>407381.7</v>
      </c>
      <c r="M514" s="1">
        <v>281093.81199999998</v>
      </c>
      <c r="N514" t="s">
        <v>40</v>
      </c>
      <c r="P514" t="s">
        <v>40</v>
      </c>
      <c r="Q514">
        <v>0</v>
      </c>
      <c r="R514">
        <v>0</v>
      </c>
      <c r="S514">
        <v>0</v>
      </c>
      <c r="T514">
        <v>6</v>
      </c>
      <c r="U514">
        <v>6</v>
      </c>
      <c r="V514">
        <v>1</v>
      </c>
      <c r="W514">
        <v>3</v>
      </c>
      <c r="X514" t="s">
        <v>40</v>
      </c>
      <c r="Y514">
        <v>3</v>
      </c>
      <c r="Z514">
        <v>169</v>
      </c>
      <c r="AA514">
        <v>99</v>
      </c>
      <c r="AB514">
        <v>0</v>
      </c>
      <c r="AC514">
        <v>3.5679999999999996</v>
      </c>
      <c r="AD514">
        <v>5077</v>
      </c>
      <c r="AH514">
        <v>0</v>
      </c>
      <c r="AI514">
        <v>0</v>
      </c>
      <c r="AL514" t="s">
        <v>40</v>
      </c>
      <c r="AM514" t="str">
        <f t="shared" si="39"/>
        <v>169 99</v>
      </c>
      <c r="AN514" s="6" t="s">
        <v>403</v>
      </c>
      <c r="AO514" s="6" t="s">
        <v>1696</v>
      </c>
      <c r="AQ514" t="s">
        <v>750</v>
      </c>
      <c r="AR514" t="s">
        <v>2386</v>
      </c>
    </row>
    <row r="515" spans="1:44" x14ac:dyDescent="0.3">
      <c r="A515">
        <v>3869</v>
      </c>
      <c r="B515">
        <v>4</v>
      </c>
      <c r="C515">
        <v>4027723</v>
      </c>
      <c r="D515">
        <v>25087</v>
      </c>
      <c r="E515">
        <v>2</v>
      </c>
      <c r="F515">
        <v>670050</v>
      </c>
      <c r="G515" t="s">
        <v>88</v>
      </c>
      <c r="H515" t="s">
        <v>51</v>
      </c>
      <c r="I515">
        <v>0</v>
      </c>
      <c r="J515" s="1">
        <v>407570.83500000002</v>
      </c>
      <c r="K515" s="1">
        <v>282000</v>
      </c>
      <c r="L515" s="1">
        <v>407582.14199999999</v>
      </c>
      <c r="M515" s="1">
        <v>281917.09399999998</v>
      </c>
      <c r="N515" t="s">
        <v>40</v>
      </c>
      <c r="P515" t="s">
        <v>40</v>
      </c>
      <c r="Q515">
        <v>0</v>
      </c>
      <c r="R515">
        <v>0</v>
      </c>
      <c r="S515">
        <v>0</v>
      </c>
      <c r="T515">
        <v>6</v>
      </c>
      <c r="U515">
        <v>6</v>
      </c>
      <c r="V515">
        <v>1</v>
      </c>
      <c r="W515">
        <v>1</v>
      </c>
      <c r="X515" t="s">
        <v>40</v>
      </c>
      <c r="Y515">
        <v>3</v>
      </c>
      <c r="Z515">
        <v>90</v>
      </c>
      <c r="AA515">
        <v>1</v>
      </c>
      <c r="AB515">
        <v>0</v>
      </c>
      <c r="AC515">
        <v>400.57900000000001</v>
      </c>
      <c r="AD515">
        <v>5059</v>
      </c>
      <c r="AH515">
        <v>0</v>
      </c>
      <c r="AI515">
        <v>0</v>
      </c>
      <c r="AL515" t="s">
        <v>40</v>
      </c>
      <c r="AM515" t="str">
        <f t="shared" si="39"/>
        <v>90 1</v>
      </c>
      <c r="AN515" s="6" t="s">
        <v>1203</v>
      </c>
      <c r="AO515" s="6" t="s">
        <v>1221</v>
      </c>
      <c r="AQ515" t="s">
        <v>2382</v>
      </c>
      <c r="AR515" t="s">
        <v>2387</v>
      </c>
    </row>
    <row r="516" spans="1:44" x14ac:dyDescent="0.3">
      <c r="A516">
        <v>3869</v>
      </c>
      <c r="B516">
        <v>4</v>
      </c>
      <c r="C516">
        <v>4027536</v>
      </c>
      <c r="D516">
        <v>23753</v>
      </c>
      <c r="E516">
        <v>2</v>
      </c>
      <c r="F516">
        <v>670050</v>
      </c>
      <c r="G516" t="s">
        <v>88</v>
      </c>
      <c r="H516" t="s">
        <v>51</v>
      </c>
      <c r="I516">
        <v>0</v>
      </c>
      <c r="J516" s="1">
        <v>407371.652</v>
      </c>
      <c r="K516" s="1">
        <v>281392.86599999998</v>
      </c>
      <c r="L516" s="1">
        <v>407402.39399999997</v>
      </c>
      <c r="M516" s="1">
        <v>281400.88699999999</v>
      </c>
      <c r="N516" t="s">
        <v>40</v>
      </c>
      <c r="P516" t="s">
        <v>40</v>
      </c>
      <c r="Q516">
        <v>0</v>
      </c>
      <c r="R516">
        <v>0</v>
      </c>
      <c r="S516">
        <v>0</v>
      </c>
      <c r="T516">
        <v>6</v>
      </c>
      <c r="U516">
        <v>6</v>
      </c>
      <c r="V516">
        <v>1</v>
      </c>
      <c r="W516">
        <v>1</v>
      </c>
      <c r="X516" t="s">
        <v>40</v>
      </c>
      <c r="Y516">
        <v>3</v>
      </c>
      <c r="Z516">
        <v>92</v>
      </c>
      <c r="AA516">
        <v>1</v>
      </c>
      <c r="AB516">
        <v>0</v>
      </c>
      <c r="AC516">
        <v>35.008000000000003</v>
      </c>
      <c r="AD516">
        <v>5059</v>
      </c>
      <c r="AH516">
        <v>0</v>
      </c>
      <c r="AI516">
        <v>0</v>
      </c>
      <c r="AL516" t="s">
        <v>40</v>
      </c>
      <c r="AM516" t="str">
        <f t="shared" si="39"/>
        <v>92 1</v>
      </c>
      <c r="AN516" t="str">
        <f t="shared" si="40"/>
        <v>407371.652,281392.866</v>
      </c>
      <c r="AO516" t="str">
        <f t="shared" si="41"/>
        <v>407402.394,281400.887</v>
      </c>
      <c r="AQ516" t="s">
        <v>2388</v>
      </c>
      <c r="AR516" t="s">
        <v>752</v>
      </c>
    </row>
    <row r="517" spans="1:44" x14ac:dyDescent="0.3">
      <c r="A517">
        <v>3869</v>
      </c>
      <c r="B517">
        <v>4</v>
      </c>
      <c r="C517">
        <v>4026548</v>
      </c>
      <c r="D517">
        <v>25008</v>
      </c>
      <c r="E517">
        <v>2</v>
      </c>
      <c r="F517">
        <v>670050</v>
      </c>
      <c r="G517" t="s">
        <v>88</v>
      </c>
      <c r="H517" t="s">
        <v>41</v>
      </c>
      <c r="I517">
        <v>0</v>
      </c>
      <c r="J517" s="1">
        <v>405717.23200000002</v>
      </c>
      <c r="K517" s="1">
        <v>281000</v>
      </c>
      <c r="L517" s="1">
        <v>405730.674</v>
      </c>
      <c r="M517" s="1">
        <v>281032.239</v>
      </c>
      <c r="N517" t="s">
        <v>40</v>
      </c>
      <c r="P517" t="s">
        <v>40</v>
      </c>
      <c r="Q517">
        <v>0</v>
      </c>
      <c r="R517">
        <v>0</v>
      </c>
      <c r="S517">
        <v>0</v>
      </c>
      <c r="T517">
        <v>6</v>
      </c>
      <c r="U517">
        <v>6</v>
      </c>
      <c r="V517">
        <v>1</v>
      </c>
      <c r="W517">
        <v>1</v>
      </c>
      <c r="X517" t="s">
        <v>40</v>
      </c>
      <c r="Y517">
        <v>3</v>
      </c>
      <c r="Z517">
        <v>40</v>
      </c>
      <c r="AA517">
        <v>5001</v>
      </c>
      <c r="AB517">
        <v>0</v>
      </c>
      <c r="AC517">
        <v>87.951999999999998</v>
      </c>
      <c r="AD517">
        <v>5059</v>
      </c>
      <c r="AH517">
        <v>0</v>
      </c>
      <c r="AI517">
        <v>0</v>
      </c>
      <c r="AL517" t="s">
        <v>40</v>
      </c>
      <c r="AM517" t="str">
        <f t="shared" si="39"/>
        <v>40 5001</v>
      </c>
      <c r="AN517" s="6" t="s">
        <v>1208</v>
      </c>
      <c r="AO517" s="6" t="s">
        <v>1215</v>
      </c>
      <c r="AQ517" t="s">
        <v>2384</v>
      </c>
      <c r="AR517" t="s">
        <v>2389</v>
      </c>
    </row>
    <row r="518" spans="1:44" x14ac:dyDescent="0.3">
      <c r="A518">
        <v>3869</v>
      </c>
      <c r="B518">
        <v>4</v>
      </c>
      <c r="C518">
        <v>4021033</v>
      </c>
      <c r="D518">
        <v>18807</v>
      </c>
      <c r="E518">
        <v>2</v>
      </c>
      <c r="F518">
        <v>670050</v>
      </c>
      <c r="G518" t="s">
        <v>88</v>
      </c>
      <c r="H518" t="s">
        <v>89</v>
      </c>
      <c r="I518">
        <v>0</v>
      </c>
      <c r="J518" s="1">
        <v>408116.60700000002</v>
      </c>
      <c r="K518" s="1">
        <v>282583.00300000003</v>
      </c>
      <c r="L518" s="1">
        <v>408120.10499999998</v>
      </c>
      <c r="M518" s="1">
        <v>282579.77600000001</v>
      </c>
      <c r="N518" t="s">
        <v>40</v>
      </c>
      <c r="P518" t="s">
        <v>40</v>
      </c>
      <c r="Q518">
        <v>0</v>
      </c>
      <c r="R518">
        <v>0</v>
      </c>
      <c r="S518">
        <v>0</v>
      </c>
      <c r="T518">
        <v>6</v>
      </c>
      <c r="U518">
        <v>6</v>
      </c>
      <c r="V518">
        <v>1</v>
      </c>
      <c r="W518">
        <v>1</v>
      </c>
      <c r="X518" t="s">
        <v>40</v>
      </c>
      <c r="Y518">
        <v>3</v>
      </c>
      <c r="Z518">
        <v>38</v>
      </c>
      <c r="AA518">
        <v>5001</v>
      </c>
      <c r="AB518">
        <v>0</v>
      </c>
      <c r="AC518">
        <v>4.766</v>
      </c>
      <c r="AD518">
        <v>5059</v>
      </c>
      <c r="AH518">
        <v>0</v>
      </c>
      <c r="AI518">
        <v>0</v>
      </c>
      <c r="AL518" t="s">
        <v>40</v>
      </c>
      <c r="AM518" t="str">
        <f t="shared" si="39"/>
        <v>38 5001</v>
      </c>
      <c r="AN518" t="str">
        <f t="shared" si="40"/>
        <v>408116.607,282583.003</v>
      </c>
      <c r="AO518" t="str">
        <f t="shared" si="41"/>
        <v>408120.105,282579.776</v>
      </c>
      <c r="AQ518" t="s">
        <v>2374</v>
      </c>
      <c r="AR518" t="s">
        <v>2390</v>
      </c>
    </row>
    <row r="519" spans="1:44" x14ac:dyDescent="0.3">
      <c r="A519">
        <v>3869</v>
      </c>
      <c r="B519">
        <v>4</v>
      </c>
      <c r="C519">
        <v>4021051</v>
      </c>
      <c r="D519">
        <v>46966</v>
      </c>
      <c r="E519">
        <v>2</v>
      </c>
      <c r="F519">
        <v>670050</v>
      </c>
      <c r="G519" t="s">
        <v>88</v>
      </c>
      <c r="H519" t="s">
        <v>89</v>
      </c>
      <c r="I519">
        <v>0</v>
      </c>
      <c r="J519" s="1">
        <v>408120.10499999998</v>
      </c>
      <c r="K519" s="1">
        <v>282579.77600000001</v>
      </c>
      <c r="L519" s="1">
        <v>408120.92099999997</v>
      </c>
      <c r="M519" s="1">
        <v>282578.82500000001</v>
      </c>
      <c r="N519" t="s">
        <v>40</v>
      </c>
      <c r="P519" t="s">
        <v>40</v>
      </c>
      <c r="Q519">
        <v>0</v>
      </c>
      <c r="R519">
        <v>0</v>
      </c>
      <c r="S519">
        <v>0</v>
      </c>
      <c r="T519">
        <v>6</v>
      </c>
      <c r="U519">
        <v>6</v>
      </c>
      <c r="V519">
        <v>1</v>
      </c>
      <c r="W519">
        <v>1</v>
      </c>
      <c r="X519" t="s">
        <v>40</v>
      </c>
      <c r="Y519">
        <v>3</v>
      </c>
      <c r="Z519">
        <v>5024</v>
      </c>
      <c r="AA519">
        <v>1</v>
      </c>
      <c r="AB519">
        <v>0</v>
      </c>
      <c r="AC519">
        <v>1.254</v>
      </c>
      <c r="AD519">
        <v>5059</v>
      </c>
      <c r="AH519">
        <v>0</v>
      </c>
      <c r="AI519">
        <v>0</v>
      </c>
      <c r="AL519" t="s">
        <v>40</v>
      </c>
      <c r="AM519" t="str">
        <f t="shared" si="39"/>
        <v>5024 1</v>
      </c>
      <c r="AN519" t="str">
        <f t="shared" si="40"/>
        <v>408120.105,282579.776</v>
      </c>
      <c r="AO519" t="str">
        <f t="shared" si="41"/>
        <v>408120.921,282578.825</v>
      </c>
      <c r="AQ519" t="s">
        <v>2390</v>
      </c>
      <c r="AR519" t="s">
        <v>753</v>
      </c>
    </row>
    <row r="520" spans="1:44" x14ac:dyDescent="0.3">
      <c r="A520">
        <v>3869</v>
      </c>
      <c r="B520">
        <v>4</v>
      </c>
      <c r="C520">
        <v>4021068</v>
      </c>
      <c r="D520">
        <v>46965</v>
      </c>
      <c r="E520">
        <v>2</v>
      </c>
      <c r="F520">
        <v>670050</v>
      </c>
      <c r="G520" t="s">
        <v>88</v>
      </c>
      <c r="H520" t="s">
        <v>89</v>
      </c>
      <c r="I520">
        <v>0</v>
      </c>
      <c r="J520" s="1">
        <v>408120.43900000001</v>
      </c>
      <c r="K520" s="1">
        <v>282579.99699999997</v>
      </c>
      <c r="L520" s="1">
        <v>408121.20899999997</v>
      </c>
      <c r="M520" s="1">
        <v>282579.07799999998</v>
      </c>
      <c r="N520" t="s">
        <v>40</v>
      </c>
      <c r="P520" t="s">
        <v>40</v>
      </c>
      <c r="Q520">
        <v>0</v>
      </c>
      <c r="R520">
        <v>0</v>
      </c>
      <c r="S520">
        <v>0</v>
      </c>
      <c r="T520">
        <v>6</v>
      </c>
      <c r="U520">
        <v>6</v>
      </c>
      <c r="V520">
        <v>1</v>
      </c>
      <c r="W520">
        <v>1</v>
      </c>
      <c r="X520" t="s">
        <v>40</v>
      </c>
      <c r="Y520">
        <v>3</v>
      </c>
      <c r="Z520">
        <v>5024</v>
      </c>
      <c r="AA520">
        <v>1</v>
      </c>
      <c r="AB520">
        <v>0</v>
      </c>
      <c r="AC520">
        <v>1.1990000000000001</v>
      </c>
      <c r="AD520">
        <v>5059</v>
      </c>
      <c r="AH520">
        <v>0</v>
      </c>
      <c r="AI520">
        <v>0</v>
      </c>
      <c r="AL520" t="s">
        <v>40</v>
      </c>
      <c r="AM520" t="str">
        <f t="shared" si="39"/>
        <v>5024 1</v>
      </c>
      <c r="AN520" t="str">
        <f t="shared" si="40"/>
        <v>408120.439,282579.997</v>
      </c>
      <c r="AO520" t="str">
        <f t="shared" si="41"/>
        <v>408121.209,282579.078</v>
      </c>
      <c r="AQ520" t="s">
        <v>2391</v>
      </c>
      <c r="AR520" t="s">
        <v>753</v>
      </c>
    </row>
    <row r="521" spans="1:44" x14ac:dyDescent="0.3">
      <c r="A521">
        <v>3869</v>
      </c>
      <c r="B521">
        <v>4</v>
      </c>
      <c r="C521">
        <v>4021069</v>
      </c>
      <c r="D521">
        <v>18806</v>
      </c>
      <c r="E521">
        <v>2</v>
      </c>
      <c r="F521">
        <v>670050</v>
      </c>
      <c r="G521" t="s">
        <v>88</v>
      </c>
      <c r="H521" t="s">
        <v>89</v>
      </c>
      <c r="I521">
        <v>0</v>
      </c>
      <c r="J521" s="1">
        <v>408118.38699999999</v>
      </c>
      <c r="K521" s="1">
        <v>282581.98</v>
      </c>
      <c r="L521" s="1">
        <v>408120.43900000001</v>
      </c>
      <c r="M521" s="1">
        <v>282579.99699999997</v>
      </c>
      <c r="N521" t="s">
        <v>40</v>
      </c>
      <c r="P521" t="s">
        <v>40</v>
      </c>
      <c r="Q521">
        <v>0</v>
      </c>
      <c r="R521">
        <v>0</v>
      </c>
      <c r="S521">
        <v>0</v>
      </c>
      <c r="T521">
        <v>6</v>
      </c>
      <c r="U521">
        <v>6</v>
      </c>
      <c r="V521">
        <v>1</v>
      </c>
      <c r="W521">
        <v>1</v>
      </c>
      <c r="X521" t="s">
        <v>40</v>
      </c>
      <c r="Y521">
        <v>3</v>
      </c>
      <c r="Z521">
        <v>38</v>
      </c>
      <c r="AA521">
        <v>5001</v>
      </c>
      <c r="AB521">
        <v>0</v>
      </c>
      <c r="AC521">
        <v>2.8580000000000001</v>
      </c>
      <c r="AD521">
        <v>5059</v>
      </c>
      <c r="AH521">
        <v>0</v>
      </c>
      <c r="AI521">
        <v>0</v>
      </c>
      <c r="AL521" t="s">
        <v>40</v>
      </c>
      <c r="AM521" t="str">
        <f t="shared" si="39"/>
        <v>38 5001</v>
      </c>
      <c r="AN521" t="str">
        <f t="shared" si="40"/>
        <v>408118.387,282581.98</v>
      </c>
      <c r="AO521" t="str">
        <f t="shared" si="41"/>
        <v>408120.439,282579.997</v>
      </c>
      <c r="AQ521" t="s">
        <v>2392</v>
      </c>
      <c r="AR521" t="s">
        <v>2391</v>
      </c>
    </row>
    <row r="522" spans="1:44" x14ac:dyDescent="0.3">
      <c r="A522">
        <v>3869</v>
      </c>
      <c r="B522">
        <v>4</v>
      </c>
      <c r="C522">
        <v>4027513</v>
      </c>
      <c r="D522">
        <v>61801</v>
      </c>
      <c r="E522">
        <v>2</v>
      </c>
      <c r="F522">
        <v>670050</v>
      </c>
      <c r="G522" t="s">
        <v>88</v>
      </c>
      <c r="H522" t="s">
        <v>51</v>
      </c>
      <c r="I522">
        <v>0</v>
      </c>
      <c r="J522" s="1">
        <v>407383.538</v>
      </c>
      <c r="K522" s="1">
        <v>281187.86300000001</v>
      </c>
      <c r="L522" s="1">
        <v>407384.766</v>
      </c>
      <c r="M522" s="1">
        <v>281095.86200000002</v>
      </c>
      <c r="N522" t="s">
        <v>40</v>
      </c>
      <c r="P522" t="s">
        <v>40</v>
      </c>
      <c r="Q522">
        <v>0</v>
      </c>
      <c r="R522">
        <v>0</v>
      </c>
      <c r="S522">
        <v>0</v>
      </c>
      <c r="T522">
        <v>6</v>
      </c>
      <c r="U522">
        <v>6</v>
      </c>
      <c r="V522">
        <v>1</v>
      </c>
      <c r="W522">
        <v>1</v>
      </c>
      <c r="X522" t="s">
        <v>40</v>
      </c>
      <c r="Y522">
        <v>3</v>
      </c>
      <c r="Z522">
        <v>93</v>
      </c>
      <c r="AA522">
        <v>1</v>
      </c>
      <c r="AB522">
        <v>0</v>
      </c>
      <c r="AC522">
        <v>301.01</v>
      </c>
      <c r="AD522">
        <v>5059</v>
      </c>
      <c r="AH522">
        <v>0</v>
      </c>
      <c r="AI522">
        <v>0</v>
      </c>
      <c r="AL522" t="s">
        <v>40</v>
      </c>
      <c r="AM522" t="str">
        <f t="shared" si="39"/>
        <v>93 1</v>
      </c>
      <c r="AN522" s="6" t="s">
        <v>1207</v>
      </c>
      <c r="AO522" s="6" t="s">
        <v>401</v>
      </c>
      <c r="AQ522" t="s">
        <v>2388</v>
      </c>
      <c r="AR522" t="s">
        <v>749</v>
      </c>
    </row>
    <row r="523" spans="1:44" x14ac:dyDescent="0.3">
      <c r="A523">
        <v>3869</v>
      </c>
      <c r="B523">
        <v>4</v>
      </c>
      <c r="C523">
        <v>4023459</v>
      </c>
      <c r="D523">
        <v>23399</v>
      </c>
      <c r="E523">
        <v>2</v>
      </c>
      <c r="F523">
        <v>670050</v>
      </c>
      <c r="G523" t="s">
        <v>88</v>
      </c>
      <c r="H523" t="s">
        <v>43</v>
      </c>
      <c r="I523">
        <v>0</v>
      </c>
      <c r="J523" s="1">
        <v>405622.34499999997</v>
      </c>
      <c r="K523" s="1">
        <v>280970.03399999999</v>
      </c>
      <c r="L523" s="1">
        <v>405616.29200000002</v>
      </c>
      <c r="M523" s="1">
        <v>280956.97600000002</v>
      </c>
      <c r="N523" t="s">
        <v>40</v>
      </c>
      <c r="P523" t="s">
        <v>40</v>
      </c>
      <c r="Q523">
        <v>0</v>
      </c>
      <c r="R523">
        <v>0</v>
      </c>
      <c r="S523">
        <v>0</v>
      </c>
      <c r="T523">
        <v>6</v>
      </c>
      <c r="U523">
        <v>6</v>
      </c>
      <c r="V523">
        <v>1</v>
      </c>
      <c r="W523">
        <v>1</v>
      </c>
      <c r="X523" t="s">
        <v>40</v>
      </c>
      <c r="Y523">
        <v>3</v>
      </c>
      <c r="Z523">
        <v>38</v>
      </c>
      <c r="AA523">
        <v>1</v>
      </c>
      <c r="AB523">
        <v>0</v>
      </c>
      <c r="AC523">
        <v>18.346</v>
      </c>
      <c r="AD523">
        <v>5059</v>
      </c>
      <c r="AH523">
        <v>0</v>
      </c>
      <c r="AI523">
        <v>0</v>
      </c>
      <c r="AL523" t="s">
        <v>40</v>
      </c>
      <c r="AM523" t="str">
        <f t="shared" ref="AM523:AM555" si="42">_xlfn.CONCAT(Z523, " ",AA523)</f>
        <v>38 1</v>
      </c>
      <c r="AN523" t="str">
        <f t="shared" ref="AN523:AN556" si="43">ROUND(J523,3)&amp;","&amp;ROUND(K523,3)</f>
        <v>405622.345,280970.034</v>
      </c>
      <c r="AO523" t="str">
        <f t="shared" ref="AO523:AO556" si="44">ROUND(L523,3)&amp;","&amp;ROUND(M523,3)</f>
        <v>405616.292,280956.976</v>
      </c>
      <c r="AQ523" t="s">
        <v>2393</v>
      </c>
      <c r="AR523" t="s">
        <v>2394</v>
      </c>
    </row>
    <row r="524" spans="1:44" x14ac:dyDescent="0.3">
      <c r="A524">
        <v>3869</v>
      </c>
      <c r="B524">
        <v>4</v>
      </c>
      <c r="C524">
        <v>4019210</v>
      </c>
      <c r="D524">
        <v>18673</v>
      </c>
      <c r="E524">
        <v>2</v>
      </c>
      <c r="F524">
        <v>670050</v>
      </c>
      <c r="G524" t="s">
        <v>88</v>
      </c>
      <c r="H524" t="s">
        <v>50</v>
      </c>
      <c r="I524">
        <v>0</v>
      </c>
      <c r="J524" s="1">
        <v>407821.79599999997</v>
      </c>
      <c r="K524" s="1">
        <v>282649.59999999998</v>
      </c>
      <c r="L524" s="1">
        <v>407822.364</v>
      </c>
      <c r="M524" s="1">
        <v>282648.092</v>
      </c>
      <c r="N524" t="s">
        <v>40</v>
      </c>
      <c r="P524" t="s">
        <v>40</v>
      </c>
      <c r="Q524">
        <v>0</v>
      </c>
      <c r="R524">
        <v>0</v>
      </c>
      <c r="S524">
        <v>200308</v>
      </c>
      <c r="T524">
        <v>6</v>
      </c>
      <c r="U524">
        <v>6</v>
      </c>
      <c r="V524">
        <v>1</v>
      </c>
      <c r="W524">
        <v>3</v>
      </c>
      <c r="X524" t="s">
        <v>40</v>
      </c>
      <c r="Y524">
        <v>3</v>
      </c>
      <c r="Z524">
        <v>5030</v>
      </c>
      <c r="AA524">
        <v>1</v>
      </c>
      <c r="AB524">
        <v>0</v>
      </c>
      <c r="AC524">
        <v>1.611</v>
      </c>
      <c r="AD524">
        <v>5059</v>
      </c>
      <c r="AH524">
        <v>0</v>
      </c>
      <c r="AI524">
        <v>0</v>
      </c>
      <c r="AL524" t="s">
        <v>40</v>
      </c>
      <c r="AM524" t="str">
        <f t="shared" si="42"/>
        <v>5030 1</v>
      </c>
      <c r="AN524" t="str">
        <f t="shared" si="43"/>
        <v>407821.796,282649.6</v>
      </c>
      <c r="AO524" t="str">
        <f t="shared" si="44"/>
        <v>407822.364,282648.092</v>
      </c>
      <c r="AQ524" t="s">
        <v>750</v>
      </c>
      <c r="AR524" t="s">
        <v>2395</v>
      </c>
    </row>
    <row r="525" spans="1:44" x14ac:dyDescent="0.3">
      <c r="A525">
        <v>3869</v>
      </c>
      <c r="B525">
        <v>4</v>
      </c>
      <c r="C525">
        <v>4019207</v>
      </c>
      <c r="D525">
        <v>18589</v>
      </c>
      <c r="E525">
        <v>2</v>
      </c>
      <c r="F525">
        <v>670050</v>
      </c>
      <c r="G525" t="s">
        <v>88</v>
      </c>
      <c r="H525" t="s">
        <v>50</v>
      </c>
      <c r="I525">
        <v>0</v>
      </c>
      <c r="J525" s="1">
        <v>407809.80099999998</v>
      </c>
      <c r="K525" s="1">
        <v>282498.32799999998</v>
      </c>
      <c r="L525" s="1">
        <v>407822.364</v>
      </c>
      <c r="M525" s="1">
        <v>282648.092</v>
      </c>
      <c r="N525" t="s">
        <v>40</v>
      </c>
      <c r="P525" t="s">
        <v>40</v>
      </c>
      <c r="Q525">
        <v>0</v>
      </c>
      <c r="R525">
        <v>0</v>
      </c>
      <c r="S525">
        <v>0</v>
      </c>
      <c r="T525">
        <v>6</v>
      </c>
      <c r="U525">
        <v>6</v>
      </c>
      <c r="V525">
        <v>1</v>
      </c>
      <c r="W525">
        <v>3</v>
      </c>
      <c r="X525" t="s">
        <v>40</v>
      </c>
      <c r="Y525">
        <v>3</v>
      </c>
      <c r="Z525">
        <v>90</v>
      </c>
      <c r="AA525">
        <v>1</v>
      </c>
      <c r="AB525">
        <v>0</v>
      </c>
      <c r="AC525">
        <v>198.39400000000001</v>
      </c>
      <c r="AD525">
        <v>5059</v>
      </c>
      <c r="AH525">
        <v>0</v>
      </c>
      <c r="AI525">
        <v>0</v>
      </c>
      <c r="AL525" t="s">
        <v>40</v>
      </c>
      <c r="AM525" t="str">
        <f t="shared" si="42"/>
        <v>90 1</v>
      </c>
      <c r="AN525" t="str">
        <f t="shared" si="43"/>
        <v>407809.801,282498.328</v>
      </c>
      <c r="AO525" t="str">
        <f t="shared" si="44"/>
        <v>407822.364,282648.092</v>
      </c>
      <c r="AQ525" t="s">
        <v>1981</v>
      </c>
      <c r="AR525" t="s">
        <v>2395</v>
      </c>
    </row>
    <row r="526" spans="1:44" x14ac:dyDescent="0.3">
      <c r="A526">
        <v>3869</v>
      </c>
      <c r="B526">
        <v>4</v>
      </c>
      <c r="C526">
        <v>4023462</v>
      </c>
      <c r="D526">
        <v>23407</v>
      </c>
      <c r="E526">
        <v>2</v>
      </c>
      <c r="F526">
        <v>670050</v>
      </c>
      <c r="G526" t="s">
        <v>88</v>
      </c>
      <c r="H526" t="s">
        <v>43</v>
      </c>
      <c r="I526">
        <v>0</v>
      </c>
      <c r="J526" s="1">
        <v>405671.28700000001</v>
      </c>
      <c r="K526" s="1">
        <v>280978.321</v>
      </c>
      <c r="L526" s="1">
        <v>405635.52799999999</v>
      </c>
      <c r="M526" s="1">
        <v>280970.72899999999</v>
      </c>
      <c r="N526" t="s">
        <v>40</v>
      </c>
      <c r="P526" t="s">
        <v>40</v>
      </c>
      <c r="Q526">
        <v>0</v>
      </c>
      <c r="R526">
        <v>0</v>
      </c>
      <c r="S526">
        <v>0</v>
      </c>
      <c r="T526">
        <v>6</v>
      </c>
      <c r="U526">
        <v>6</v>
      </c>
      <c r="V526">
        <v>1</v>
      </c>
      <c r="W526">
        <v>1</v>
      </c>
      <c r="X526" t="s">
        <v>40</v>
      </c>
      <c r="Y526">
        <v>3</v>
      </c>
      <c r="Z526">
        <v>40</v>
      </c>
      <c r="AA526">
        <v>1</v>
      </c>
      <c r="AB526">
        <v>0</v>
      </c>
      <c r="AC526">
        <v>46.328000000000003</v>
      </c>
      <c r="AD526">
        <v>5059</v>
      </c>
      <c r="AH526">
        <v>0</v>
      </c>
      <c r="AI526">
        <v>0</v>
      </c>
      <c r="AL526" t="s">
        <v>40</v>
      </c>
      <c r="AM526" t="str">
        <f t="shared" si="42"/>
        <v>40 1</v>
      </c>
      <c r="AN526" t="str">
        <f t="shared" si="43"/>
        <v>405671.287,280978.321</v>
      </c>
      <c r="AO526" t="str">
        <f t="shared" si="44"/>
        <v>405635.528,280970.729</v>
      </c>
      <c r="AQ526" t="s">
        <v>2389</v>
      </c>
      <c r="AR526" t="s">
        <v>2396</v>
      </c>
    </row>
    <row r="527" spans="1:44" x14ac:dyDescent="0.3">
      <c r="A527">
        <v>3869</v>
      </c>
      <c r="B527">
        <v>4</v>
      </c>
      <c r="C527">
        <v>4023461</v>
      </c>
      <c r="D527">
        <v>23396</v>
      </c>
      <c r="E527">
        <v>2</v>
      </c>
      <c r="F527">
        <v>670050</v>
      </c>
      <c r="G527" t="s">
        <v>88</v>
      </c>
      <c r="H527" t="s">
        <v>43</v>
      </c>
      <c r="I527">
        <v>0</v>
      </c>
      <c r="J527" s="1">
        <v>405627.63299999997</v>
      </c>
      <c r="K527" s="1">
        <v>280970.92800000001</v>
      </c>
      <c r="L527" s="1">
        <v>405635.52799999999</v>
      </c>
      <c r="M527" s="1">
        <v>280970.72899999999</v>
      </c>
      <c r="N527" t="s">
        <v>40</v>
      </c>
      <c r="P527" t="s">
        <v>40</v>
      </c>
      <c r="Q527">
        <v>0</v>
      </c>
      <c r="R527">
        <v>0</v>
      </c>
      <c r="S527">
        <v>0</v>
      </c>
      <c r="T527">
        <v>6</v>
      </c>
      <c r="U527">
        <v>6</v>
      </c>
      <c r="V527">
        <v>1</v>
      </c>
      <c r="W527">
        <v>1</v>
      </c>
      <c r="X527" t="s">
        <v>40</v>
      </c>
      <c r="Y527">
        <v>3</v>
      </c>
      <c r="Z527">
        <v>38</v>
      </c>
      <c r="AA527">
        <v>5001</v>
      </c>
      <c r="AB527">
        <v>0</v>
      </c>
      <c r="AC527">
        <v>13.283999999999999</v>
      </c>
      <c r="AD527">
        <v>5059</v>
      </c>
      <c r="AH527">
        <v>0</v>
      </c>
      <c r="AI527">
        <v>0</v>
      </c>
      <c r="AL527" t="s">
        <v>40</v>
      </c>
      <c r="AM527" t="str">
        <f t="shared" si="42"/>
        <v>38 5001</v>
      </c>
      <c r="AN527" s="6" t="s">
        <v>1698</v>
      </c>
      <c r="AO527" s="6" t="s">
        <v>1214</v>
      </c>
      <c r="AQ527" t="s">
        <v>2396</v>
      </c>
      <c r="AR527" t="s">
        <v>2393</v>
      </c>
    </row>
    <row r="528" spans="1:44" x14ac:dyDescent="0.3">
      <c r="A528">
        <v>3869</v>
      </c>
      <c r="B528">
        <v>4</v>
      </c>
      <c r="C528">
        <v>4023401</v>
      </c>
      <c r="D528">
        <v>23122</v>
      </c>
      <c r="E528">
        <v>2</v>
      </c>
      <c r="F528">
        <v>670050</v>
      </c>
      <c r="G528" t="s">
        <v>88</v>
      </c>
      <c r="H528" t="s">
        <v>43</v>
      </c>
      <c r="I528">
        <v>0</v>
      </c>
      <c r="J528" s="1">
        <v>405263.67</v>
      </c>
      <c r="K528" s="1">
        <v>280980.30099999998</v>
      </c>
      <c r="L528" s="1">
        <v>405283.7</v>
      </c>
      <c r="M528" s="1">
        <v>280982.745</v>
      </c>
      <c r="N528" t="s">
        <v>40</v>
      </c>
      <c r="P528" t="s">
        <v>40</v>
      </c>
      <c r="Q528">
        <v>0</v>
      </c>
      <c r="R528">
        <v>0</v>
      </c>
      <c r="S528">
        <v>0</v>
      </c>
      <c r="T528">
        <v>6</v>
      </c>
      <c r="U528">
        <v>6</v>
      </c>
      <c r="V528">
        <v>1</v>
      </c>
      <c r="W528">
        <v>1</v>
      </c>
      <c r="X528" t="s">
        <v>40</v>
      </c>
      <c r="Y528">
        <v>3</v>
      </c>
      <c r="Z528">
        <v>92</v>
      </c>
      <c r="AA528">
        <v>1</v>
      </c>
      <c r="AB528">
        <v>0</v>
      </c>
      <c r="AC528">
        <v>466.07499999999999</v>
      </c>
      <c r="AD528">
        <v>5059</v>
      </c>
      <c r="AH528">
        <v>0</v>
      </c>
      <c r="AI528">
        <v>0</v>
      </c>
      <c r="AL528" t="s">
        <v>40</v>
      </c>
      <c r="AM528" t="str">
        <f t="shared" si="42"/>
        <v>92 1</v>
      </c>
      <c r="AN528" s="6" t="s">
        <v>1216</v>
      </c>
      <c r="AO528" s="6" t="s">
        <v>1217</v>
      </c>
      <c r="AQ528" t="s">
        <v>2394</v>
      </c>
      <c r="AR528" t="s">
        <v>2397</v>
      </c>
    </row>
    <row r="529" spans="1:44" x14ac:dyDescent="0.3">
      <c r="A529">
        <v>3869</v>
      </c>
      <c r="B529">
        <v>4</v>
      </c>
      <c r="C529">
        <v>4023395</v>
      </c>
      <c r="D529">
        <v>23020</v>
      </c>
      <c r="E529">
        <v>2</v>
      </c>
      <c r="F529">
        <v>670050</v>
      </c>
      <c r="G529" t="s">
        <v>88</v>
      </c>
      <c r="H529" t="s">
        <v>43</v>
      </c>
      <c r="I529">
        <v>0</v>
      </c>
      <c r="J529" s="1">
        <v>405263.67</v>
      </c>
      <c r="K529" s="1">
        <v>280980.30099999998</v>
      </c>
      <c r="L529" s="1">
        <v>405149.49900000001</v>
      </c>
      <c r="M529" s="1">
        <v>280979.89600000001</v>
      </c>
      <c r="N529" t="s">
        <v>40</v>
      </c>
      <c r="P529" t="s">
        <v>40</v>
      </c>
      <c r="Q529">
        <v>0</v>
      </c>
      <c r="R529">
        <v>0</v>
      </c>
      <c r="S529">
        <v>0</v>
      </c>
      <c r="T529">
        <v>6</v>
      </c>
      <c r="U529">
        <v>6</v>
      </c>
      <c r="V529">
        <v>1</v>
      </c>
      <c r="W529">
        <v>1</v>
      </c>
      <c r="X529" t="s">
        <v>40</v>
      </c>
      <c r="Y529">
        <v>3</v>
      </c>
      <c r="Z529">
        <v>92</v>
      </c>
      <c r="AA529">
        <v>99</v>
      </c>
      <c r="AB529">
        <v>0</v>
      </c>
      <c r="AC529">
        <v>127.578</v>
      </c>
      <c r="AD529">
        <v>5059</v>
      </c>
      <c r="AH529">
        <v>0</v>
      </c>
      <c r="AI529">
        <v>0</v>
      </c>
      <c r="AL529" t="s">
        <v>40</v>
      </c>
      <c r="AM529" t="str">
        <f t="shared" si="42"/>
        <v>92 99</v>
      </c>
      <c r="AN529" t="str">
        <f t="shared" si="43"/>
        <v>405263.67,280980.301</v>
      </c>
      <c r="AO529" t="str">
        <f t="shared" si="44"/>
        <v>405149.499,280979.896</v>
      </c>
      <c r="AQ529" t="s">
        <v>2397</v>
      </c>
      <c r="AR529" t="s">
        <v>2398</v>
      </c>
    </row>
    <row r="530" spans="1:44" x14ac:dyDescent="0.3">
      <c r="A530">
        <v>3869</v>
      </c>
      <c r="B530">
        <v>4</v>
      </c>
      <c r="C530">
        <v>4019211</v>
      </c>
      <c r="D530">
        <v>18672</v>
      </c>
      <c r="E530">
        <v>2</v>
      </c>
      <c r="F530">
        <v>670050</v>
      </c>
      <c r="G530" t="s">
        <v>88</v>
      </c>
      <c r="H530" t="s">
        <v>50</v>
      </c>
      <c r="I530">
        <v>0</v>
      </c>
      <c r="J530" s="1">
        <v>407823.01899999997</v>
      </c>
      <c r="K530" s="1">
        <v>282651.06800000003</v>
      </c>
      <c r="L530" s="1">
        <v>407824.01899999997</v>
      </c>
      <c r="M530" s="1">
        <v>282649.64500000002</v>
      </c>
      <c r="N530" t="s">
        <v>40</v>
      </c>
      <c r="P530" t="s">
        <v>40</v>
      </c>
      <c r="Q530">
        <v>0</v>
      </c>
      <c r="R530">
        <v>0</v>
      </c>
      <c r="S530">
        <v>200308</v>
      </c>
      <c r="T530">
        <v>6</v>
      </c>
      <c r="U530">
        <v>6</v>
      </c>
      <c r="V530">
        <v>1</v>
      </c>
      <c r="W530">
        <v>3</v>
      </c>
      <c r="X530" t="s">
        <v>40</v>
      </c>
      <c r="Y530">
        <v>3</v>
      </c>
      <c r="Z530">
        <v>5017</v>
      </c>
      <c r="AA530">
        <v>1</v>
      </c>
      <c r="AB530">
        <v>0</v>
      </c>
      <c r="AC530">
        <v>3.512</v>
      </c>
      <c r="AD530">
        <v>5059</v>
      </c>
      <c r="AH530">
        <v>0</v>
      </c>
      <c r="AI530">
        <v>0</v>
      </c>
      <c r="AL530" t="s">
        <v>40</v>
      </c>
      <c r="AM530" t="str">
        <f t="shared" si="42"/>
        <v>5017 1</v>
      </c>
      <c r="AN530" s="6" t="s">
        <v>407</v>
      </c>
      <c r="AO530" s="6" t="s">
        <v>1224</v>
      </c>
      <c r="AQ530" t="s">
        <v>751</v>
      </c>
      <c r="AR530" t="s">
        <v>2399</v>
      </c>
    </row>
    <row r="531" spans="1:44" x14ac:dyDescent="0.3">
      <c r="A531">
        <v>3869</v>
      </c>
      <c r="B531">
        <v>4</v>
      </c>
      <c r="C531">
        <v>4027664</v>
      </c>
      <c r="D531">
        <v>24963</v>
      </c>
      <c r="E531">
        <v>2</v>
      </c>
      <c r="F531">
        <v>670050</v>
      </c>
      <c r="G531" t="s">
        <v>88</v>
      </c>
      <c r="H531" t="s">
        <v>51</v>
      </c>
      <c r="I531">
        <v>0</v>
      </c>
      <c r="J531" s="1">
        <v>407517.75599999999</v>
      </c>
      <c r="K531" s="1">
        <v>281848.51299999998</v>
      </c>
      <c r="L531" s="1">
        <v>407395.92</v>
      </c>
      <c r="M531" s="1">
        <v>281846.44300000003</v>
      </c>
      <c r="N531" t="s">
        <v>40</v>
      </c>
      <c r="P531" t="s">
        <v>40</v>
      </c>
      <c r="Q531">
        <v>0</v>
      </c>
      <c r="R531">
        <v>0</v>
      </c>
      <c r="S531">
        <v>0</v>
      </c>
      <c r="T531">
        <v>6</v>
      </c>
      <c r="U531">
        <v>6</v>
      </c>
      <c r="V531">
        <v>1</v>
      </c>
      <c r="W531">
        <v>1</v>
      </c>
      <c r="X531" t="s">
        <v>40</v>
      </c>
      <c r="Y531">
        <v>3</v>
      </c>
      <c r="Z531">
        <v>90</v>
      </c>
      <c r="AA531">
        <v>1</v>
      </c>
      <c r="AB531">
        <v>0</v>
      </c>
      <c r="AC531">
        <v>121.983</v>
      </c>
      <c r="AD531">
        <v>5059</v>
      </c>
      <c r="AH531">
        <v>0</v>
      </c>
      <c r="AI531">
        <v>0</v>
      </c>
      <c r="AL531" t="s">
        <v>40</v>
      </c>
      <c r="AM531" t="str">
        <f t="shared" si="42"/>
        <v>90 1</v>
      </c>
      <c r="AN531" t="str">
        <f t="shared" si="43"/>
        <v>407517.756,281848.513</v>
      </c>
      <c r="AO531" t="str">
        <f t="shared" si="44"/>
        <v>407395.92,281846.443</v>
      </c>
      <c r="AQ531" t="s">
        <v>2400</v>
      </c>
      <c r="AR531" t="s">
        <v>2401</v>
      </c>
    </row>
    <row r="532" spans="1:44" x14ac:dyDescent="0.3">
      <c r="A532">
        <v>3869</v>
      </c>
      <c r="B532">
        <v>4</v>
      </c>
      <c r="C532">
        <v>4019254</v>
      </c>
      <c r="D532">
        <v>18809</v>
      </c>
      <c r="E532">
        <v>2</v>
      </c>
      <c r="F532">
        <v>670050</v>
      </c>
      <c r="G532" t="s">
        <v>88</v>
      </c>
      <c r="H532" t="s">
        <v>50</v>
      </c>
      <c r="I532">
        <v>0</v>
      </c>
      <c r="J532" s="1">
        <v>407979.62699999998</v>
      </c>
      <c r="K532" s="1">
        <v>282832.49800000002</v>
      </c>
      <c r="L532" s="1">
        <v>407980.01799999998</v>
      </c>
      <c r="M532" s="1">
        <v>282832.05499999999</v>
      </c>
      <c r="N532" t="s">
        <v>40</v>
      </c>
      <c r="P532" t="s">
        <v>81</v>
      </c>
      <c r="Q532">
        <v>0</v>
      </c>
      <c r="R532">
        <v>0</v>
      </c>
      <c r="S532">
        <v>0</v>
      </c>
      <c r="T532">
        <v>6</v>
      </c>
      <c r="U532">
        <v>6</v>
      </c>
      <c r="V532">
        <v>1</v>
      </c>
      <c r="W532">
        <v>3</v>
      </c>
      <c r="X532" t="s">
        <v>40</v>
      </c>
      <c r="Y532">
        <v>3</v>
      </c>
      <c r="Z532">
        <v>169</v>
      </c>
      <c r="AA532">
        <v>99</v>
      </c>
      <c r="AB532">
        <v>0</v>
      </c>
      <c r="AC532">
        <v>0.59099999999999997</v>
      </c>
      <c r="AD532">
        <v>5059</v>
      </c>
      <c r="AH532">
        <v>0</v>
      </c>
      <c r="AI532">
        <v>0</v>
      </c>
      <c r="AL532" t="s">
        <v>40</v>
      </c>
      <c r="AM532" t="str">
        <f t="shared" si="42"/>
        <v>169 99</v>
      </c>
      <c r="AN532" t="str">
        <f t="shared" si="43"/>
        <v>407979.627,282832.498</v>
      </c>
      <c r="AO532" t="str">
        <f t="shared" si="44"/>
        <v>407980.018,282832.055</v>
      </c>
      <c r="AQ532" t="s">
        <v>2402</v>
      </c>
      <c r="AR532" t="s">
        <v>2402</v>
      </c>
    </row>
    <row r="533" spans="1:44" x14ac:dyDescent="0.3">
      <c r="A533">
        <v>3869</v>
      </c>
      <c r="B533">
        <v>4</v>
      </c>
      <c r="C533">
        <v>4021082</v>
      </c>
      <c r="D533">
        <v>18815</v>
      </c>
      <c r="E533">
        <v>2</v>
      </c>
      <c r="F533">
        <v>670050</v>
      </c>
      <c r="G533" t="s">
        <v>88</v>
      </c>
      <c r="H533" t="s">
        <v>89</v>
      </c>
      <c r="I533">
        <v>0</v>
      </c>
      <c r="J533" s="1">
        <v>408118.38699999999</v>
      </c>
      <c r="K533" s="1">
        <v>282581.98</v>
      </c>
      <c r="L533" s="1">
        <v>408116.37900000002</v>
      </c>
      <c r="M533" s="1">
        <v>282587.06699999998</v>
      </c>
      <c r="N533" t="s">
        <v>40</v>
      </c>
      <c r="P533" t="s">
        <v>40</v>
      </c>
      <c r="Q533">
        <v>0</v>
      </c>
      <c r="R533">
        <v>0</v>
      </c>
      <c r="S533">
        <v>0</v>
      </c>
      <c r="T533">
        <v>6</v>
      </c>
      <c r="U533">
        <v>6</v>
      </c>
      <c r="V533">
        <v>1</v>
      </c>
      <c r="W533">
        <v>1</v>
      </c>
      <c r="X533" t="s">
        <v>40</v>
      </c>
      <c r="Y533">
        <v>3</v>
      </c>
      <c r="Z533">
        <v>90</v>
      </c>
      <c r="AA533">
        <v>1</v>
      </c>
      <c r="AB533">
        <v>0</v>
      </c>
      <c r="AC533">
        <v>303.34399999999999</v>
      </c>
      <c r="AD533">
        <v>5059</v>
      </c>
      <c r="AH533">
        <v>0</v>
      </c>
      <c r="AI533">
        <v>0</v>
      </c>
      <c r="AL533" t="s">
        <v>40</v>
      </c>
      <c r="AM533" t="str">
        <f t="shared" si="42"/>
        <v>90 1</v>
      </c>
      <c r="AN533" s="6" t="s">
        <v>1202</v>
      </c>
      <c r="AO533" s="6" t="s">
        <v>1213</v>
      </c>
      <c r="AQ533" t="s">
        <v>2380</v>
      </c>
      <c r="AR533" t="s">
        <v>2392</v>
      </c>
    </row>
    <row r="534" spans="1:44" x14ac:dyDescent="0.3">
      <c r="A534">
        <v>3869</v>
      </c>
      <c r="B534">
        <v>4</v>
      </c>
      <c r="C534">
        <v>4019255</v>
      </c>
      <c r="D534">
        <v>18808</v>
      </c>
      <c r="E534">
        <v>2</v>
      </c>
      <c r="F534">
        <v>670050</v>
      </c>
      <c r="G534" t="s">
        <v>88</v>
      </c>
      <c r="H534" t="s">
        <v>50</v>
      </c>
      <c r="I534">
        <v>0</v>
      </c>
      <c r="J534" s="1">
        <v>407979.93300000002</v>
      </c>
      <c r="K534" s="1">
        <v>282832.75599999999</v>
      </c>
      <c r="L534" s="1">
        <v>407980.31800000003</v>
      </c>
      <c r="M534" s="1">
        <v>282832.32</v>
      </c>
      <c r="N534" t="s">
        <v>40</v>
      </c>
      <c r="P534" t="s">
        <v>81</v>
      </c>
      <c r="Q534">
        <v>0</v>
      </c>
      <c r="R534">
        <v>0</v>
      </c>
      <c r="S534">
        <v>0</v>
      </c>
      <c r="T534">
        <v>6</v>
      </c>
      <c r="U534">
        <v>6</v>
      </c>
      <c r="V534">
        <v>1</v>
      </c>
      <c r="W534">
        <v>3</v>
      </c>
      <c r="X534" t="s">
        <v>40</v>
      </c>
      <c r="Y534">
        <v>3</v>
      </c>
      <c r="Z534">
        <v>169</v>
      </c>
      <c r="AA534">
        <v>99</v>
      </c>
      <c r="AB534">
        <v>0</v>
      </c>
      <c r="AC534">
        <v>0.58199999999999996</v>
      </c>
      <c r="AD534">
        <v>5059</v>
      </c>
      <c r="AH534">
        <v>0</v>
      </c>
      <c r="AI534">
        <v>0</v>
      </c>
      <c r="AL534" t="s">
        <v>40</v>
      </c>
      <c r="AM534" t="str">
        <f t="shared" si="42"/>
        <v>169 99</v>
      </c>
      <c r="AN534" t="str">
        <f t="shared" si="43"/>
        <v>407979.933,282832.756</v>
      </c>
      <c r="AO534" t="str">
        <f t="shared" si="44"/>
        <v>407980.318,282832.32</v>
      </c>
      <c r="AQ534" t="s">
        <v>2403</v>
      </c>
      <c r="AR534" t="s">
        <v>2403</v>
      </c>
    </row>
    <row r="535" spans="1:44" x14ac:dyDescent="0.3">
      <c r="A535">
        <v>3869</v>
      </c>
      <c r="B535">
        <v>4</v>
      </c>
      <c r="C535">
        <v>4019250</v>
      </c>
      <c r="D535">
        <v>43284</v>
      </c>
      <c r="E535">
        <v>2</v>
      </c>
      <c r="F535">
        <v>670050</v>
      </c>
      <c r="G535" t="s">
        <v>88</v>
      </c>
      <c r="H535" t="s">
        <v>50</v>
      </c>
      <c r="I535">
        <v>0</v>
      </c>
      <c r="J535" s="1">
        <v>407985.99699999997</v>
      </c>
      <c r="K535" s="1">
        <v>282843.77500000002</v>
      </c>
      <c r="L535" s="1">
        <v>407977.53399999999</v>
      </c>
      <c r="M535" s="1">
        <v>282836.06</v>
      </c>
      <c r="N535" t="s">
        <v>40</v>
      </c>
      <c r="P535" t="s">
        <v>40</v>
      </c>
      <c r="Q535">
        <v>0</v>
      </c>
      <c r="R535">
        <v>0</v>
      </c>
      <c r="S535">
        <v>0</v>
      </c>
      <c r="T535">
        <v>6</v>
      </c>
      <c r="U535">
        <v>6</v>
      </c>
      <c r="V535">
        <v>1</v>
      </c>
      <c r="W535">
        <v>1</v>
      </c>
      <c r="X535" t="s">
        <v>40</v>
      </c>
      <c r="Y535">
        <v>3</v>
      </c>
      <c r="Z535">
        <v>90</v>
      </c>
      <c r="AA535">
        <v>1</v>
      </c>
      <c r="AB535">
        <v>0</v>
      </c>
      <c r="AC535">
        <v>73.834999999999994</v>
      </c>
      <c r="AD535">
        <v>5059</v>
      </c>
      <c r="AH535">
        <v>0</v>
      </c>
      <c r="AI535">
        <v>0</v>
      </c>
      <c r="AL535" t="s">
        <v>40</v>
      </c>
      <c r="AM535" t="str">
        <f t="shared" si="42"/>
        <v>90 1</v>
      </c>
      <c r="AN535" s="6" t="s">
        <v>416</v>
      </c>
      <c r="AO535" s="6" t="s">
        <v>1206</v>
      </c>
      <c r="AQ535" t="s">
        <v>754</v>
      </c>
      <c r="AR535" t="s">
        <v>2381</v>
      </c>
    </row>
    <row r="536" spans="1:44" x14ac:dyDescent="0.3">
      <c r="A536">
        <v>3869</v>
      </c>
      <c r="B536">
        <v>4</v>
      </c>
      <c r="C536">
        <v>4019115</v>
      </c>
      <c r="D536">
        <v>41628</v>
      </c>
      <c r="E536">
        <v>2</v>
      </c>
      <c r="F536">
        <v>670050</v>
      </c>
      <c r="G536" t="s">
        <v>88</v>
      </c>
      <c r="H536" t="s">
        <v>50</v>
      </c>
      <c r="I536">
        <v>0</v>
      </c>
      <c r="J536" s="1">
        <v>407617.011</v>
      </c>
      <c r="K536" s="1">
        <v>282138.72700000001</v>
      </c>
      <c r="L536" s="1">
        <v>407615.15500000003</v>
      </c>
      <c r="M536" s="1">
        <v>282136.61599999998</v>
      </c>
      <c r="N536" t="s">
        <v>40</v>
      </c>
      <c r="P536" t="s">
        <v>40</v>
      </c>
      <c r="Q536">
        <v>0</v>
      </c>
      <c r="R536">
        <v>0</v>
      </c>
      <c r="S536">
        <v>0</v>
      </c>
      <c r="T536">
        <v>6</v>
      </c>
      <c r="U536">
        <v>6</v>
      </c>
      <c r="V536">
        <v>1</v>
      </c>
      <c r="W536">
        <v>3</v>
      </c>
      <c r="X536" t="s">
        <v>40</v>
      </c>
      <c r="Y536">
        <v>3</v>
      </c>
      <c r="Z536">
        <v>89</v>
      </c>
      <c r="AA536">
        <v>1</v>
      </c>
      <c r="AB536">
        <v>0</v>
      </c>
      <c r="AC536">
        <v>317.99299999999999</v>
      </c>
      <c r="AD536">
        <v>5059</v>
      </c>
      <c r="AH536">
        <v>0</v>
      </c>
      <c r="AI536">
        <v>0</v>
      </c>
      <c r="AL536" t="s">
        <v>40</v>
      </c>
      <c r="AM536" t="str">
        <f t="shared" si="42"/>
        <v>89 1</v>
      </c>
      <c r="AN536" s="6" t="s">
        <v>414</v>
      </c>
      <c r="AO536" s="6" t="s">
        <v>397</v>
      </c>
      <c r="AQ536" t="s">
        <v>754</v>
      </c>
      <c r="AR536" t="s">
        <v>748</v>
      </c>
    </row>
    <row r="537" spans="1:44" x14ac:dyDescent="0.3">
      <c r="A537">
        <v>3869</v>
      </c>
      <c r="B537">
        <v>4</v>
      </c>
      <c r="C537">
        <v>4027665</v>
      </c>
      <c r="D537">
        <v>24396</v>
      </c>
      <c r="E537">
        <v>2</v>
      </c>
      <c r="F537">
        <v>670050</v>
      </c>
      <c r="G537" t="s">
        <v>88</v>
      </c>
      <c r="H537" t="s">
        <v>51</v>
      </c>
      <c r="I537">
        <v>0</v>
      </c>
      <c r="J537" s="1">
        <v>407387.42700000003</v>
      </c>
      <c r="K537" s="1">
        <v>281751.10800000001</v>
      </c>
      <c r="L537" s="1">
        <v>407395.92</v>
      </c>
      <c r="M537" s="1">
        <v>281846.44300000003</v>
      </c>
      <c r="N537" t="s">
        <v>40</v>
      </c>
      <c r="P537" t="s">
        <v>40</v>
      </c>
      <c r="Q537">
        <v>0</v>
      </c>
      <c r="R537">
        <v>0</v>
      </c>
      <c r="S537">
        <v>0</v>
      </c>
      <c r="T537">
        <v>6</v>
      </c>
      <c r="U537">
        <v>6</v>
      </c>
      <c r="V537">
        <v>1</v>
      </c>
      <c r="W537">
        <v>1</v>
      </c>
      <c r="X537" t="s">
        <v>40</v>
      </c>
      <c r="Y537">
        <v>3</v>
      </c>
      <c r="Z537">
        <v>40</v>
      </c>
      <c r="AA537">
        <v>5001</v>
      </c>
      <c r="AB537">
        <v>0</v>
      </c>
      <c r="AC537">
        <v>109.45099999999999</v>
      </c>
      <c r="AD537">
        <v>5059</v>
      </c>
      <c r="AH537">
        <v>0</v>
      </c>
      <c r="AI537">
        <v>0</v>
      </c>
      <c r="AL537" t="s">
        <v>40</v>
      </c>
      <c r="AM537" t="str">
        <f t="shared" si="42"/>
        <v>40 5001</v>
      </c>
      <c r="AN537" t="str">
        <f t="shared" si="43"/>
        <v>407387.427,281751.108</v>
      </c>
      <c r="AO537" t="str">
        <f t="shared" si="44"/>
        <v>407395.92,281846.443</v>
      </c>
      <c r="AQ537" t="s">
        <v>2404</v>
      </c>
      <c r="AR537" t="s">
        <v>2401</v>
      </c>
    </row>
    <row r="538" spans="1:44" x14ac:dyDescent="0.3">
      <c r="A538">
        <v>3869</v>
      </c>
      <c r="B538">
        <v>4</v>
      </c>
      <c r="C538">
        <v>4027668</v>
      </c>
      <c r="D538">
        <v>24401</v>
      </c>
      <c r="E538">
        <v>2</v>
      </c>
      <c r="F538">
        <v>670050</v>
      </c>
      <c r="G538" t="s">
        <v>88</v>
      </c>
      <c r="H538" t="s">
        <v>51</v>
      </c>
      <c r="I538">
        <v>0</v>
      </c>
      <c r="J538" s="1">
        <v>407424.28</v>
      </c>
      <c r="K538" s="1">
        <v>281748.527</v>
      </c>
      <c r="L538" s="1">
        <v>407387.42700000003</v>
      </c>
      <c r="M538" s="1">
        <v>281751.10800000001</v>
      </c>
      <c r="N538" t="s">
        <v>40</v>
      </c>
      <c r="P538" t="s">
        <v>40</v>
      </c>
      <c r="Q538">
        <v>0</v>
      </c>
      <c r="R538">
        <v>0</v>
      </c>
      <c r="S538">
        <v>0</v>
      </c>
      <c r="T538">
        <v>6</v>
      </c>
      <c r="U538">
        <v>6</v>
      </c>
      <c r="V538">
        <v>1</v>
      </c>
      <c r="W538">
        <v>2</v>
      </c>
      <c r="X538" t="s">
        <v>40</v>
      </c>
      <c r="Y538">
        <v>3</v>
      </c>
      <c r="Z538">
        <v>92</v>
      </c>
      <c r="AA538">
        <v>1</v>
      </c>
      <c r="AB538">
        <v>0</v>
      </c>
      <c r="AC538">
        <v>36.942999999999998</v>
      </c>
      <c r="AD538">
        <v>5059</v>
      </c>
      <c r="AH538">
        <v>0</v>
      </c>
      <c r="AI538">
        <v>0</v>
      </c>
      <c r="AL538" t="s">
        <v>40</v>
      </c>
      <c r="AM538" t="str">
        <f t="shared" si="42"/>
        <v>92 1</v>
      </c>
      <c r="AN538" t="str">
        <f t="shared" si="43"/>
        <v>407424.28,281748.527</v>
      </c>
      <c r="AO538" t="str">
        <f t="shared" si="44"/>
        <v>407387.427,281751.108</v>
      </c>
      <c r="AQ538" t="s">
        <v>2377</v>
      </c>
      <c r="AR538" t="s">
        <v>2404</v>
      </c>
    </row>
    <row r="539" spans="1:44" x14ac:dyDescent="0.3">
      <c r="A539">
        <v>3869</v>
      </c>
      <c r="B539">
        <v>4</v>
      </c>
      <c r="C539">
        <v>4027600</v>
      </c>
      <c r="D539">
        <v>23938</v>
      </c>
      <c r="E539">
        <v>2</v>
      </c>
      <c r="F539">
        <v>670050</v>
      </c>
      <c r="G539" t="s">
        <v>88</v>
      </c>
      <c r="H539" t="s">
        <v>51</v>
      </c>
      <c r="I539">
        <v>0</v>
      </c>
      <c r="J539" s="1">
        <v>407365.67</v>
      </c>
      <c r="K539" s="1">
        <v>281519.495</v>
      </c>
      <c r="L539" s="1">
        <v>407312.56300000002</v>
      </c>
      <c r="M539" s="1">
        <v>281515.25900000002</v>
      </c>
      <c r="N539" t="s">
        <v>40</v>
      </c>
      <c r="P539" t="s">
        <v>40</v>
      </c>
      <c r="Q539">
        <v>0</v>
      </c>
      <c r="R539">
        <v>0</v>
      </c>
      <c r="S539">
        <v>0</v>
      </c>
      <c r="T539">
        <v>6</v>
      </c>
      <c r="U539">
        <v>6</v>
      </c>
      <c r="V539">
        <v>1</v>
      </c>
      <c r="W539">
        <v>1</v>
      </c>
      <c r="X539" t="s">
        <v>40</v>
      </c>
      <c r="Y539">
        <v>3</v>
      </c>
      <c r="Z539">
        <v>92</v>
      </c>
      <c r="AA539">
        <v>1</v>
      </c>
      <c r="AB539">
        <v>0</v>
      </c>
      <c r="AC539">
        <v>59.118000000000002</v>
      </c>
      <c r="AD539">
        <v>5059</v>
      </c>
      <c r="AH539">
        <v>0</v>
      </c>
      <c r="AI539">
        <v>0</v>
      </c>
      <c r="AL539" t="s">
        <v>40</v>
      </c>
      <c r="AM539" t="str">
        <f t="shared" si="42"/>
        <v>92 1</v>
      </c>
      <c r="AN539" t="str">
        <f t="shared" si="43"/>
        <v>407365.67,281519.495</v>
      </c>
      <c r="AO539" t="str">
        <f t="shared" si="44"/>
        <v>407312.563,281515.259</v>
      </c>
      <c r="AQ539" t="s">
        <v>2405</v>
      </c>
      <c r="AR539" t="s">
        <v>756</v>
      </c>
    </row>
    <row r="540" spans="1:44" x14ac:dyDescent="0.3">
      <c r="A540">
        <v>3869</v>
      </c>
      <c r="B540">
        <v>4</v>
      </c>
      <c r="C540">
        <v>4027614</v>
      </c>
      <c r="D540">
        <v>23855</v>
      </c>
      <c r="E540">
        <v>2</v>
      </c>
      <c r="F540">
        <v>670050</v>
      </c>
      <c r="G540" t="s">
        <v>88</v>
      </c>
      <c r="H540" t="s">
        <v>51</v>
      </c>
      <c r="I540">
        <v>0</v>
      </c>
      <c r="J540" s="1">
        <v>407355.196</v>
      </c>
      <c r="K540" s="1">
        <v>281604.03600000002</v>
      </c>
      <c r="L540" s="1">
        <v>407365.67</v>
      </c>
      <c r="M540" s="1">
        <v>281519.495</v>
      </c>
      <c r="N540" t="s">
        <v>40</v>
      </c>
      <c r="P540" t="s">
        <v>40</v>
      </c>
      <c r="Q540">
        <v>0</v>
      </c>
      <c r="R540">
        <v>0</v>
      </c>
      <c r="S540">
        <v>0</v>
      </c>
      <c r="T540">
        <v>6</v>
      </c>
      <c r="U540">
        <v>6</v>
      </c>
      <c r="V540">
        <v>1</v>
      </c>
      <c r="W540">
        <v>1</v>
      </c>
      <c r="X540" t="s">
        <v>40</v>
      </c>
      <c r="Y540">
        <v>3</v>
      </c>
      <c r="Z540">
        <v>93</v>
      </c>
      <c r="AA540">
        <v>1</v>
      </c>
      <c r="AB540">
        <v>0</v>
      </c>
      <c r="AC540">
        <v>110.111</v>
      </c>
      <c r="AD540">
        <v>5059</v>
      </c>
      <c r="AH540">
        <v>0</v>
      </c>
      <c r="AI540">
        <v>0</v>
      </c>
      <c r="AL540" t="s">
        <v>40</v>
      </c>
      <c r="AM540" t="str">
        <f t="shared" si="42"/>
        <v>93 1</v>
      </c>
      <c r="AN540" s="6" t="s">
        <v>1225</v>
      </c>
      <c r="AO540" s="6" t="s">
        <v>1229</v>
      </c>
      <c r="AQ540" t="s">
        <v>2405</v>
      </c>
      <c r="AR540" t="s">
        <v>2406</v>
      </c>
    </row>
    <row r="541" spans="1:44" x14ac:dyDescent="0.3">
      <c r="A541">
        <v>3869</v>
      </c>
      <c r="B541">
        <v>4</v>
      </c>
      <c r="C541">
        <v>4027571</v>
      </c>
      <c r="D541">
        <v>23953</v>
      </c>
      <c r="E541">
        <v>2</v>
      </c>
      <c r="F541">
        <v>670050</v>
      </c>
      <c r="G541" t="s">
        <v>88</v>
      </c>
      <c r="H541" t="s">
        <v>51</v>
      </c>
      <c r="I541">
        <v>0</v>
      </c>
      <c r="J541" s="1">
        <v>407366.00199999998</v>
      </c>
      <c r="K541" s="1">
        <v>281508.33799999999</v>
      </c>
      <c r="L541" s="1">
        <v>407371.364</v>
      </c>
      <c r="M541" s="1">
        <v>281396.76400000002</v>
      </c>
      <c r="N541" t="s">
        <v>40</v>
      </c>
      <c r="P541" t="s">
        <v>40</v>
      </c>
      <c r="Q541">
        <v>0</v>
      </c>
      <c r="R541">
        <v>0</v>
      </c>
      <c r="S541">
        <v>0</v>
      </c>
      <c r="T541">
        <v>6</v>
      </c>
      <c r="U541">
        <v>6</v>
      </c>
      <c r="V541">
        <v>1</v>
      </c>
      <c r="W541">
        <v>1</v>
      </c>
      <c r="X541" t="s">
        <v>40</v>
      </c>
      <c r="Y541">
        <v>3</v>
      </c>
      <c r="Z541">
        <v>93</v>
      </c>
      <c r="AA541">
        <v>1</v>
      </c>
      <c r="AB541">
        <v>0</v>
      </c>
      <c r="AC541">
        <v>111.72799999999999</v>
      </c>
      <c r="AD541">
        <v>5059</v>
      </c>
      <c r="AH541">
        <v>0</v>
      </c>
      <c r="AI541">
        <v>0</v>
      </c>
      <c r="AL541" t="s">
        <v>40</v>
      </c>
      <c r="AM541" t="str">
        <f t="shared" si="42"/>
        <v>93 1</v>
      </c>
      <c r="AN541" t="str">
        <f t="shared" si="43"/>
        <v>407366.002,281508.338</v>
      </c>
      <c r="AO541" t="str">
        <f t="shared" si="44"/>
        <v>407371.364,281396.764</v>
      </c>
      <c r="AQ541" t="s">
        <v>2407</v>
      </c>
      <c r="AR541" t="s">
        <v>2408</v>
      </c>
    </row>
    <row r="542" spans="1:44" x14ac:dyDescent="0.3">
      <c r="A542">
        <v>3869</v>
      </c>
      <c r="B542">
        <v>4</v>
      </c>
      <c r="C542">
        <v>4019258</v>
      </c>
      <c r="D542">
        <v>43299</v>
      </c>
      <c r="E542">
        <v>2</v>
      </c>
      <c r="F542">
        <v>670050</v>
      </c>
      <c r="G542" t="s">
        <v>88</v>
      </c>
      <c r="H542" t="s">
        <v>50</v>
      </c>
      <c r="I542">
        <v>0</v>
      </c>
      <c r="J542" s="1">
        <v>407976.71799999999</v>
      </c>
      <c r="K542" s="1">
        <v>282835.39199999999</v>
      </c>
      <c r="L542" s="1">
        <v>407980.40899999999</v>
      </c>
      <c r="M542" s="1">
        <v>282831.90000000002</v>
      </c>
      <c r="N542" t="s">
        <v>40</v>
      </c>
      <c r="P542" t="s">
        <v>40</v>
      </c>
      <c r="Q542">
        <v>0</v>
      </c>
      <c r="R542">
        <v>0</v>
      </c>
      <c r="S542">
        <v>0</v>
      </c>
      <c r="T542">
        <v>6</v>
      </c>
      <c r="U542">
        <v>6</v>
      </c>
      <c r="V542">
        <v>1</v>
      </c>
      <c r="W542">
        <v>3</v>
      </c>
      <c r="X542" t="s">
        <v>40</v>
      </c>
      <c r="Y542">
        <v>3</v>
      </c>
      <c r="Z542">
        <v>169</v>
      </c>
      <c r="AA542">
        <v>1</v>
      </c>
      <c r="AB542">
        <v>0</v>
      </c>
      <c r="AC542">
        <v>11.864000000000001</v>
      </c>
      <c r="AD542">
        <v>5059</v>
      </c>
      <c r="AH542">
        <v>0</v>
      </c>
      <c r="AI542">
        <v>0</v>
      </c>
      <c r="AL542" t="s">
        <v>40</v>
      </c>
      <c r="AM542" t="str">
        <f t="shared" si="42"/>
        <v>169 1</v>
      </c>
      <c r="AN542" t="str">
        <f t="shared" si="43"/>
        <v>407976.718,282835.392</v>
      </c>
      <c r="AO542" t="str">
        <f t="shared" si="44"/>
        <v>407980.409,282831.9</v>
      </c>
      <c r="AQ542" t="s">
        <v>1897</v>
      </c>
      <c r="AR542" t="s">
        <v>755</v>
      </c>
    </row>
    <row r="543" spans="1:44" x14ac:dyDescent="0.3">
      <c r="A543">
        <v>3869</v>
      </c>
      <c r="B543">
        <v>4</v>
      </c>
      <c r="C543">
        <v>4027557</v>
      </c>
      <c r="D543">
        <v>23752</v>
      </c>
      <c r="E543">
        <v>2</v>
      </c>
      <c r="F543">
        <v>670050</v>
      </c>
      <c r="G543" t="s">
        <v>88</v>
      </c>
      <c r="H543" t="s">
        <v>51</v>
      </c>
      <c r="I543">
        <v>0</v>
      </c>
      <c r="J543" s="1">
        <v>407371.364</v>
      </c>
      <c r="K543" s="1">
        <v>281396.76400000002</v>
      </c>
      <c r="L543" s="1">
        <v>407401.99400000001</v>
      </c>
      <c r="M543" s="1">
        <v>281400.89500000002</v>
      </c>
      <c r="N543" t="s">
        <v>40</v>
      </c>
      <c r="P543" t="s">
        <v>40</v>
      </c>
      <c r="Q543">
        <v>0</v>
      </c>
      <c r="R543">
        <v>0</v>
      </c>
      <c r="S543">
        <v>0</v>
      </c>
      <c r="T543">
        <v>6</v>
      </c>
      <c r="U543">
        <v>6</v>
      </c>
      <c r="V543">
        <v>1</v>
      </c>
      <c r="W543">
        <v>1</v>
      </c>
      <c r="X543" t="s">
        <v>40</v>
      </c>
      <c r="Y543">
        <v>3</v>
      </c>
      <c r="Z543">
        <v>92</v>
      </c>
      <c r="AA543">
        <v>1</v>
      </c>
      <c r="AB543">
        <v>0</v>
      </c>
      <c r="AC543">
        <v>34.816000000000003</v>
      </c>
      <c r="AD543">
        <v>5059</v>
      </c>
      <c r="AH543">
        <v>0</v>
      </c>
      <c r="AI543">
        <v>0</v>
      </c>
      <c r="AL543" t="s">
        <v>40</v>
      </c>
      <c r="AM543" t="str">
        <f t="shared" si="42"/>
        <v>92 1</v>
      </c>
      <c r="AN543" t="str">
        <f t="shared" si="43"/>
        <v>407371.364,281396.764</v>
      </c>
      <c r="AO543" t="str">
        <f t="shared" si="44"/>
        <v>407401.994,281400.895</v>
      </c>
      <c r="AQ543" t="s">
        <v>2408</v>
      </c>
      <c r="AR543" t="s">
        <v>751</v>
      </c>
    </row>
    <row r="544" spans="1:44" x14ac:dyDescent="0.3">
      <c r="A544">
        <v>3869</v>
      </c>
      <c r="B544">
        <v>4</v>
      </c>
      <c r="C544">
        <v>4027572</v>
      </c>
      <c r="D544">
        <v>23937</v>
      </c>
      <c r="E544">
        <v>2</v>
      </c>
      <c r="F544">
        <v>670050</v>
      </c>
      <c r="G544" t="s">
        <v>88</v>
      </c>
      <c r="H544" t="s">
        <v>51</v>
      </c>
      <c r="I544">
        <v>0</v>
      </c>
      <c r="J544" s="1">
        <v>407312.54599999997</v>
      </c>
      <c r="K544" s="1">
        <v>281514.859</v>
      </c>
      <c r="L544" s="1">
        <v>407366.00199999998</v>
      </c>
      <c r="M544" s="1">
        <v>281508.33799999999</v>
      </c>
      <c r="N544" t="s">
        <v>40</v>
      </c>
      <c r="P544" t="s">
        <v>40</v>
      </c>
      <c r="Q544">
        <v>0</v>
      </c>
      <c r="R544">
        <v>0</v>
      </c>
      <c r="S544">
        <v>0</v>
      </c>
      <c r="T544">
        <v>6</v>
      </c>
      <c r="U544">
        <v>6</v>
      </c>
      <c r="V544">
        <v>1</v>
      </c>
      <c r="W544">
        <v>1</v>
      </c>
      <c r="X544" t="s">
        <v>40</v>
      </c>
      <c r="Y544">
        <v>3</v>
      </c>
      <c r="Z544">
        <v>92</v>
      </c>
      <c r="AA544">
        <v>1</v>
      </c>
      <c r="AB544">
        <v>0</v>
      </c>
      <c r="AC544">
        <v>57.835999999999999</v>
      </c>
      <c r="AD544">
        <v>5059</v>
      </c>
      <c r="AH544">
        <v>0</v>
      </c>
      <c r="AI544">
        <v>0</v>
      </c>
      <c r="AL544" t="s">
        <v>40</v>
      </c>
      <c r="AM544" t="str">
        <f t="shared" si="42"/>
        <v>92 1</v>
      </c>
      <c r="AN544" t="str">
        <f t="shared" si="43"/>
        <v>407312.546,281514.859</v>
      </c>
      <c r="AO544" t="str">
        <f t="shared" si="44"/>
        <v>407366.002,281508.338</v>
      </c>
      <c r="AQ544" t="s">
        <v>757</v>
      </c>
      <c r="AR544" t="s">
        <v>2407</v>
      </c>
    </row>
    <row r="545" spans="1:44" x14ac:dyDescent="0.3">
      <c r="A545">
        <v>3869</v>
      </c>
      <c r="B545">
        <v>4</v>
      </c>
      <c r="C545">
        <v>4027628</v>
      </c>
      <c r="D545">
        <v>24266</v>
      </c>
      <c r="E545">
        <v>2</v>
      </c>
      <c r="F545">
        <v>670050</v>
      </c>
      <c r="G545" t="s">
        <v>88</v>
      </c>
      <c r="H545" t="s">
        <v>51</v>
      </c>
      <c r="I545">
        <v>0</v>
      </c>
      <c r="J545" s="1">
        <v>407351.79800000001</v>
      </c>
      <c r="K545" s="1">
        <v>281624.30599999998</v>
      </c>
      <c r="L545" s="1">
        <v>407359.97399999999</v>
      </c>
      <c r="M545" s="1">
        <v>281655.266</v>
      </c>
      <c r="N545" t="s">
        <v>40</v>
      </c>
      <c r="P545" t="s">
        <v>40</v>
      </c>
      <c r="Q545">
        <v>0</v>
      </c>
      <c r="R545">
        <v>0</v>
      </c>
      <c r="S545">
        <v>0</v>
      </c>
      <c r="T545">
        <v>6</v>
      </c>
      <c r="U545">
        <v>6</v>
      </c>
      <c r="V545">
        <v>1</v>
      </c>
      <c r="W545">
        <v>1</v>
      </c>
      <c r="X545" t="s">
        <v>40</v>
      </c>
      <c r="Y545">
        <v>3</v>
      </c>
      <c r="Z545">
        <v>40</v>
      </c>
      <c r="AA545">
        <v>5001</v>
      </c>
      <c r="AB545">
        <v>0</v>
      </c>
      <c r="AC545">
        <v>37.43</v>
      </c>
      <c r="AD545">
        <v>5059</v>
      </c>
      <c r="AH545">
        <v>0</v>
      </c>
      <c r="AI545">
        <v>0</v>
      </c>
      <c r="AL545" t="s">
        <v>40</v>
      </c>
      <c r="AM545" t="str">
        <f t="shared" si="42"/>
        <v>40 5001</v>
      </c>
      <c r="AN545" t="str">
        <f t="shared" si="43"/>
        <v>407351.798,281624.306</v>
      </c>
      <c r="AO545" t="str">
        <f t="shared" si="44"/>
        <v>407359.974,281655.266</v>
      </c>
      <c r="AQ545" t="s">
        <v>2406</v>
      </c>
      <c r="AR545" t="s">
        <v>2409</v>
      </c>
    </row>
    <row r="546" spans="1:44" x14ac:dyDescent="0.3">
      <c r="A546">
        <v>3869</v>
      </c>
      <c r="B546">
        <v>4</v>
      </c>
      <c r="C546">
        <v>4027629</v>
      </c>
      <c r="D546">
        <v>24360</v>
      </c>
      <c r="E546">
        <v>2</v>
      </c>
      <c r="F546">
        <v>670050</v>
      </c>
      <c r="G546" t="s">
        <v>88</v>
      </c>
      <c r="H546" t="s">
        <v>51</v>
      </c>
      <c r="I546">
        <v>0</v>
      </c>
      <c r="J546" s="1">
        <v>407359.97399999999</v>
      </c>
      <c r="K546" s="1">
        <v>281655.266</v>
      </c>
      <c r="L546" s="1">
        <v>407387.42700000003</v>
      </c>
      <c r="M546" s="1">
        <v>281751.10800000001</v>
      </c>
      <c r="N546" t="s">
        <v>40</v>
      </c>
      <c r="P546" t="s">
        <v>40</v>
      </c>
      <c r="Q546">
        <v>0</v>
      </c>
      <c r="R546">
        <v>0</v>
      </c>
      <c r="S546">
        <v>0</v>
      </c>
      <c r="T546">
        <v>6</v>
      </c>
      <c r="U546">
        <v>6</v>
      </c>
      <c r="V546">
        <v>1</v>
      </c>
      <c r="W546">
        <v>1</v>
      </c>
      <c r="X546" t="s">
        <v>40</v>
      </c>
      <c r="Y546">
        <v>3</v>
      </c>
      <c r="Z546">
        <v>92</v>
      </c>
      <c r="AA546">
        <v>1</v>
      </c>
      <c r="AB546">
        <v>0</v>
      </c>
      <c r="AC546">
        <v>115.401</v>
      </c>
      <c r="AD546">
        <v>5059</v>
      </c>
      <c r="AH546">
        <v>0</v>
      </c>
      <c r="AI546">
        <v>0</v>
      </c>
      <c r="AL546" t="s">
        <v>40</v>
      </c>
      <c r="AM546" t="str">
        <f t="shared" si="42"/>
        <v>92 1</v>
      </c>
      <c r="AN546" t="str">
        <f t="shared" si="43"/>
        <v>407359.974,281655.266</v>
      </c>
      <c r="AO546" t="str">
        <f t="shared" si="44"/>
        <v>407387.427,281751.108</v>
      </c>
      <c r="AQ546" t="s">
        <v>2409</v>
      </c>
      <c r="AR546" t="s">
        <v>2404</v>
      </c>
    </row>
    <row r="547" spans="1:44" x14ac:dyDescent="0.3">
      <c r="A547">
        <v>3869</v>
      </c>
      <c r="B547">
        <v>4</v>
      </c>
      <c r="C547">
        <v>4027662</v>
      </c>
      <c r="D547">
        <v>24955</v>
      </c>
      <c r="E547">
        <v>2</v>
      </c>
      <c r="F547">
        <v>670050</v>
      </c>
      <c r="G547" t="s">
        <v>88</v>
      </c>
      <c r="H547" t="s">
        <v>51</v>
      </c>
      <c r="I547">
        <v>0</v>
      </c>
      <c r="J547" s="1">
        <v>407520.75400000002</v>
      </c>
      <c r="K547" s="1">
        <v>281848.63299999997</v>
      </c>
      <c r="L547" s="1">
        <v>407560.25</v>
      </c>
      <c r="M547" s="1">
        <v>281885.38299999997</v>
      </c>
      <c r="N547" t="s">
        <v>40</v>
      </c>
      <c r="P547" t="s">
        <v>40</v>
      </c>
      <c r="Q547">
        <v>0</v>
      </c>
      <c r="R547">
        <v>0</v>
      </c>
      <c r="S547">
        <v>0</v>
      </c>
      <c r="T547">
        <v>6</v>
      </c>
      <c r="U547">
        <v>6</v>
      </c>
      <c r="V547">
        <v>1</v>
      </c>
      <c r="W547">
        <v>1</v>
      </c>
      <c r="X547" t="s">
        <v>40</v>
      </c>
      <c r="Y547">
        <v>3</v>
      </c>
      <c r="Z547">
        <v>90</v>
      </c>
      <c r="AA547">
        <v>1</v>
      </c>
      <c r="AB547">
        <v>0</v>
      </c>
      <c r="AC547">
        <v>78.456999999999994</v>
      </c>
      <c r="AD547">
        <v>5059</v>
      </c>
      <c r="AH547">
        <v>0</v>
      </c>
      <c r="AI547">
        <v>0</v>
      </c>
      <c r="AL547" t="s">
        <v>40</v>
      </c>
      <c r="AM547" t="str">
        <f t="shared" si="42"/>
        <v>90 1</v>
      </c>
      <c r="AN547" t="str">
        <f t="shared" si="43"/>
        <v>407520.754,281848.633</v>
      </c>
      <c r="AO547" t="str">
        <f t="shared" si="44"/>
        <v>407560.25,281885.383</v>
      </c>
      <c r="AQ547" t="s">
        <v>2410</v>
      </c>
      <c r="AR547" t="s">
        <v>2378</v>
      </c>
    </row>
    <row r="548" spans="1:44" x14ac:dyDescent="0.3">
      <c r="A548">
        <v>3869</v>
      </c>
      <c r="B548">
        <v>4</v>
      </c>
      <c r="C548">
        <v>4027663</v>
      </c>
      <c r="D548">
        <v>24754</v>
      </c>
      <c r="E548">
        <v>2</v>
      </c>
      <c r="F548">
        <v>670050</v>
      </c>
      <c r="G548" t="s">
        <v>88</v>
      </c>
      <c r="H548" t="s">
        <v>51</v>
      </c>
      <c r="I548">
        <v>0</v>
      </c>
      <c r="J548" s="1">
        <v>407517.75599999999</v>
      </c>
      <c r="K548" s="1">
        <v>281848.51299999998</v>
      </c>
      <c r="L548" s="1">
        <v>407520.75400000002</v>
      </c>
      <c r="M548" s="1">
        <v>281848.63299999997</v>
      </c>
      <c r="N548" t="s">
        <v>40</v>
      </c>
      <c r="P548" t="s">
        <v>40</v>
      </c>
      <c r="Q548">
        <v>0</v>
      </c>
      <c r="R548">
        <v>0</v>
      </c>
      <c r="S548">
        <v>0</v>
      </c>
      <c r="T548">
        <v>6</v>
      </c>
      <c r="U548">
        <v>6</v>
      </c>
      <c r="V548">
        <v>1</v>
      </c>
      <c r="W548">
        <v>1</v>
      </c>
      <c r="X548" t="s">
        <v>40</v>
      </c>
      <c r="Y548">
        <v>3</v>
      </c>
      <c r="Z548">
        <v>38</v>
      </c>
      <c r="AA548">
        <v>1</v>
      </c>
      <c r="AB548">
        <v>0</v>
      </c>
      <c r="AC548">
        <v>3</v>
      </c>
      <c r="AD548">
        <v>5059</v>
      </c>
      <c r="AH548">
        <v>0</v>
      </c>
      <c r="AI548">
        <v>0</v>
      </c>
      <c r="AL548" t="s">
        <v>40</v>
      </c>
      <c r="AM548" t="str">
        <f t="shared" si="42"/>
        <v>38 1</v>
      </c>
      <c r="AN548" t="str">
        <f t="shared" si="43"/>
        <v>407517.756,281848.513</v>
      </c>
      <c r="AO548" t="str">
        <f t="shared" si="44"/>
        <v>407520.754,281848.633</v>
      </c>
      <c r="AQ548" t="s">
        <v>2400</v>
      </c>
      <c r="AR548" t="s">
        <v>2410</v>
      </c>
    </row>
    <row r="549" spans="1:44" x14ac:dyDescent="0.3">
      <c r="A549">
        <v>3869</v>
      </c>
      <c r="B549">
        <v>4</v>
      </c>
      <c r="C549">
        <v>4019055</v>
      </c>
      <c r="D549">
        <v>18171</v>
      </c>
      <c r="E549">
        <v>2</v>
      </c>
      <c r="F549">
        <v>670050</v>
      </c>
      <c r="G549" t="s">
        <v>91</v>
      </c>
      <c r="H549" t="s">
        <v>87</v>
      </c>
      <c r="I549">
        <v>0</v>
      </c>
      <c r="J549" s="1">
        <v>407129.89899999998</v>
      </c>
      <c r="K549" s="1">
        <v>280522.89</v>
      </c>
      <c r="L549" s="1">
        <v>407115.90399999998</v>
      </c>
      <c r="M549" s="1">
        <v>280525.47399999999</v>
      </c>
      <c r="N549" t="s">
        <v>40</v>
      </c>
      <c r="P549" t="s">
        <v>40</v>
      </c>
      <c r="Q549">
        <v>0</v>
      </c>
      <c r="R549">
        <v>0</v>
      </c>
      <c r="S549">
        <v>0</v>
      </c>
      <c r="T549">
        <v>6</v>
      </c>
      <c r="U549">
        <v>6</v>
      </c>
      <c r="V549">
        <v>1</v>
      </c>
      <c r="W549">
        <v>1</v>
      </c>
      <c r="X549" t="s">
        <v>40</v>
      </c>
      <c r="Y549">
        <v>3</v>
      </c>
      <c r="Z549">
        <v>52</v>
      </c>
      <c r="AA549">
        <v>1</v>
      </c>
      <c r="AB549">
        <v>0</v>
      </c>
      <c r="AC549">
        <v>15.02</v>
      </c>
      <c r="AD549">
        <v>5059</v>
      </c>
      <c r="AH549">
        <v>0</v>
      </c>
      <c r="AI549">
        <v>0</v>
      </c>
      <c r="AL549" t="s">
        <v>40</v>
      </c>
      <c r="AM549" t="str">
        <f t="shared" si="42"/>
        <v>52 1</v>
      </c>
      <c r="AN549" t="str">
        <f t="shared" si="43"/>
        <v>407129.899,280522.89</v>
      </c>
      <c r="AO549" t="str">
        <f t="shared" si="44"/>
        <v>407115.904,280525.474</v>
      </c>
      <c r="AQ549" t="s">
        <v>2411</v>
      </c>
      <c r="AR549" t="s">
        <v>2412</v>
      </c>
    </row>
    <row r="550" spans="1:44" x14ac:dyDescent="0.3">
      <c r="A550">
        <v>3869</v>
      </c>
      <c r="B550">
        <v>4</v>
      </c>
      <c r="C550">
        <v>4026136</v>
      </c>
      <c r="D550">
        <v>23579</v>
      </c>
      <c r="E550">
        <v>2</v>
      </c>
      <c r="F550">
        <v>670050</v>
      </c>
      <c r="G550" t="s">
        <v>91</v>
      </c>
      <c r="H550" t="s">
        <v>41</v>
      </c>
      <c r="I550">
        <v>0</v>
      </c>
      <c r="J550" s="1">
        <v>405332.511</v>
      </c>
      <c r="K550" s="1">
        <v>281478.49699999997</v>
      </c>
      <c r="L550" s="1">
        <v>405372.59</v>
      </c>
      <c r="M550" s="1">
        <v>281515.821</v>
      </c>
      <c r="N550" t="s">
        <v>40</v>
      </c>
      <c r="P550" t="s">
        <v>40</v>
      </c>
      <c r="Q550">
        <v>0</v>
      </c>
      <c r="R550">
        <v>0</v>
      </c>
      <c r="S550">
        <v>0</v>
      </c>
      <c r="T550">
        <v>6</v>
      </c>
      <c r="U550">
        <v>6</v>
      </c>
      <c r="V550">
        <v>1</v>
      </c>
      <c r="W550">
        <v>2</v>
      </c>
      <c r="X550" t="s">
        <v>40</v>
      </c>
      <c r="Y550">
        <v>3</v>
      </c>
      <c r="Z550">
        <v>89</v>
      </c>
      <c r="AA550">
        <v>1</v>
      </c>
      <c r="AB550">
        <v>0</v>
      </c>
      <c r="AC550">
        <v>334.12299999999999</v>
      </c>
      <c r="AD550">
        <v>5059</v>
      </c>
      <c r="AH550">
        <v>0</v>
      </c>
      <c r="AI550">
        <v>0</v>
      </c>
      <c r="AL550" t="s">
        <v>40</v>
      </c>
      <c r="AM550" t="str">
        <f t="shared" si="42"/>
        <v>89 1</v>
      </c>
      <c r="AN550" s="6" t="s">
        <v>1703</v>
      </c>
      <c r="AO550" s="6" t="s">
        <v>1233</v>
      </c>
      <c r="AQ550" t="s">
        <v>2413</v>
      </c>
      <c r="AR550" t="s">
        <v>2414</v>
      </c>
    </row>
    <row r="551" spans="1:44" x14ac:dyDescent="0.3">
      <c r="A551">
        <v>3869</v>
      </c>
      <c r="B551">
        <v>4</v>
      </c>
      <c r="C551">
        <v>4026129</v>
      </c>
      <c r="D551">
        <v>23578</v>
      </c>
      <c r="E551">
        <v>2</v>
      </c>
      <c r="F551">
        <v>670050</v>
      </c>
      <c r="G551" t="s">
        <v>91</v>
      </c>
      <c r="H551" t="s">
        <v>41</v>
      </c>
      <c r="I551">
        <v>0</v>
      </c>
      <c r="J551" s="1">
        <v>405332.511</v>
      </c>
      <c r="K551" s="1">
        <v>281478.49699999997</v>
      </c>
      <c r="L551" s="1">
        <v>405359.61099999998</v>
      </c>
      <c r="M551" s="1">
        <v>281450.092</v>
      </c>
      <c r="N551" t="s">
        <v>40</v>
      </c>
      <c r="P551" t="s">
        <v>40</v>
      </c>
      <c r="Q551">
        <v>0</v>
      </c>
      <c r="R551">
        <v>0</v>
      </c>
      <c r="S551">
        <v>0</v>
      </c>
      <c r="T551">
        <v>6</v>
      </c>
      <c r="U551">
        <v>6</v>
      </c>
      <c r="V551">
        <v>1</v>
      </c>
      <c r="W551">
        <v>2</v>
      </c>
      <c r="X551" t="s">
        <v>40</v>
      </c>
      <c r="Y551">
        <v>3</v>
      </c>
      <c r="Z551">
        <v>38</v>
      </c>
      <c r="AA551">
        <v>1</v>
      </c>
      <c r="AB551">
        <v>0</v>
      </c>
      <c r="AC551">
        <v>41.271000000000001</v>
      </c>
      <c r="AD551">
        <v>5059</v>
      </c>
      <c r="AH551">
        <v>0</v>
      </c>
      <c r="AI551">
        <v>0</v>
      </c>
      <c r="AL551" t="s">
        <v>40</v>
      </c>
      <c r="AM551" t="str">
        <f t="shared" si="42"/>
        <v>38 1</v>
      </c>
      <c r="AN551" t="str">
        <f t="shared" si="43"/>
        <v>405332.511,281478.497</v>
      </c>
      <c r="AO551" t="str">
        <f t="shared" si="44"/>
        <v>405359.611,281450.092</v>
      </c>
      <c r="AQ551" t="s">
        <v>2414</v>
      </c>
      <c r="AR551" t="s">
        <v>2415</v>
      </c>
    </row>
    <row r="552" spans="1:44" x14ac:dyDescent="0.3">
      <c r="A552">
        <v>3869</v>
      </c>
      <c r="B552">
        <v>4</v>
      </c>
      <c r="C552">
        <v>4026128</v>
      </c>
      <c r="D552">
        <v>23475</v>
      </c>
      <c r="E552">
        <v>2</v>
      </c>
      <c r="F552">
        <v>670050</v>
      </c>
      <c r="G552" t="s">
        <v>91</v>
      </c>
      <c r="H552" t="s">
        <v>41</v>
      </c>
      <c r="I552">
        <v>0</v>
      </c>
      <c r="J552" s="1">
        <v>405381.40700000001</v>
      </c>
      <c r="K552" s="1">
        <v>281425.21500000003</v>
      </c>
      <c r="L552" s="1">
        <v>405359.61099999998</v>
      </c>
      <c r="M552" s="1">
        <v>281450.092</v>
      </c>
      <c r="N552" t="s">
        <v>40</v>
      </c>
      <c r="P552" t="s">
        <v>40</v>
      </c>
      <c r="Q552">
        <v>0</v>
      </c>
      <c r="R552">
        <v>0</v>
      </c>
      <c r="S552">
        <v>200303</v>
      </c>
      <c r="T552">
        <v>6</v>
      </c>
      <c r="U552">
        <v>6</v>
      </c>
      <c r="V552">
        <v>1</v>
      </c>
      <c r="W552">
        <v>2</v>
      </c>
      <c r="X552" t="s">
        <v>40</v>
      </c>
      <c r="Y552">
        <v>3</v>
      </c>
      <c r="Z552">
        <v>5024</v>
      </c>
      <c r="AA552">
        <v>1</v>
      </c>
      <c r="AB552">
        <v>0</v>
      </c>
      <c r="AC552">
        <v>33.192</v>
      </c>
      <c r="AD552">
        <v>5059</v>
      </c>
      <c r="AH552">
        <v>0</v>
      </c>
      <c r="AI552">
        <v>0</v>
      </c>
      <c r="AL552" t="s">
        <v>40</v>
      </c>
      <c r="AM552" t="str">
        <f t="shared" si="42"/>
        <v>5024 1</v>
      </c>
      <c r="AN552" t="str">
        <f t="shared" si="43"/>
        <v>405381.407,281425.215</v>
      </c>
      <c r="AO552" t="str">
        <f t="shared" si="44"/>
        <v>405359.611,281450.092</v>
      </c>
      <c r="AQ552" t="s">
        <v>2416</v>
      </c>
      <c r="AR552" t="s">
        <v>2415</v>
      </c>
    </row>
    <row r="553" spans="1:44" x14ac:dyDescent="0.3">
      <c r="A553">
        <v>3869</v>
      </c>
      <c r="B553">
        <v>4</v>
      </c>
      <c r="C553">
        <v>4026168</v>
      </c>
      <c r="D553">
        <v>26275</v>
      </c>
      <c r="E553">
        <v>2</v>
      </c>
      <c r="F553">
        <v>670050</v>
      </c>
      <c r="G553" t="s">
        <v>91</v>
      </c>
      <c r="H553" t="s">
        <v>41</v>
      </c>
      <c r="I553">
        <v>0</v>
      </c>
      <c r="J553" s="1">
        <v>405604.97399999999</v>
      </c>
      <c r="K553" s="1">
        <v>281635.67099999997</v>
      </c>
      <c r="L553" s="1">
        <v>405605.36300000001</v>
      </c>
      <c r="M553" s="1">
        <v>281641.538</v>
      </c>
      <c r="N553" t="s">
        <v>40</v>
      </c>
      <c r="P553" t="s">
        <v>40</v>
      </c>
      <c r="Q553">
        <v>0</v>
      </c>
      <c r="R553">
        <v>0</v>
      </c>
      <c r="S553">
        <v>0</v>
      </c>
      <c r="T553">
        <v>6</v>
      </c>
      <c r="U553">
        <v>6</v>
      </c>
      <c r="V553">
        <v>1</v>
      </c>
      <c r="W553">
        <v>2</v>
      </c>
      <c r="X553" t="s">
        <v>40</v>
      </c>
      <c r="Y553">
        <v>3</v>
      </c>
      <c r="Z553">
        <v>90</v>
      </c>
      <c r="AA553">
        <v>1</v>
      </c>
      <c r="AB553">
        <v>0</v>
      </c>
      <c r="AC553">
        <v>62.063000000000002</v>
      </c>
      <c r="AD553">
        <v>5059</v>
      </c>
      <c r="AH553">
        <v>0</v>
      </c>
      <c r="AI553">
        <v>0</v>
      </c>
      <c r="AL553" t="s">
        <v>40</v>
      </c>
      <c r="AM553" t="str">
        <f t="shared" si="42"/>
        <v>90 1</v>
      </c>
      <c r="AN553" s="6" t="s">
        <v>1703</v>
      </c>
      <c r="AO553" s="6" t="s">
        <v>440</v>
      </c>
      <c r="AQ553" t="s">
        <v>2413</v>
      </c>
      <c r="AR553" t="s">
        <v>763</v>
      </c>
    </row>
    <row r="554" spans="1:44" x14ac:dyDescent="0.3">
      <c r="A554">
        <v>3869</v>
      </c>
      <c r="B554">
        <v>4</v>
      </c>
      <c r="C554">
        <v>4026206</v>
      </c>
      <c r="D554">
        <v>26757</v>
      </c>
      <c r="E554">
        <v>2</v>
      </c>
      <c r="F554">
        <v>670050</v>
      </c>
      <c r="G554" t="s">
        <v>91</v>
      </c>
      <c r="H554" t="s">
        <v>41</v>
      </c>
      <c r="I554">
        <v>0</v>
      </c>
      <c r="J554" s="1">
        <v>405649.82900000003</v>
      </c>
      <c r="K554" s="1">
        <v>281836.69</v>
      </c>
      <c r="L554" s="1">
        <v>405650.55</v>
      </c>
      <c r="M554" s="1">
        <v>281838.98</v>
      </c>
      <c r="N554" t="s">
        <v>40</v>
      </c>
      <c r="P554" t="s">
        <v>40</v>
      </c>
      <c r="Q554">
        <v>0</v>
      </c>
      <c r="R554">
        <v>0</v>
      </c>
      <c r="S554">
        <v>200412</v>
      </c>
      <c r="T554">
        <v>6</v>
      </c>
      <c r="U554">
        <v>6</v>
      </c>
      <c r="V554">
        <v>1</v>
      </c>
      <c r="W554">
        <v>2</v>
      </c>
      <c r="X554" t="s">
        <v>40</v>
      </c>
      <c r="Y554">
        <v>3</v>
      </c>
      <c r="Z554">
        <v>5023</v>
      </c>
      <c r="AA554">
        <v>1</v>
      </c>
      <c r="AB554">
        <v>0</v>
      </c>
      <c r="AC554">
        <v>2.4009999999999998</v>
      </c>
      <c r="AD554">
        <v>5059</v>
      </c>
      <c r="AH554">
        <v>0</v>
      </c>
      <c r="AI554">
        <v>0</v>
      </c>
      <c r="AL554" t="s">
        <v>40</v>
      </c>
      <c r="AM554" t="str">
        <f t="shared" si="42"/>
        <v>5023 1</v>
      </c>
      <c r="AN554" t="str">
        <f t="shared" si="43"/>
        <v>405649.829,281836.69</v>
      </c>
      <c r="AO554" t="str">
        <f t="shared" si="44"/>
        <v>405650.55,281838.98</v>
      </c>
      <c r="AQ554" t="s">
        <v>2417</v>
      </c>
      <c r="AR554" t="s">
        <v>2418</v>
      </c>
    </row>
    <row r="555" spans="1:44" x14ac:dyDescent="0.3">
      <c r="A555">
        <v>3869</v>
      </c>
      <c r="B555">
        <v>4</v>
      </c>
      <c r="C555">
        <v>4019175</v>
      </c>
      <c r="D555">
        <v>18179</v>
      </c>
      <c r="E555">
        <v>2</v>
      </c>
      <c r="F555">
        <v>670050</v>
      </c>
      <c r="G555" t="s">
        <v>91</v>
      </c>
      <c r="H555" t="s">
        <v>87</v>
      </c>
      <c r="I555">
        <v>0</v>
      </c>
      <c r="J555" s="1">
        <v>407118.28200000001</v>
      </c>
      <c r="K555" s="1">
        <v>280518.66399999999</v>
      </c>
      <c r="L555" s="1">
        <v>407123.31800000003</v>
      </c>
      <c r="M555" s="1">
        <v>280485.39199999999</v>
      </c>
      <c r="N555" t="s">
        <v>40</v>
      </c>
      <c r="P555" t="s">
        <v>40</v>
      </c>
      <c r="Q555">
        <v>0</v>
      </c>
      <c r="R555">
        <v>0</v>
      </c>
      <c r="S555">
        <v>0</v>
      </c>
      <c r="T555">
        <v>6</v>
      </c>
      <c r="U555">
        <v>6</v>
      </c>
      <c r="V555">
        <v>1</v>
      </c>
      <c r="W555">
        <v>1</v>
      </c>
      <c r="X555" t="s">
        <v>40</v>
      </c>
      <c r="Y555">
        <v>3</v>
      </c>
      <c r="Z555">
        <v>92</v>
      </c>
      <c r="AA555">
        <v>1</v>
      </c>
      <c r="AB555">
        <v>0</v>
      </c>
      <c r="AC555">
        <v>536.9849999999999</v>
      </c>
      <c r="AD555">
        <v>5059</v>
      </c>
      <c r="AH555">
        <v>0</v>
      </c>
      <c r="AI555">
        <v>0</v>
      </c>
      <c r="AL555" t="s">
        <v>40</v>
      </c>
      <c r="AM555" t="str">
        <f t="shared" si="42"/>
        <v>92 1</v>
      </c>
      <c r="AN555" s="6" t="s">
        <v>1237</v>
      </c>
      <c r="AO555" s="6" t="s">
        <v>1271</v>
      </c>
      <c r="AQ555" t="s">
        <v>2419</v>
      </c>
      <c r="AR555" t="s">
        <v>2420</v>
      </c>
    </row>
    <row r="556" spans="1:44" x14ac:dyDescent="0.3">
      <c r="A556">
        <v>3869</v>
      </c>
      <c r="B556">
        <v>4</v>
      </c>
      <c r="C556">
        <v>4026068</v>
      </c>
      <c r="D556">
        <v>25221</v>
      </c>
      <c r="E556">
        <v>2</v>
      </c>
      <c r="F556">
        <v>670050</v>
      </c>
      <c r="G556" t="s">
        <v>91</v>
      </c>
      <c r="H556" t="s">
        <v>41</v>
      </c>
      <c r="I556">
        <v>0</v>
      </c>
      <c r="J556" s="1">
        <v>405451.16399999999</v>
      </c>
      <c r="K556" s="1">
        <v>281336.19199999998</v>
      </c>
      <c r="L556" s="1">
        <v>405447.69300000003</v>
      </c>
      <c r="M556" s="1">
        <v>281322.33799999999</v>
      </c>
      <c r="N556" t="s">
        <v>40</v>
      </c>
      <c r="P556" t="s">
        <v>40</v>
      </c>
      <c r="Q556">
        <v>0</v>
      </c>
      <c r="R556">
        <v>0</v>
      </c>
      <c r="S556">
        <v>0</v>
      </c>
      <c r="T556">
        <v>6</v>
      </c>
      <c r="U556">
        <v>6</v>
      </c>
      <c r="V556">
        <v>1</v>
      </c>
      <c r="W556">
        <v>2</v>
      </c>
      <c r="X556" t="s">
        <v>40</v>
      </c>
      <c r="Y556">
        <v>3</v>
      </c>
      <c r="Z556">
        <v>5024</v>
      </c>
      <c r="AA556">
        <v>1</v>
      </c>
      <c r="AB556">
        <v>0</v>
      </c>
      <c r="AC556">
        <v>15.125</v>
      </c>
      <c r="AD556">
        <v>5059</v>
      </c>
      <c r="AH556">
        <v>0</v>
      </c>
      <c r="AI556">
        <v>0</v>
      </c>
      <c r="AL556" t="s">
        <v>40</v>
      </c>
      <c r="AM556" t="str">
        <f t="shared" ref="AM556:AM591" si="45">_xlfn.CONCAT(Z556, " ",AA556)</f>
        <v>5024 1</v>
      </c>
      <c r="AN556" t="str">
        <f t="shared" si="43"/>
        <v>405451.164,281336.192</v>
      </c>
      <c r="AO556" t="str">
        <f t="shared" si="44"/>
        <v>405447.693,281322.338</v>
      </c>
      <c r="AQ556" t="s">
        <v>2421</v>
      </c>
      <c r="AR556" t="s">
        <v>2422</v>
      </c>
    </row>
    <row r="557" spans="1:44" x14ac:dyDescent="0.3">
      <c r="A557">
        <v>3869</v>
      </c>
      <c r="B557">
        <v>4</v>
      </c>
      <c r="C557">
        <v>4023244</v>
      </c>
      <c r="D557">
        <v>23571</v>
      </c>
      <c r="E557">
        <v>2</v>
      </c>
      <c r="F557">
        <v>670050</v>
      </c>
      <c r="G557" t="s">
        <v>91</v>
      </c>
      <c r="H557" t="s">
        <v>43</v>
      </c>
      <c r="I557">
        <v>0</v>
      </c>
      <c r="J557" s="1">
        <v>406000</v>
      </c>
      <c r="K557" s="1">
        <v>280990.57</v>
      </c>
      <c r="L557" s="1">
        <v>405971.234</v>
      </c>
      <c r="M557" s="1">
        <v>281000</v>
      </c>
      <c r="N557" t="s">
        <v>40</v>
      </c>
      <c r="P557" t="s">
        <v>40</v>
      </c>
      <c r="Q557">
        <v>0</v>
      </c>
      <c r="R557">
        <v>0</v>
      </c>
      <c r="S557">
        <v>0</v>
      </c>
      <c r="T557">
        <v>6</v>
      </c>
      <c r="U557">
        <v>6</v>
      </c>
      <c r="V557">
        <v>1</v>
      </c>
      <c r="W557">
        <v>1</v>
      </c>
      <c r="X557" t="s">
        <v>40</v>
      </c>
      <c r="Y557">
        <v>3</v>
      </c>
      <c r="Z557">
        <v>92</v>
      </c>
      <c r="AA557">
        <v>1</v>
      </c>
      <c r="AB557">
        <v>0</v>
      </c>
      <c r="AC557">
        <v>598.89</v>
      </c>
      <c r="AD557">
        <v>5059</v>
      </c>
      <c r="AH557">
        <v>0</v>
      </c>
      <c r="AI557">
        <v>0</v>
      </c>
      <c r="AL557" t="s">
        <v>40</v>
      </c>
      <c r="AM557" t="str">
        <f t="shared" si="45"/>
        <v>92 1</v>
      </c>
      <c r="AN557" s="6" t="s">
        <v>1718</v>
      </c>
      <c r="AO557" s="6" t="s">
        <v>1277</v>
      </c>
      <c r="AQ557" t="s">
        <v>2423</v>
      </c>
      <c r="AR557" t="s">
        <v>2424</v>
      </c>
    </row>
    <row r="558" spans="1:44" x14ac:dyDescent="0.3">
      <c r="A558">
        <v>3869</v>
      </c>
      <c r="B558">
        <v>4</v>
      </c>
      <c r="C558">
        <v>4023242</v>
      </c>
      <c r="D558">
        <v>76446</v>
      </c>
      <c r="E558">
        <v>2</v>
      </c>
      <c r="F558">
        <v>670050</v>
      </c>
      <c r="G558" t="s">
        <v>91</v>
      </c>
      <c r="H558" t="s">
        <v>43</v>
      </c>
      <c r="I558">
        <v>0</v>
      </c>
      <c r="J558" s="1">
        <v>405914.79599999997</v>
      </c>
      <c r="K558" s="1">
        <v>280973.73200000002</v>
      </c>
      <c r="L558" s="1">
        <v>405913.31199999998</v>
      </c>
      <c r="M558" s="1">
        <v>280972.49</v>
      </c>
      <c r="N558" t="s">
        <v>40</v>
      </c>
      <c r="P558" t="s">
        <v>40</v>
      </c>
      <c r="Q558">
        <v>0</v>
      </c>
      <c r="R558">
        <v>0</v>
      </c>
      <c r="S558">
        <v>0</v>
      </c>
      <c r="T558">
        <v>6</v>
      </c>
      <c r="U558">
        <v>6</v>
      </c>
      <c r="V558">
        <v>1</v>
      </c>
      <c r="W558">
        <v>1</v>
      </c>
      <c r="X558" t="s">
        <v>40</v>
      </c>
      <c r="Y558">
        <v>3</v>
      </c>
      <c r="Z558">
        <v>40</v>
      </c>
      <c r="AA558">
        <v>5001</v>
      </c>
      <c r="AB558">
        <v>0</v>
      </c>
      <c r="AC558">
        <v>2.859</v>
      </c>
      <c r="AD558">
        <v>5059</v>
      </c>
      <c r="AH558">
        <v>0</v>
      </c>
      <c r="AI558">
        <v>0</v>
      </c>
      <c r="AL558" t="s">
        <v>40</v>
      </c>
      <c r="AM558" t="str">
        <f t="shared" si="45"/>
        <v>40 5001</v>
      </c>
      <c r="AN558" t="str">
        <f t="shared" ref="AN558:AN593" si="46">ROUND(J558,3)&amp;","&amp;ROUND(K558,3)</f>
        <v>405914.796,280973.732</v>
      </c>
      <c r="AO558" t="str">
        <f t="shared" ref="AO558:AO593" si="47">ROUND(L558,3)&amp;","&amp;ROUND(M558,3)</f>
        <v>405913.312,280972.49</v>
      </c>
      <c r="AQ558" t="s">
        <v>2425</v>
      </c>
      <c r="AR558" t="s">
        <v>768</v>
      </c>
    </row>
    <row r="559" spans="1:44" x14ac:dyDescent="0.3">
      <c r="A559">
        <v>3869</v>
      </c>
      <c r="B559">
        <v>4</v>
      </c>
      <c r="C559">
        <v>4026207</v>
      </c>
      <c r="D559">
        <v>26773</v>
      </c>
      <c r="E559">
        <v>2</v>
      </c>
      <c r="F559">
        <v>670050</v>
      </c>
      <c r="G559" t="s">
        <v>91</v>
      </c>
      <c r="H559" t="s">
        <v>41</v>
      </c>
      <c r="I559">
        <v>0</v>
      </c>
      <c r="J559" s="1">
        <v>405650.55</v>
      </c>
      <c r="K559" s="1">
        <v>281838.98</v>
      </c>
      <c r="L559" s="1">
        <v>405660.89600000001</v>
      </c>
      <c r="M559" s="1">
        <v>281860.88299999997</v>
      </c>
      <c r="N559" t="s">
        <v>40</v>
      </c>
      <c r="P559" t="s">
        <v>40</v>
      </c>
      <c r="Q559">
        <v>0</v>
      </c>
      <c r="R559">
        <v>0</v>
      </c>
      <c r="S559">
        <v>0</v>
      </c>
      <c r="T559">
        <v>6</v>
      </c>
      <c r="U559">
        <v>6</v>
      </c>
      <c r="V559">
        <v>1</v>
      </c>
      <c r="W559">
        <v>2</v>
      </c>
      <c r="X559" t="s">
        <v>40</v>
      </c>
      <c r="Y559">
        <v>3</v>
      </c>
      <c r="Z559">
        <v>89</v>
      </c>
      <c r="AA559">
        <v>1</v>
      </c>
      <c r="AB559">
        <v>0</v>
      </c>
      <c r="AC559">
        <v>25.085000000000001</v>
      </c>
      <c r="AD559">
        <v>5059</v>
      </c>
      <c r="AH559">
        <v>0</v>
      </c>
      <c r="AI559">
        <v>0</v>
      </c>
      <c r="AL559" t="s">
        <v>40</v>
      </c>
      <c r="AM559" t="str">
        <f t="shared" si="45"/>
        <v>89 1</v>
      </c>
      <c r="AN559" t="str">
        <f t="shared" si="46"/>
        <v>405650.55,281838.98</v>
      </c>
      <c r="AO559" t="str">
        <f t="shared" si="47"/>
        <v>405660.896,281860.883</v>
      </c>
      <c r="AQ559" t="s">
        <v>2418</v>
      </c>
      <c r="AR559" t="s">
        <v>2426</v>
      </c>
    </row>
    <row r="560" spans="1:44" x14ac:dyDescent="0.3">
      <c r="A560">
        <v>3869</v>
      </c>
      <c r="B560">
        <v>4</v>
      </c>
      <c r="C560">
        <v>4026193</v>
      </c>
      <c r="D560">
        <v>26161</v>
      </c>
      <c r="E560">
        <v>2</v>
      </c>
      <c r="F560">
        <v>670050</v>
      </c>
      <c r="G560" t="s">
        <v>91</v>
      </c>
      <c r="H560" t="s">
        <v>41</v>
      </c>
      <c r="I560">
        <v>0</v>
      </c>
      <c r="J560" s="1">
        <v>405649.82900000003</v>
      </c>
      <c r="K560" s="1">
        <v>281836.69</v>
      </c>
      <c r="L560" s="1">
        <v>405630.59499999997</v>
      </c>
      <c r="M560" s="1">
        <v>281766.44699999999</v>
      </c>
      <c r="N560" t="s">
        <v>40</v>
      </c>
      <c r="P560" t="s">
        <v>40</v>
      </c>
      <c r="Q560">
        <v>0</v>
      </c>
      <c r="R560">
        <v>0</v>
      </c>
      <c r="S560">
        <v>0</v>
      </c>
      <c r="T560">
        <v>6</v>
      </c>
      <c r="U560">
        <v>6</v>
      </c>
      <c r="V560">
        <v>1</v>
      </c>
      <c r="W560">
        <v>2</v>
      </c>
      <c r="X560" t="s">
        <v>40</v>
      </c>
      <c r="Y560">
        <v>3</v>
      </c>
      <c r="Z560">
        <v>89</v>
      </c>
      <c r="AA560">
        <v>1</v>
      </c>
      <c r="AB560">
        <v>0</v>
      </c>
      <c r="AC560">
        <v>72.94</v>
      </c>
      <c r="AD560">
        <v>5059</v>
      </c>
      <c r="AH560">
        <v>0</v>
      </c>
      <c r="AI560">
        <v>0</v>
      </c>
      <c r="AL560" t="s">
        <v>40</v>
      </c>
      <c r="AM560" t="str">
        <f t="shared" si="45"/>
        <v>89 1</v>
      </c>
      <c r="AN560" t="str">
        <f t="shared" si="46"/>
        <v>405649.829,281836.69</v>
      </c>
      <c r="AO560" t="str">
        <f t="shared" si="47"/>
        <v>405630.595,281766.447</v>
      </c>
      <c r="AQ560" t="s">
        <v>2417</v>
      </c>
      <c r="AR560" t="s">
        <v>2427</v>
      </c>
    </row>
    <row r="561" spans="1:44" x14ac:dyDescent="0.3">
      <c r="A561">
        <v>3869</v>
      </c>
      <c r="B561">
        <v>4</v>
      </c>
      <c r="C561">
        <v>4026192</v>
      </c>
      <c r="D561">
        <v>26149</v>
      </c>
      <c r="E561">
        <v>2</v>
      </c>
      <c r="F561">
        <v>670050</v>
      </c>
      <c r="G561" t="s">
        <v>91</v>
      </c>
      <c r="H561" t="s">
        <v>41</v>
      </c>
      <c r="I561">
        <v>0</v>
      </c>
      <c r="J561" s="1">
        <v>405627.94799999997</v>
      </c>
      <c r="K561" s="1">
        <v>281754.598</v>
      </c>
      <c r="L561" s="1">
        <v>405630.59499999997</v>
      </c>
      <c r="M561" s="1">
        <v>281766.44699999999</v>
      </c>
      <c r="N561" t="s">
        <v>40</v>
      </c>
      <c r="P561" t="s">
        <v>40</v>
      </c>
      <c r="Q561">
        <v>0</v>
      </c>
      <c r="R561">
        <v>0</v>
      </c>
      <c r="S561">
        <v>0</v>
      </c>
      <c r="T561">
        <v>6</v>
      </c>
      <c r="U561">
        <v>6</v>
      </c>
      <c r="V561">
        <v>1</v>
      </c>
      <c r="W561">
        <v>2</v>
      </c>
      <c r="X561" t="s">
        <v>40</v>
      </c>
      <c r="Y561">
        <v>3</v>
      </c>
      <c r="Z561">
        <v>38</v>
      </c>
      <c r="AA561">
        <v>5001</v>
      </c>
      <c r="AB561">
        <v>0</v>
      </c>
      <c r="AC561">
        <v>12.141</v>
      </c>
      <c r="AD561">
        <v>5059</v>
      </c>
      <c r="AH561">
        <v>0</v>
      </c>
      <c r="AI561">
        <v>0</v>
      </c>
      <c r="AL561" t="s">
        <v>40</v>
      </c>
      <c r="AM561" t="str">
        <f t="shared" si="45"/>
        <v>38 5001</v>
      </c>
      <c r="AN561" t="str">
        <f t="shared" si="46"/>
        <v>405627.948,281754.598</v>
      </c>
      <c r="AO561" t="str">
        <f t="shared" si="47"/>
        <v>405630.595,281766.447</v>
      </c>
      <c r="AQ561" t="s">
        <v>2428</v>
      </c>
      <c r="AR561" t="s">
        <v>2427</v>
      </c>
    </row>
    <row r="562" spans="1:44" x14ac:dyDescent="0.3">
      <c r="A562">
        <v>3869</v>
      </c>
      <c r="B562">
        <v>4</v>
      </c>
      <c r="C562">
        <v>4026169</v>
      </c>
      <c r="D562">
        <v>26347</v>
      </c>
      <c r="E562">
        <v>2</v>
      </c>
      <c r="F562">
        <v>670050</v>
      </c>
      <c r="G562" t="s">
        <v>91</v>
      </c>
      <c r="H562" t="s">
        <v>41</v>
      </c>
      <c r="I562">
        <v>0</v>
      </c>
      <c r="J562" s="1">
        <v>405627.94799999997</v>
      </c>
      <c r="K562" s="1">
        <v>281754.598</v>
      </c>
      <c r="L562" s="1">
        <v>405605.36300000001</v>
      </c>
      <c r="M562" s="1">
        <v>281641.538</v>
      </c>
      <c r="N562" t="s">
        <v>40</v>
      </c>
      <c r="P562" t="s">
        <v>40</v>
      </c>
      <c r="Q562">
        <v>0</v>
      </c>
      <c r="R562">
        <v>0</v>
      </c>
      <c r="S562">
        <v>0</v>
      </c>
      <c r="T562">
        <v>6</v>
      </c>
      <c r="U562">
        <v>6</v>
      </c>
      <c r="V562">
        <v>1</v>
      </c>
      <c r="W562">
        <v>2</v>
      </c>
      <c r="X562" t="s">
        <v>40</v>
      </c>
      <c r="Y562">
        <v>3</v>
      </c>
      <c r="Z562">
        <v>89</v>
      </c>
      <c r="AA562">
        <v>1</v>
      </c>
      <c r="AB562">
        <v>0</v>
      </c>
      <c r="AC562">
        <v>115.334</v>
      </c>
      <c r="AD562">
        <v>5059</v>
      </c>
      <c r="AH562">
        <v>0</v>
      </c>
      <c r="AI562">
        <v>0</v>
      </c>
      <c r="AL562" t="s">
        <v>40</v>
      </c>
      <c r="AM562" t="str">
        <f t="shared" si="45"/>
        <v>89 1</v>
      </c>
      <c r="AN562" t="str">
        <f t="shared" si="46"/>
        <v>405627.948,281754.598</v>
      </c>
      <c r="AO562" t="str">
        <f t="shared" si="47"/>
        <v>405605.363,281641.538</v>
      </c>
      <c r="AQ562" t="s">
        <v>2428</v>
      </c>
      <c r="AR562" t="s">
        <v>2413</v>
      </c>
    </row>
    <row r="563" spans="1:44" x14ac:dyDescent="0.3">
      <c r="A563">
        <v>3869</v>
      </c>
      <c r="B563">
        <v>4</v>
      </c>
      <c r="C563">
        <v>4023243</v>
      </c>
      <c r="D563">
        <v>23513</v>
      </c>
      <c r="E563">
        <v>2</v>
      </c>
      <c r="F563">
        <v>670050</v>
      </c>
      <c r="G563" t="s">
        <v>91</v>
      </c>
      <c r="H563" t="s">
        <v>43</v>
      </c>
      <c r="I563">
        <v>0</v>
      </c>
      <c r="J563" s="1">
        <v>405914.79599999997</v>
      </c>
      <c r="K563" s="1">
        <v>280973.73200000002</v>
      </c>
      <c r="L563" s="1">
        <v>405921.63799999998</v>
      </c>
      <c r="M563" s="1">
        <v>281000</v>
      </c>
      <c r="N563" t="s">
        <v>40</v>
      </c>
      <c r="P563" t="s">
        <v>40</v>
      </c>
      <c r="Q563">
        <v>0</v>
      </c>
      <c r="R563">
        <v>0</v>
      </c>
      <c r="S563">
        <v>0</v>
      </c>
      <c r="T563">
        <v>6</v>
      </c>
      <c r="U563">
        <v>6</v>
      </c>
      <c r="V563">
        <v>1</v>
      </c>
      <c r="W563">
        <v>1</v>
      </c>
      <c r="X563" t="s">
        <v>40</v>
      </c>
      <c r="Y563">
        <v>3</v>
      </c>
      <c r="Z563">
        <v>54</v>
      </c>
      <c r="AA563">
        <v>1</v>
      </c>
      <c r="AB563">
        <v>0</v>
      </c>
      <c r="AC563">
        <v>49.521000000000001</v>
      </c>
      <c r="AD563">
        <v>5059</v>
      </c>
      <c r="AH563">
        <v>0</v>
      </c>
      <c r="AI563">
        <v>0</v>
      </c>
      <c r="AL563" t="s">
        <v>40</v>
      </c>
      <c r="AM563" t="str">
        <f t="shared" si="45"/>
        <v>54 1</v>
      </c>
      <c r="AN563" s="6" t="s">
        <v>1718</v>
      </c>
      <c r="AO563" s="6" t="s">
        <v>1239</v>
      </c>
      <c r="AQ563" t="s">
        <v>2423</v>
      </c>
      <c r="AR563" t="s">
        <v>2425</v>
      </c>
    </row>
    <row r="564" spans="1:44" x14ac:dyDescent="0.3">
      <c r="A564">
        <v>3869</v>
      </c>
      <c r="B564">
        <v>4</v>
      </c>
      <c r="C564">
        <v>4023226</v>
      </c>
      <c r="D564">
        <v>76448</v>
      </c>
      <c r="E564">
        <v>2</v>
      </c>
      <c r="F564">
        <v>670050</v>
      </c>
      <c r="G564" t="s">
        <v>91</v>
      </c>
      <c r="H564" t="s">
        <v>43</v>
      </c>
      <c r="I564">
        <v>0</v>
      </c>
      <c r="J564" s="1">
        <v>405912.05200000003</v>
      </c>
      <c r="K564" s="1">
        <v>280971.58899999998</v>
      </c>
      <c r="L564" s="1">
        <v>405913.266</v>
      </c>
      <c r="M564" s="1">
        <v>280972.02299999999</v>
      </c>
      <c r="N564" t="s">
        <v>40</v>
      </c>
      <c r="P564" t="s">
        <v>40</v>
      </c>
      <c r="Q564">
        <v>0</v>
      </c>
      <c r="R564">
        <v>0</v>
      </c>
      <c r="S564">
        <v>0</v>
      </c>
      <c r="T564">
        <v>6</v>
      </c>
      <c r="U564">
        <v>6</v>
      </c>
      <c r="V564">
        <v>1</v>
      </c>
      <c r="W564">
        <v>3</v>
      </c>
      <c r="X564" t="s">
        <v>40</v>
      </c>
      <c r="Y564">
        <v>3</v>
      </c>
      <c r="Z564">
        <v>36</v>
      </c>
      <c r="AA564">
        <v>5001</v>
      </c>
      <c r="AB564">
        <v>0</v>
      </c>
      <c r="AC564">
        <v>6.1549999999999994</v>
      </c>
      <c r="AD564">
        <v>5059</v>
      </c>
      <c r="AH564">
        <v>0</v>
      </c>
      <c r="AI564">
        <v>0</v>
      </c>
      <c r="AL564" t="s">
        <v>40</v>
      </c>
      <c r="AM564" t="str">
        <f t="shared" si="45"/>
        <v>36 5001</v>
      </c>
      <c r="AN564" s="6" t="s">
        <v>458</v>
      </c>
      <c r="AO564" s="6" t="s">
        <v>1712</v>
      </c>
      <c r="AQ564" t="s">
        <v>768</v>
      </c>
      <c r="AR564" t="s">
        <v>2429</v>
      </c>
    </row>
    <row r="565" spans="1:44" x14ac:dyDescent="0.3">
      <c r="A565">
        <v>3869</v>
      </c>
      <c r="B565">
        <v>4</v>
      </c>
      <c r="C565">
        <v>4023225</v>
      </c>
      <c r="D565">
        <v>76447</v>
      </c>
      <c r="E565">
        <v>2</v>
      </c>
      <c r="F565">
        <v>670050</v>
      </c>
      <c r="G565" t="s">
        <v>91</v>
      </c>
      <c r="H565" t="s">
        <v>43</v>
      </c>
      <c r="I565">
        <v>0</v>
      </c>
      <c r="J565" s="1">
        <v>405914.47200000001</v>
      </c>
      <c r="K565" s="1">
        <v>280973.53100000002</v>
      </c>
      <c r="L565" s="1">
        <v>405913.00599999999</v>
      </c>
      <c r="M565" s="1">
        <v>280972.39399999997</v>
      </c>
      <c r="N565" t="s">
        <v>40</v>
      </c>
      <c r="P565" t="s">
        <v>40</v>
      </c>
      <c r="Q565">
        <v>0</v>
      </c>
      <c r="R565">
        <v>0</v>
      </c>
      <c r="S565">
        <v>0</v>
      </c>
      <c r="T565">
        <v>6</v>
      </c>
      <c r="U565">
        <v>6</v>
      </c>
      <c r="V565">
        <v>1</v>
      </c>
      <c r="W565">
        <v>1</v>
      </c>
      <c r="X565" t="s">
        <v>40</v>
      </c>
      <c r="Y565">
        <v>3</v>
      </c>
      <c r="Z565">
        <v>40</v>
      </c>
      <c r="AA565">
        <v>5001</v>
      </c>
      <c r="AB565">
        <v>0</v>
      </c>
      <c r="AC565">
        <v>4.1180000000000003</v>
      </c>
      <c r="AD565">
        <v>5059</v>
      </c>
      <c r="AH565">
        <v>0</v>
      </c>
      <c r="AI565">
        <v>0</v>
      </c>
      <c r="AL565" t="s">
        <v>40</v>
      </c>
      <c r="AM565" t="str">
        <f t="shared" si="45"/>
        <v>40 5001</v>
      </c>
      <c r="AN565" t="str">
        <f t="shared" si="46"/>
        <v>405914.472,280973.531</v>
      </c>
      <c r="AO565" t="str">
        <f t="shared" si="47"/>
        <v>405913.006,280972.394</v>
      </c>
      <c r="AQ565" t="s">
        <v>2430</v>
      </c>
      <c r="AR565" t="s">
        <v>768</v>
      </c>
    </row>
    <row r="566" spans="1:44" x14ac:dyDescent="0.3">
      <c r="A566">
        <v>3869</v>
      </c>
      <c r="B566">
        <v>4</v>
      </c>
      <c r="C566">
        <v>4026213</v>
      </c>
      <c r="D566">
        <v>26814</v>
      </c>
      <c r="E566">
        <v>2</v>
      </c>
      <c r="F566">
        <v>670050</v>
      </c>
      <c r="G566" t="s">
        <v>91</v>
      </c>
      <c r="H566" t="s">
        <v>41</v>
      </c>
      <c r="I566">
        <v>0</v>
      </c>
      <c r="J566" s="1">
        <v>405668.63500000001</v>
      </c>
      <c r="K566" s="1">
        <v>281898.71799999999</v>
      </c>
      <c r="L566" s="1">
        <v>405660.89600000001</v>
      </c>
      <c r="M566" s="1">
        <v>281860.88299999997</v>
      </c>
      <c r="N566" t="s">
        <v>40</v>
      </c>
      <c r="P566" t="s">
        <v>40</v>
      </c>
      <c r="Q566">
        <v>0</v>
      </c>
      <c r="R566">
        <v>0</v>
      </c>
      <c r="S566">
        <v>0</v>
      </c>
      <c r="T566">
        <v>6</v>
      </c>
      <c r="U566">
        <v>6</v>
      </c>
      <c r="V566">
        <v>1</v>
      </c>
      <c r="W566">
        <v>2</v>
      </c>
      <c r="X566" t="s">
        <v>40</v>
      </c>
      <c r="Y566">
        <v>3</v>
      </c>
      <c r="Z566">
        <v>38</v>
      </c>
      <c r="AA566">
        <v>5001</v>
      </c>
      <c r="AB566">
        <v>0</v>
      </c>
      <c r="AC566">
        <v>47.384999999999998</v>
      </c>
      <c r="AD566">
        <v>5059</v>
      </c>
      <c r="AH566">
        <v>0</v>
      </c>
      <c r="AI566">
        <v>0</v>
      </c>
      <c r="AL566" t="s">
        <v>40</v>
      </c>
      <c r="AM566" t="str">
        <f t="shared" si="45"/>
        <v>38 5001</v>
      </c>
      <c r="AN566" t="str">
        <f t="shared" si="46"/>
        <v>405668.635,281898.718</v>
      </c>
      <c r="AO566" t="str">
        <f t="shared" si="47"/>
        <v>405660.896,281860.883</v>
      </c>
      <c r="AQ566" t="s">
        <v>2431</v>
      </c>
      <c r="AR566" t="s">
        <v>2426</v>
      </c>
    </row>
    <row r="567" spans="1:44" x14ac:dyDescent="0.3">
      <c r="A567">
        <v>3869</v>
      </c>
      <c r="B567">
        <v>4</v>
      </c>
      <c r="C567">
        <v>4025986</v>
      </c>
      <c r="D567">
        <v>23308</v>
      </c>
      <c r="E567">
        <v>2</v>
      </c>
      <c r="F567">
        <v>670050</v>
      </c>
      <c r="G567" t="s">
        <v>91</v>
      </c>
      <c r="H567" t="s">
        <v>41</v>
      </c>
      <c r="I567">
        <v>0</v>
      </c>
      <c r="J567" s="1">
        <v>405404.04399999999</v>
      </c>
      <c r="K567" s="1">
        <v>281182.17099999997</v>
      </c>
      <c r="L567" s="1">
        <v>405437.88299999997</v>
      </c>
      <c r="M567" s="1">
        <v>281263.41600000003</v>
      </c>
      <c r="N567" t="s">
        <v>40</v>
      </c>
      <c r="P567" t="s">
        <v>40</v>
      </c>
      <c r="Q567">
        <v>0</v>
      </c>
      <c r="R567">
        <v>0</v>
      </c>
      <c r="S567">
        <v>0</v>
      </c>
      <c r="T567">
        <v>6</v>
      </c>
      <c r="U567">
        <v>6</v>
      </c>
      <c r="V567">
        <v>1</v>
      </c>
      <c r="W567">
        <v>2</v>
      </c>
      <c r="X567" t="s">
        <v>40</v>
      </c>
      <c r="Y567">
        <v>3</v>
      </c>
      <c r="Z567">
        <v>89</v>
      </c>
      <c r="AA567">
        <v>1</v>
      </c>
      <c r="AB567">
        <v>0</v>
      </c>
      <c r="AC567">
        <v>247.20200000000003</v>
      </c>
      <c r="AD567">
        <v>5059</v>
      </c>
      <c r="AH567">
        <v>0</v>
      </c>
      <c r="AI567">
        <v>0</v>
      </c>
      <c r="AL567" t="s">
        <v>40</v>
      </c>
      <c r="AM567" t="str">
        <f t="shared" si="45"/>
        <v>89 1</v>
      </c>
      <c r="AN567" s="6" t="s">
        <v>1253</v>
      </c>
      <c r="AO567" s="6" t="s">
        <v>1709</v>
      </c>
      <c r="AQ567" t="s">
        <v>2432</v>
      </c>
      <c r="AR567" t="s">
        <v>2433</v>
      </c>
    </row>
    <row r="568" spans="1:44" x14ac:dyDescent="0.3">
      <c r="A568">
        <v>3869</v>
      </c>
      <c r="B568">
        <v>4</v>
      </c>
      <c r="C568">
        <v>4025953</v>
      </c>
      <c r="D568">
        <v>23016</v>
      </c>
      <c r="E568">
        <v>2</v>
      </c>
      <c r="F568">
        <v>670050</v>
      </c>
      <c r="G568" t="s">
        <v>91</v>
      </c>
      <c r="H568" t="s">
        <v>41</v>
      </c>
      <c r="I568">
        <v>0</v>
      </c>
      <c r="J568" s="1">
        <v>405386.59899999999</v>
      </c>
      <c r="K568" s="1">
        <v>281043.76799999998</v>
      </c>
      <c r="L568" s="1">
        <v>405385.38099999999</v>
      </c>
      <c r="M568" s="1">
        <v>281053.38400000002</v>
      </c>
      <c r="N568" t="s">
        <v>40</v>
      </c>
      <c r="P568" t="s">
        <v>40</v>
      </c>
      <c r="Q568">
        <v>0</v>
      </c>
      <c r="R568">
        <v>0</v>
      </c>
      <c r="S568">
        <v>0</v>
      </c>
      <c r="T568">
        <v>6</v>
      </c>
      <c r="U568">
        <v>6</v>
      </c>
      <c r="V568">
        <v>1</v>
      </c>
      <c r="W568">
        <v>2</v>
      </c>
      <c r="X568" t="s">
        <v>40</v>
      </c>
      <c r="Y568">
        <v>3</v>
      </c>
      <c r="Z568">
        <v>5024</v>
      </c>
      <c r="AA568">
        <v>1</v>
      </c>
      <c r="AB568">
        <v>0</v>
      </c>
      <c r="AC568">
        <v>9.6929999999999996</v>
      </c>
      <c r="AD568">
        <v>5059</v>
      </c>
      <c r="AH568">
        <v>0</v>
      </c>
      <c r="AI568">
        <v>0</v>
      </c>
      <c r="AL568" t="s">
        <v>40</v>
      </c>
      <c r="AM568" t="str">
        <f t="shared" si="45"/>
        <v>5024 1</v>
      </c>
      <c r="AN568" t="str">
        <f t="shared" si="46"/>
        <v>405386.599,281043.768</v>
      </c>
      <c r="AO568" t="str">
        <f t="shared" si="47"/>
        <v>405385.381,281053.384</v>
      </c>
      <c r="AQ568" t="s">
        <v>2434</v>
      </c>
      <c r="AR568" t="s">
        <v>2435</v>
      </c>
    </row>
    <row r="569" spans="1:44" x14ac:dyDescent="0.3">
      <c r="A569">
        <v>3869</v>
      </c>
      <c r="B569">
        <v>4</v>
      </c>
      <c r="C569">
        <v>4025952</v>
      </c>
      <c r="D569">
        <v>23007</v>
      </c>
      <c r="E569">
        <v>2</v>
      </c>
      <c r="F569">
        <v>670050</v>
      </c>
      <c r="G569" t="s">
        <v>91</v>
      </c>
      <c r="H569" t="s">
        <v>41</v>
      </c>
      <c r="I569">
        <v>0</v>
      </c>
      <c r="J569" s="1">
        <v>405386.95699999999</v>
      </c>
      <c r="K569" s="1">
        <v>281040.90500000003</v>
      </c>
      <c r="L569" s="1">
        <v>405386.59899999999</v>
      </c>
      <c r="M569" s="1">
        <v>281043.76799999998</v>
      </c>
      <c r="N569" t="s">
        <v>40</v>
      </c>
      <c r="P569" t="s">
        <v>40</v>
      </c>
      <c r="Q569">
        <v>0</v>
      </c>
      <c r="R569">
        <v>0</v>
      </c>
      <c r="S569">
        <v>0</v>
      </c>
      <c r="T569">
        <v>6</v>
      </c>
      <c r="U569">
        <v>6</v>
      </c>
      <c r="V569">
        <v>1</v>
      </c>
      <c r="W569">
        <v>2</v>
      </c>
      <c r="X569" t="s">
        <v>40</v>
      </c>
      <c r="Y569">
        <v>3</v>
      </c>
      <c r="Z569">
        <v>89</v>
      </c>
      <c r="AA569">
        <v>1</v>
      </c>
      <c r="AB569">
        <v>0</v>
      </c>
      <c r="AC569">
        <v>48.837000000000003</v>
      </c>
      <c r="AD569">
        <v>5059</v>
      </c>
      <c r="AH569">
        <v>0</v>
      </c>
      <c r="AI569">
        <v>0</v>
      </c>
      <c r="AL569" t="s">
        <v>40</v>
      </c>
      <c r="AM569" t="str">
        <f t="shared" si="45"/>
        <v>89 1</v>
      </c>
      <c r="AN569" s="6" t="s">
        <v>1708</v>
      </c>
      <c r="AO569" s="6" t="s">
        <v>1244</v>
      </c>
      <c r="AQ569" t="s">
        <v>2436</v>
      </c>
      <c r="AR569" t="s">
        <v>2434</v>
      </c>
    </row>
    <row r="570" spans="1:44" x14ac:dyDescent="0.3">
      <c r="A570">
        <v>3869</v>
      </c>
      <c r="B570">
        <v>4</v>
      </c>
      <c r="C570">
        <v>4023180</v>
      </c>
      <c r="D570">
        <v>23164</v>
      </c>
      <c r="E570">
        <v>2</v>
      </c>
      <c r="F570">
        <v>670050</v>
      </c>
      <c r="G570" t="s">
        <v>91</v>
      </c>
      <c r="H570" t="s">
        <v>43</v>
      </c>
      <c r="I570">
        <v>0</v>
      </c>
      <c r="J570" s="1">
        <v>405391.47600000002</v>
      </c>
      <c r="K570" s="1">
        <v>280992.549</v>
      </c>
      <c r="L570" s="1">
        <v>405391.69400000002</v>
      </c>
      <c r="M570" s="1">
        <v>280995.58399999997</v>
      </c>
      <c r="N570" t="s">
        <v>40</v>
      </c>
      <c r="P570" t="s">
        <v>40</v>
      </c>
      <c r="Q570">
        <v>0</v>
      </c>
      <c r="R570">
        <v>0</v>
      </c>
      <c r="S570">
        <v>0</v>
      </c>
      <c r="T570">
        <v>6</v>
      </c>
      <c r="U570">
        <v>6</v>
      </c>
      <c r="V570">
        <v>1</v>
      </c>
      <c r="W570">
        <v>3</v>
      </c>
      <c r="X570" t="s">
        <v>40</v>
      </c>
      <c r="Y570">
        <v>3</v>
      </c>
      <c r="Z570">
        <v>89</v>
      </c>
      <c r="AA570">
        <v>1</v>
      </c>
      <c r="AB570">
        <v>0</v>
      </c>
      <c r="AC570">
        <v>3.1640000000000001</v>
      </c>
      <c r="AD570">
        <v>5059</v>
      </c>
      <c r="AH570">
        <v>0</v>
      </c>
      <c r="AI570">
        <v>0</v>
      </c>
      <c r="AL570" t="s">
        <v>40</v>
      </c>
      <c r="AM570" t="str">
        <f t="shared" si="45"/>
        <v>89 1</v>
      </c>
      <c r="AN570" t="str">
        <f t="shared" si="46"/>
        <v>405391.476,280992.549</v>
      </c>
      <c r="AO570" t="str">
        <f t="shared" si="47"/>
        <v>405391.694,280995.584</v>
      </c>
      <c r="AQ570" t="s">
        <v>2437</v>
      </c>
      <c r="AR570" t="s">
        <v>2436</v>
      </c>
    </row>
    <row r="571" spans="1:44" x14ac:dyDescent="0.3">
      <c r="A571">
        <v>3869</v>
      </c>
      <c r="B571">
        <v>4</v>
      </c>
      <c r="C571">
        <v>4023205</v>
      </c>
      <c r="D571">
        <v>23446</v>
      </c>
      <c r="E571">
        <v>2</v>
      </c>
      <c r="F571">
        <v>670050</v>
      </c>
      <c r="G571" t="s">
        <v>91</v>
      </c>
      <c r="H571" t="s">
        <v>43</v>
      </c>
      <c r="I571">
        <v>0</v>
      </c>
      <c r="J571" s="1">
        <v>405671.522</v>
      </c>
      <c r="K571" s="1">
        <v>280977.52299999999</v>
      </c>
      <c r="L571" s="1">
        <v>405716.36599999998</v>
      </c>
      <c r="M571" s="1">
        <v>281000</v>
      </c>
      <c r="N571" t="s">
        <v>40</v>
      </c>
      <c r="P571" t="s">
        <v>40</v>
      </c>
      <c r="Q571">
        <v>0</v>
      </c>
      <c r="R571">
        <v>0</v>
      </c>
      <c r="S571">
        <v>0</v>
      </c>
      <c r="T571">
        <v>6</v>
      </c>
      <c r="U571">
        <v>6</v>
      </c>
      <c r="V571">
        <v>1</v>
      </c>
      <c r="W571">
        <v>1</v>
      </c>
      <c r="X571" t="s">
        <v>40</v>
      </c>
      <c r="Y571">
        <v>3</v>
      </c>
      <c r="Z571">
        <v>40</v>
      </c>
      <c r="AA571">
        <v>5001</v>
      </c>
      <c r="AB571">
        <v>0</v>
      </c>
      <c r="AC571">
        <v>89.134999999999991</v>
      </c>
      <c r="AD571">
        <v>5059</v>
      </c>
      <c r="AH571">
        <v>0</v>
      </c>
      <c r="AI571">
        <v>0</v>
      </c>
      <c r="AL571" t="s">
        <v>40</v>
      </c>
      <c r="AM571" t="str">
        <f t="shared" si="45"/>
        <v>40 5001</v>
      </c>
      <c r="AN571" s="6" t="s">
        <v>1714</v>
      </c>
      <c r="AO571" s="6" t="s">
        <v>1246</v>
      </c>
      <c r="AQ571" t="s">
        <v>2438</v>
      </c>
      <c r="AR571" t="s">
        <v>2439</v>
      </c>
    </row>
    <row r="572" spans="1:44" x14ac:dyDescent="0.3">
      <c r="A572">
        <v>3869</v>
      </c>
      <c r="B572">
        <v>4</v>
      </c>
      <c r="C572">
        <v>4026003</v>
      </c>
      <c r="D572">
        <v>25229</v>
      </c>
      <c r="E572">
        <v>2</v>
      </c>
      <c r="F572">
        <v>670050</v>
      </c>
      <c r="G572" t="s">
        <v>91</v>
      </c>
      <c r="H572" t="s">
        <v>41</v>
      </c>
      <c r="I572">
        <v>0</v>
      </c>
      <c r="J572" s="1">
        <v>405446.571</v>
      </c>
      <c r="K572" s="1">
        <v>281318.78700000001</v>
      </c>
      <c r="L572" s="1">
        <v>405445.98100000003</v>
      </c>
      <c r="M572" s="1">
        <v>281289.31099999999</v>
      </c>
      <c r="N572" t="s">
        <v>40</v>
      </c>
      <c r="P572" t="s">
        <v>40</v>
      </c>
      <c r="Q572">
        <v>0</v>
      </c>
      <c r="R572">
        <v>0</v>
      </c>
      <c r="S572">
        <v>0</v>
      </c>
      <c r="T572">
        <v>6</v>
      </c>
      <c r="U572">
        <v>6</v>
      </c>
      <c r="V572">
        <v>1</v>
      </c>
      <c r="W572">
        <v>2</v>
      </c>
      <c r="X572" t="s">
        <v>40</v>
      </c>
      <c r="Y572">
        <v>3</v>
      </c>
      <c r="Z572">
        <v>38</v>
      </c>
      <c r="AA572">
        <v>5001</v>
      </c>
      <c r="AB572">
        <v>0</v>
      </c>
      <c r="AC572">
        <v>35.981000000000002</v>
      </c>
      <c r="AD572">
        <v>5059</v>
      </c>
      <c r="AH572">
        <v>0</v>
      </c>
      <c r="AI572">
        <v>0</v>
      </c>
      <c r="AL572" t="s">
        <v>40</v>
      </c>
      <c r="AM572" t="str">
        <f t="shared" si="45"/>
        <v>38 5001</v>
      </c>
      <c r="AN572" t="str">
        <f t="shared" si="46"/>
        <v>405446.571,281318.787</v>
      </c>
      <c r="AO572" t="str">
        <f t="shared" si="47"/>
        <v>405445.981,281289.311</v>
      </c>
      <c r="AQ572" t="s">
        <v>2440</v>
      </c>
      <c r="AR572" t="s">
        <v>2433</v>
      </c>
    </row>
    <row r="573" spans="1:44" x14ac:dyDescent="0.3">
      <c r="A573">
        <v>3869</v>
      </c>
      <c r="B573">
        <v>4</v>
      </c>
      <c r="C573">
        <v>4026005</v>
      </c>
      <c r="D573">
        <v>25194</v>
      </c>
      <c r="E573">
        <v>2</v>
      </c>
      <c r="F573">
        <v>670050</v>
      </c>
      <c r="G573" t="s">
        <v>91</v>
      </c>
      <c r="H573" t="s">
        <v>41</v>
      </c>
      <c r="I573">
        <v>0</v>
      </c>
      <c r="J573" s="1">
        <v>405439.36300000001</v>
      </c>
      <c r="K573" s="1">
        <v>281261.20500000002</v>
      </c>
      <c r="L573" s="1">
        <v>405437.88299999997</v>
      </c>
      <c r="M573" s="1">
        <v>281263.41600000003</v>
      </c>
      <c r="N573" t="s">
        <v>40</v>
      </c>
      <c r="P573" t="s">
        <v>40</v>
      </c>
      <c r="Q573">
        <v>0</v>
      </c>
      <c r="R573">
        <v>0</v>
      </c>
      <c r="S573">
        <v>0</v>
      </c>
      <c r="T573">
        <v>6</v>
      </c>
      <c r="U573">
        <v>6</v>
      </c>
      <c r="V573">
        <v>1</v>
      </c>
      <c r="W573">
        <v>2</v>
      </c>
      <c r="X573" t="s">
        <v>40</v>
      </c>
      <c r="Y573">
        <v>3</v>
      </c>
      <c r="Z573">
        <v>86</v>
      </c>
      <c r="AA573">
        <v>1</v>
      </c>
      <c r="AB573">
        <v>0</v>
      </c>
      <c r="AC573">
        <v>138.56899999999999</v>
      </c>
      <c r="AD573">
        <v>5059</v>
      </c>
      <c r="AH573">
        <v>0</v>
      </c>
      <c r="AI573">
        <v>0</v>
      </c>
      <c r="AL573" t="s">
        <v>40</v>
      </c>
      <c r="AM573" t="str">
        <f t="shared" si="45"/>
        <v>86 1</v>
      </c>
      <c r="AN573" s="6" t="s">
        <v>1248</v>
      </c>
      <c r="AO573" s="6" t="s">
        <v>1710</v>
      </c>
      <c r="AQ573" t="s">
        <v>2441</v>
      </c>
      <c r="AR573" t="s">
        <v>2442</v>
      </c>
    </row>
    <row r="574" spans="1:44" x14ac:dyDescent="0.3">
      <c r="A574">
        <v>3869</v>
      </c>
      <c r="B574">
        <v>4</v>
      </c>
      <c r="C574">
        <v>4026017</v>
      </c>
      <c r="D574">
        <v>25122</v>
      </c>
      <c r="E574">
        <v>2</v>
      </c>
      <c r="F574">
        <v>670050</v>
      </c>
      <c r="G574" t="s">
        <v>91</v>
      </c>
      <c r="H574" t="s">
        <v>41</v>
      </c>
      <c r="I574">
        <v>0</v>
      </c>
      <c r="J574" s="1">
        <v>405552.386</v>
      </c>
      <c r="K574" s="1">
        <v>281207.38099999999</v>
      </c>
      <c r="L574" s="1">
        <v>405555.87099999998</v>
      </c>
      <c r="M574" s="1">
        <v>281207.51699999999</v>
      </c>
      <c r="N574" t="s">
        <v>40</v>
      </c>
      <c r="P574" t="s">
        <v>40</v>
      </c>
      <c r="Q574">
        <v>0</v>
      </c>
      <c r="R574">
        <v>0</v>
      </c>
      <c r="S574">
        <v>0</v>
      </c>
      <c r="T574">
        <v>6</v>
      </c>
      <c r="U574">
        <v>6</v>
      </c>
      <c r="V574">
        <v>1</v>
      </c>
      <c r="W574">
        <v>2</v>
      </c>
      <c r="X574" t="s">
        <v>40</v>
      </c>
      <c r="Y574">
        <v>3</v>
      </c>
      <c r="Z574">
        <v>5024</v>
      </c>
      <c r="AA574">
        <v>1</v>
      </c>
      <c r="AB574">
        <v>0</v>
      </c>
      <c r="AC574">
        <v>8.1760000000000002</v>
      </c>
      <c r="AD574">
        <v>5059</v>
      </c>
      <c r="AH574">
        <v>0</v>
      </c>
      <c r="AI574">
        <v>0</v>
      </c>
      <c r="AL574" t="s">
        <v>40</v>
      </c>
      <c r="AM574" t="str">
        <f t="shared" si="45"/>
        <v>5024 1</v>
      </c>
      <c r="AN574" s="6" t="s">
        <v>1710</v>
      </c>
      <c r="AO574" s="6" t="s">
        <v>438</v>
      </c>
      <c r="AQ574" t="s">
        <v>2442</v>
      </c>
      <c r="AR574" t="s">
        <v>762</v>
      </c>
    </row>
    <row r="575" spans="1:44" x14ac:dyDescent="0.3">
      <c r="A575">
        <v>3869</v>
      </c>
      <c r="B575">
        <v>4</v>
      </c>
      <c r="C575">
        <v>4019520</v>
      </c>
      <c r="D575">
        <v>18334</v>
      </c>
      <c r="E575">
        <v>2</v>
      </c>
      <c r="F575">
        <v>670050</v>
      </c>
      <c r="G575" t="s">
        <v>91</v>
      </c>
      <c r="H575" t="s">
        <v>54</v>
      </c>
      <c r="I575">
        <v>0</v>
      </c>
      <c r="J575" s="1">
        <v>406000</v>
      </c>
      <c r="K575" s="1">
        <v>282130.12400000001</v>
      </c>
      <c r="L575" s="1">
        <v>405929.837</v>
      </c>
      <c r="M575" s="1">
        <v>282103.18099999998</v>
      </c>
      <c r="N575" t="s">
        <v>40</v>
      </c>
      <c r="P575" t="s">
        <v>40</v>
      </c>
      <c r="Q575">
        <v>0</v>
      </c>
      <c r="R575">
        <v>0</v>
      </c>
      <c r="S575">
        <v>0</v>
      </c>
      <c r="T575">
        <v>6</v>
      </c>
      <c r="U575">
        <v>6</v>
      </c>
      <c r="V575">
        <v>1</v>
      </c>
      <c r="W575">
        <v>2</v>
      </c>
      <c r="X575" t="s">
        <v>40</v>
      </c>
      <c r="Y575">
        <v>3</v>
      </c>
      <c r="Z575">
        <v>89</v>
      </c>
      <c r="AA575">
        <v>1</v>
      </c>
      <c r="AB575">
        <v>0</v>
      </c>
      <c r="AC575">
        <v>186.28800000000001</v>
      </c>
      <c r="AD575">
        <v>5059</v>
      </c>
      <c r="AH575">
        <v>0</v>
      </c>
      <c r="AI575">
        <v>0</v>
      </c>
      <c r="AL575" t="s">
        <v>40</v>
      </c>
      <c r="AM575" t="str">
        <f t="shared" si="45"/>
        <v>89 1</v>
      </c>
      <c r="AN575" s="6" t="s">
        <v>1255</v>
      </c>
      <c r="AO575" s="6" t="s">
        <v>1263</v>
      </c>
      <c r="AQ575" t="s">
        <v>2443</v>
      </c>
      <c r="AR575" t="s">
        <v>2444</v>
      </c>
    </row>
    <row r="576" spans="1:44" x14ac:dyDescent="0.3">
      <c r="A576">
        <v>3869</v>
      </c>
      <c r="B576">
        <v>4</v>
      </c>
      <c r="C576">
        <v>4019491</v>
      </c>
      <c r="D576">
        <v>18135</v>
      </c>
      <c r="E576">
        <v>2</v>
      </c>
      <c r="F576">
        <v>670050</v>
      </c>
      <c r="G576" t="s">
        <v>91</v>
      </c>
      <c r="H576" t="s">
        <v>54</v>
      </c>
      <c r="I576">
        <v>0</v>
      </c>
      <c r="J576" s="1">
        <v>405832.44</v>
      </c>
      <c r="K576" s="1">
        <v>282067.17499999999</v>
      </c>
      <c r="L576" s="1">
        <v>405812.97</v>
      </c>
      <c r="M576" s="1">
        <v>282047.35600000003</v>
      </c>
      <c r="N576" t="s">
        <v>40</v>
      </c>
      <c r="P576" t="s">
        <v>40</v>
      </c>
      <c r="Q576">
        <v>0</v>
      </c>
      <c r="R576">
        <v>0</v>
      </c>
      <c r="S576">
        <v>0</v>
      </c>
      <c r="T576">
        <v>6</v>
      </c>
      <c r="U576">
        <v>6</v>
      </c>
      <c r="V576">
        <v>1</v>
      </c>
      <c r="W576">
        <v>2</v>
      </c>
      <c r="X576" t="s">
        <v>40</v>
      </c>
      <c r="Y576">
        <v>3</v>
      </c>
      <c r="Z576">
        <v>89</v>
      </c>
      <c r="AA576">
        <v>1</v>
      </c>
      <c r="AB576">
        <v>0</v>
      </c>
      <c r="AC576">
        <v>27.966000000000001</v>
      </c>
      <c r="AD576">
        <v>5059</v>
      </c>
      <c r="AH576">
        <v>0</v>
      </c>
      <c r="AI576">
        <v>0</v>
      </c>
      <c r="AL576" t="s">
        <v>40</v>
      </c>
      <c r="AM576" t="str">
        <f t="shared" si="45"/>
        <v>89 1</v>
      </c>
      <c r="AN576" t="str">
        <f t="shared" si="46"/>
        <v>405832.44,282067.175</v>
      </c>
      <c r="AO576" t="str">
        <f t="shared" si="47"/>
        <v>405812.97,282047.356</v>
      </c>
      <c r="AQ576" t="s">
        <v>2445</v>
      </c>
      <c r="AR576" t="s">
        <v>2446</v>
      </c>
    </row>
    <row r="577" spans="1:44" x14ac:dyDescent="0.3">
      <c r="A577">
        <v>3869</v>
      </c>
      <c r="B577">
        <v>4</v>
      </c>
      <c r="C577">
        <v>4019483</v>
      </c>
      <c r="D577">
        <v>18041</v>
      </c>
      <c r="E577">
        <v>2</v>
      </c>
      <c r="F577">
        <v>670050</v>
      </c>
      <c r="G577" t="s">
        <v>91</v>
      </c>
      <c r="H577" t="s">
        <v>54</v>
      </c>
      <c r="I577">
        <v>0</v>
      </c>
      <c r="J577" s="1">
        <v>405788.47499999998</v>
      </c>
      <c r="K577" s="1">
        <v>282024.28899999999</v>
      </c>
      <c r="L577" s="1">
        <v>405806.41600000003</v>
      </c>
      <c r="M577" s="1">
        <v>282040.55200000003</v>
      </c>
      <c r="N577" t="s">
        <v>40</v>
      </c>
      <c r="P577" t="s">
        <v>40</v>
      </c>
      <c r="Q577">
        <v>0</v>
      </c>
      <c r="R577">
        <v>0</v>
      </c>
      <c r="S577">
        <v>0</v>
      </c>
      <c r="T577">
        <v>6</v>
      </c>
      <c r="U577">
        <v>6</v>
      </c>
      <c r="V577">
        <v>1</v>
      </c>
      <c r="W577">
        <v>2</v>
      </c>
      <c r="X577" t="s">
        <v>40</v>
      </c>
      <c r="Y577">
        <v>3</v>
      </c>
      <c r="Z577">
        <v>89</v>
      </c>
      <c r="AA577">
        <v>1</v>
      </c>
      <c r="AB577">
        <v>0</v>
      </c>
      <c r="AC577">
        <v>206.334</v>
      </c>
      <c r="AD577">
        <v>5059</v>
      </c>
      <c r="AH577">
        <v>0</v>
      </c>
      <c r="AI577">
        <v>0</v>
      </c>
      <c r="AL577" t="s">
        <v>40</v>
      </c>
      <c r="AM577" t="str">
        <f t="shared" si="45"/>
        <v>89 1</v>
      </c>
      <c r="AN577" s="6" t="s">
        <v>1250</v>
      </c>
      <c r="AO577" s="6" t="s">
        <v>1243</v>
      </c>
      <c r="AQ577" t="s">
        <v>2447</v>
      </c>
      <c r="AR577" t="s">
        <v>2431</v>
      </c>
    </row>
    <row r="578" spans="1:44" x14ac:dyDescent="0.3">
      <c r="A578">
        <v>3869</v>
      </c>
      <c r="B578">
        <v>4</v>
      </c>
      <c r="C578">
        <v>4019484</v>
      </c>
      <c r="D578">
        <v>18032</v>
      </c>
      <c r="E578">
        <v>2</v>
      </c>
      <c r="F578">
        <v>670050</v>
      </c>
      <c r="G578" t="s">
        <v>91</v>
      </c>
      <c r="H578" t="s">
        <v>54</v>
      </c>
      <c r="I578">
        <v>0</v>
      </c>
      <c r="J578" s="1">
        <v>405806.41600000003</v>
      </c>
      <c r="K578" s="1">
        <v>282040.55200000003</v>
      </c>
      <c r="L578" s="1">
        <v>405812.97</v>
      </c>
      <c r="M578" s="1">
        <v>282047.35600000003</v>
      </c>
      <c r="N578" t="s">
        <v>40</v>
      </c>
      <c r="P578" t="s">
        <v>40</v>
      </c>
      <c r="Q578">
        <v>0</v>
      </c>
      <c r="R578">
        <v>0</v>
      </c>
      <c r="S578">
        <v>0</v>
      </c>
      <c r="T578">
        <v>6</v>
      </c>
      <c r="U578">
        <v>6</v>
      </c>
      <c r="V578">
        <v>1</v>
      </c>
      <c r="W578">
        <v>2</v>
      </c>
      <c r="X578" t="s">
        <v>40</v>
      </c>
      <c r="Y578">
        <v>3</v>
      </c>
      <c r="Z578">
        <v>38</v>
      </c>
      <c r="AA578">
        <v>5001</v>
      </c>
      <c r="AB578">
        <v>0</v>
      </c>
      <c r="AC578">
        <v>9.452</v>
      </c>
      <c r="AD578">
        <v>5059</v>
      </c>
      <c r="AH578">
        <v>0</v>
      </c>
      <c r="AI578">
        <v>0</v>
      </c>
      <c r="AL578" t="s">
        <v>40</v>
      </c>
      <c r="AM578" t="str">
        <f t="shared" si="45"/>
        <v>38 5001</v>
      </c>
      <c r="AN578" t="str">
        <f t="shared" si="46"/>
        <v>405806.416,282040.552</v>
      </c>
      <c r="AO578" t="str">
        <f t="shared" si="47"/>
        <v>405812.97,282047.356</v>
      </c>
      <c r="AQ578" t="s">
        <v>2447</v>
      </c>
      <c r="AR578" t="s">
        <v>2446</v>
      </c>
    </row>
    <row r="579" spans="1:44" x14ac:dyDescent="0.3">
      <c r="A579">
        <v>3869</v>
      </c>
      <c r="B579">
        <v>4</v>
      </c>
      <c r="C579">
        <v>4011682</v>
      </c>
      <c r="D579">
        <v>10852</v>
      </c>
      <c r="E579">
        <v>2</v>
      </c>
      <c r="F579">
        <v>670050</v>
      </c>
      <c r="G579" t="s">
        <v>91</v>
      </c>
      <c r="H579" t="s">
        <v>48</v>
      </c>
      <c r="I579">
        <v>0</v>
      </c>
      <c r="J579" s="1">
        <v>406168.13500000001</v>
      </c>
      <c r="K579" s="1">
        <v>282159.17599999998</v>
      </c>
      <c r="L579" s="1">
        <v>406140.47600000002</v>
      </c>
      <c r="M579" s="1">
        <v>282168.538</v>
      </c>
      <c r="N579" t="s">
        <v>40</v>
      </c>
      <c r="P579" t="s">
        <v>40</v>
      </c>
      <c r="Q579">
        <v>0</v>
      </c>
      <c r="R579">
        <v>0</v>
      </c>
      <c r="S579">
        <v>200706</v>
      </c>
      <c r="T579">
        <v>6</v>
      </c>
      <c r="U579">
        <v>6</v>
      </c>
      <c r="V579">
        <v>1</v>
      </c>
      <c r="W579">
        <v>2</v>
      </c>
      <c r="X579" t="s">
        <v>40</v>
      </c>
      <c r="Y579">
        <v>3</v>
      </c>
      <c r="Z579">
        <v>5023</v>
      </c>
      <c r="AA579">
        <v>1</v>
      </c>
      <c r="AB579">
        <v>0</v>
      </c>
      <c r="AC579">
        <v>29.934999999999999</v>
      </c>
      <c r="AD579">
        <v>5059</v>
      </c>
      <c r="AH579">
        <v>0</v>
      </c>
      <c r="AI579">
        <v>0</v>
      </c>
      <c r="AL579" t="s">
        <v>40</v>
      </c>
      <c r="AM579" t="str">
        <f t="shared" si="45"/>
        <v>5023 1</v>
      </c>
      <c r="AN579" t="str">
        <f t="shared" si="46"/>
        <v>406168.135,282159.176</v>
      </c>
      <c r="AO579" t="str">
        <f t="shared" si="47"/>
        <v>406140.476,282168.538</v>
      </c>
      <c r="AQ579" t="s">
        <v>2448</v>
      </c>
      <c r="AR579" t="s">
        <v>2449</v>
      </c>
    </row>
    <row r="580" spans="1:44" x14ac:dyDescent="0.3">
      <c r="A580">
        <v>3869</v>
      </c>
      <c r="B580">
        <v>4</v>
      </c>
      <c r="C580">
        <v>4011681</v>
      </c>
      <c r="D580">
        <v>10704</v>
      </c>
      <c r="E580">
        <v>2</v>
      </c>
      <c r="F580">
        <v>670050</v>
      </c>
      <c r="G580" t="s">
        <v>91</v>
      </c>
      <c r="H580" t="s">
        <v>48</v>
      </c>
      <c r="I580">
        <v>0</v>
      </c>
      <c r="J580" s="1">
        <v>406140.47600000002</v>
      </c>
      <c r="K580" s="1">
        <v>282168.538</v>
      </c>
      <c r="L580" s="1">
        <v>406097.74699999997</v>
      </c>
      <c r="M580" s="1">
        <v>282169.527</v>
      </c>
      <c r="N580" t="s">
        <v>40</v>
      </c>
      <c r="P580" t="s">
        <v>40</v>
      </c>
      <c r="Q580">
        <v>0</v>
      </c>
      <c r="R580">
        <v>0</v>
      </c>
      <c r="S580">
        <v>0</v>
      </c>
      <c r="T580">
        <v>6</v>
      </c>
      <c r="U580">
        <v>6</v>
      </c>
      <c r="V580">
        <v>1</v>
      </c>
      <c r="W580">
        <v>2</v>
      </c>
      <c r="X580" t="s">
        <v>40</v>
      </c>
      <c r="Y580">
        <v>3</v>
      </c>
      <c r="Z580">
        <v>88</v>
      </c>
      <c r="AA580">
        <v>1</v>
      </c>
      <c r="AB580">
        <v>0</v>
      </c>
      <c r="AC580">
        <v>82.824999999999989</v>
      </c>
      <c r="AD580">
        <v>5059</v>
      </c>
      <c r="AH580">
        <v>0</v>
      </c>
      <c r="AI580">
        <v>0</v>
      </c>
      <c r="AL580" t="s">
        <v>40</v>
      </c>
      <c r="AM580" t="str">
        <f t="shared" si="45"/>
        <v>88 1</v>
      </c>
      <c r="AN580" s="6" t="s">
        <v>1717</v>
      </c>
      <c r="AO580" s="6" t="s">
        <v>1252</v>
      </c>
      <c r="AQ580" t="s">
        <v>2450</v>
      </c>
      <c r="AR580" t="s">
        <v>2449</v>
      </c>
    </row>
    <row r="581" spans="1:44" x14ac:dyDescent="0.3">
      <c r="A581">
        <v>3869</v>
      </c>
      <c r="B581">
        <v>4</v>
      </c>
      <c r="C581">
        <v>4025972</v>
      </c>
      <c r="D581">
        <v>22991</v>
      </c>
      <c r="E581">
        <v>2</v>
      </c>
      <c r="F581">
        <v>670050</v>
      </c>
      <c r="G581" t="s">
        <v>91</v>
      </c>
      <c r="H581" t="s">
        <v>41</v>
      </c>
      <c r="I581">
        <v>0</v>
      </c>
      <c r="J581" s="1">
        <v>405384.685</v>
      </c>
      <c r="K581" s="1">
        <v>281058.79100000003</v>
      </c>
      <c r="L581" s="1">
        <v>405385.38099999999</v>
      </c>
      <c r="M581" s="1">
        <v>281053.38400000002</v>
      </c>
      <c r="N581" t="s">
        <v>40</v>
      </c>
      <c r="P581" t="s">
        <v>40</v>
      </c>
      <c r="Q581">
        <v>0</v>
      </c>
      <c r="R581">
        <v>0</v>
      </c>
      <c r="S581">
        <v>0</v>
      </c>
      <c r="T581">
        <v>6</v>
      </c>
      <c r="U581">
        <v>6</v>
      </c>
      <c r="V581">
        <v>1</v>
      </c>
      <c r="W581">
        <v>2</v>
      </c>
      <c r="X581" t="s">
        <v>40</v>
      </c>
      <c r="Y581">
        <v>3</v>
      </c>
      <c r="Z581">
        <v>38</v>
      </c>
      <c r="AA581">
        <v>1</v>
      </c>
      <c r="AB581">
        <v>0</v>
      </c>
      <c r="AC581">
        <v>5.452</v>
      </c>
      <c r="AD581">
        <v>5059</v>
      </c>
      <c r="AH581">
        <v>0</v>
      </c>
      <c r="AI581">
        <v>0</v>
      </c>
      <c r="AL581" t="s">
        <v>40</v>
      </c>
      <c r="AM581" t="str">
        <f t="shared" si="45"/>
        <v>38 1</v>
      </c>
      <c r="AN581" t="str">
        <f t="shared" si="46"/>
        <v>405384.685,281058.791</v>
      </c>
      <c r="AO581" t="str">
        <f t="shared" si="47"/>
        <v>405385.381,281053.384</v>
      </c>
      <c r="AQ581" t="s">
        <v>2432</v>
      </c>
      <c r="AR581" t="s">
        <v>2435</v>
      </c>
    </row>
    <row r="582" spans="1:44" x14ac:dyDescent="0.3">
      <c r="A582">
        <v>3869</v>
      </c>
      <c r="B582">
        <v>4</v>
      </c>
      <c r="C582">
        <v>4019493</v>
      </c>
      <c r="D582">
        <v>34294</v>
      </c>
      <c r="E582">
        <v>2</v>
      </c>
      <c r="F582">
        <v>670050</v>
      </c>
      <c r="G582" t="s">
        <v>91</v>
      </c>
      <c r="H582" t="s">
        <v>54</v>
      </c>
      <c r="I582">
        <v>0</v>
      </c>
      <c r="J582" s="1">
        <v>405832.44</v>
      </c>
      <c r="K582" s="1">
        <v>282067.17499999999</v>
      </c>
      <c r="L582" s="1">
        <v>405838.74400000001</v>
      </c>
      <c r="M582" s="1">
        <v>282029.05599999998</v>
      </c>
      <c r="N582" t="s">
        <v>40</v>
      </c>
      <c r="P582" t="s">
        <v>40</v>
      </c>
      <c r="Q582">
        <v>0</v>
      </c>
      <c r="R582">
        <v>0</v>
      </c>
      <c r="S582">
        <v>200807</v>
      </c>
      <c r="T582">
        <v>6</v>
      </c>
      <c r="U582">
        <v>6</v>
      </c>
      <c r="V582">
        <v>1</v>
      </c>
      <c r="W582">
        <v>2</v>
      </c>
      <c r="X582" t="s">
        <v>40</v>
      </c>
      <c r="Y582">
        <v>3</v>
      </c>
      <c r="Z582">
        <v>5028</v>
      </c>
      <c r="AA582">
        <v>1</v>
      </c>
      <c r="AB582">
        <v>0</v>
      </c>
      <c r="AC582">
        <v>46.234999999999999</v>
      </c>
      <c r="AD582">
        <v>5059</v>
      </c>
      <c r="AH582">
        <v>0</v>
      </c>
      <c r="AI582">
        <v>0</v>
      </c>
      <c r="AL582" t="s">
        <v>40</v>
      </c>
      <c r="AM582" t="str">
        <f t="shared" si="45"/>
        <v>5028 1</v>
      </c>
      <c r="AN582" t="str">
        <f t="shared" si="46"/>
        <v>405832.44,282067.175</v>
      </c>
      <c r="AO582" t="str">
        <f t="shared" si="47"/>
        <v>405838.744,282029.056</v>
      </c>
      <c r="AQ582" t="s">
        <v>2445</v>
      </c>
      <c r="AR582" t="s">
        <v>764</v>
      </c>
    </row>
    <row r="583" spans="1:44" x14ac:dyDescent="0.3">
      <c r="A583">
        <v>3869</v>
      </c>
      <c r="B583">
        <v>4</v>
      </c>
      <c r="C583">
        <v>4023206</v>
      </c>
      <c r="D583">
        <v>23406</v>
      </c>
      <c r="E583">
        <v>2</v>
      </c>
      <c r="F583">
        <v>670050</v>
      </c>
      <c r="G583" t="s">
        <v>91</v>
      </c>
      <c r="H583" t="s">
        <v>43</v>
      </c>
      <c r="I583">
        <v>0</v>
      </c>
      <c r="J583" s="1">
        <v>405623.68900000001</v>
      </c>
      <c r="K583" s="1">
        <v>280969.93400000001</v>
      </c>
      <c r="L583" s="1">
        <v>405671.522</v>
      </c>
      <c r="M583" s="1">
        <v>280977.52299999999</v>
      </c>
      <c r="N583" t="s">
        <v>40</v>
      </c>
      <c r="P583" t="s">
        <v>40</v>
      </c>
      <c r="Q583">
        <v>0</v>
      </c>
      <c r="R583">
        <v>0</v>
      </c>
      <c r="S583">
        <v>0</v>
      </c>
      <c r="T583">
        <v>6</v>
      </c>
      <c r="U583">
        <v>6</v>
      </c>
      <c r="V583">
        <v>1</v>
      </c>
      <c r="W583">
        <v>1</v>
      </c>
      <c r="X583" t="s">
        <v>40</v>
      </c>
      <c r="Y583">
        <v>3</v>
      </c>
      <c r="Z583">
        <v>40</v>
      </c>
      <c r="AA583">
        <v>1</v>
      </c>
      <c r="AB583">
        <v>0</v>
      </c>
      <c r="AC583">
        <v>57.883000000000003</v>
      </c>
      <c r="AD583">
        <v>5059</v>
      </c>
      <c r="AH583">
        <v>0</v>
      </c>
      <c r="AI583">
        <v>0</v>
      </c>
      <c r="AL583" t="s">
        <v>40</v>
      </c>
      <c r="AM583" t="str">
        <f t="shared" si="45"/>
        <v>40 1</v>
      </c>
      <c r="AN583" t="str">
        <f t="shared" si="46"/>
        <v>405623.689,280969.934</v>
      </c>
      <c r="AO583" t="str">
        <f t="shared" si="47"/>
        <v>405671.522,280977.523</v>
      </c>
      <c r="AQ583" t="s">
        <v>2451</v>
      </c>
      <c r="AR583" t="s">
        <v>2439</v>
      </c>
    </row>
    <row r="584" spans="1:44" x14ac:dyDescent="0.3">
      <c r="A584">
        <v>3869</v>
      </c>
      <c r="B584">
        <v>4</v>
      </c>
      <c r="C584">
        <v>4026066</v>
      </c>
      <c r="D584">
        <v>77892</v>
      </c>
      <c r="E584">
        <v>2</v>
      </c>
      <c r="F584">
        <v>670050</v>
      </c>
      <c r="G584" t="s">
        <v>91</v>
      </c>
      <c r="H584" t="s">
        <v>41</v>
      </c>
      <c r="I584">
        <v>0</v>
      </c>
      <c r="J584" s="1">
        <v>405447.69300000003</v>
      </c>
      <c r="K584" s="1">
        <v>281322.33799999999</v>
      </c>
      <c r="L584" s="1">
        <v>405444.80699999997</v>
      </c>
      <c r="M584" s="1">
        <v>281321.17099999997</v>
      </c>
      <c r="N584" t="s">
        <v>40</v>
      </c>
      <c r="P584" t="s">
        <v>40</v>
      </c>
      <c r="Q584">
        <v>0</v>
      </c>
      <c r="R584">
        <v>0</v>
      </c>
      <c r="S584">
        <v>200807</v>
      </c>
      <c r="T584">
        <v>6</v>
      </c>
      <c r="U584">
        <v>6</v>
      </c>
      <c r="V584">
        <v>1</v>
      </c>
      <c r="W584">
        <v>2</v>
      </c>
      <c r="X584" t="s">
        <v>40</v>
      </c>
      <c r="Y584">
        <v>3</v>
      </c>
      <c r="Z584">
        <v>5023</v>
      </c>
      <c r="AA584">
        <v>1</v>
      </c>
      <c r="AB584">
        <v>0</v>
      </c>
      <c r="AC584">
        <v>4.2880000000000003</v>
      </c>
      <c r="AD584">
        <v>5059</v>
      </c>
      <c r="AH584">
        <v>0</v>
      </c>
      <c r="AI584">
        <v>0</v>
      </c>
      <c r="AL584" t="s">
        <v>40</v>
      </c>
      <c r="AM584" t="str">
        <f t="shared" si="45"/>
        <v>5023 1</v>
      </c>
      <c r="AN584" t="str">
        <f t="shared" si="46"/>
        <v>405447.693,281322.338</v>
      </c>
      <c r="AO584" t="str">
        <f t="shared" si="47"/>
        <v>405444.807,281321.171</v>
      </c>
      <c r="AQ584" t="s">
        <v>2422</v>
      </c>
      <c r="AR584" t="s">
        <v>766</v>
      </c>
    </row>
    <row r="585" spans="1:44" x14ac:dyDescent="0.3">
      <c r="A585">
        <v>3869</v>
      </c>
      <c r="B585">
        <v>4</v>
      </c>
      <c r="C585">
        <v>4020485</v>
      </c>
      <c r="D585">
        <v>19603</v>
      </c>
      <c r="E585">
        <v>2</v>
      </c>
      <c r="F585">
        <v>670050</v>
      </c>
      <c r="G585" t="s">
        <v>91</v>
      </c>
      <c r="H585" t="s">
        <v>53</v>
      </c>
      <c r="I585">
        <v>0</v>
      </c>
      <c r="J585" s="1">
        <v>406843.39799999999</v>
      </c>
      <c r="K585" s="1">
        <v>281728.93699999998</v>
      </c>
      <c r="L585" s="1">
        <v>406883.83100000001</v>
      </c>
      <c r="M585" s="1">
        <v>281745.19900000002</v>
      </c>
      <c r="N585" t="s">
        <v>40</v>
      </c>
      <c r="P585" t="s">
        <v>40</v>
      </c>
      <c r="Q585">
        <v>0</v>
      </c>
      <c r="R585">
        <v>0</v>
      </c>
      <c r="S585">
        <v>0</v>
      </c>
      <c r="T585">
        <v>6</v>
      </c>
      <c r="U585">
        <v>6</v>
      </c>
      <c r="V585">
        <v>1</v>
      </c>
      <c r="W585">
        <v>2</v>
      </c>
      <c r="X585" t="s">
        <v>40</v>
      </c>
      <c r="Y585">
        <v>3</v>
      </c>
      <c r="Z585">
        <v>88</v>
      </c>
      <c r="AA585">
        <v>1</v>
      </c>
      <c r="AB585">
        <v>0</v>
      </c>
      <c r="AC585">
        <v>1001.774</v>
      </c>
      <c r="AD585">
        <v>5059</v>
      </c>
      <c r="AH585">
        <v>0</v>
      </c>
      <c r="AI585">
        <v>0</v>
      </c>
      <c r="AL585" t="s">
        <v>40</v>
      </c>
      <c r="AM585" t="str">
        <f t="shared" si="45"/>
        <v>88 1</v>
      </c>
      <c r="AN585" s="6" t="s">
        <v>1258</v>
      </c>
      <c r="AO585" s="6" t="s">
        <v>1251</v>
      </c>
      <c r="AQ585" t="s">
        <v>2452</v>
      </c>
      <c r="AR585" t="s">
        <v>2448</v>
      </c>
    </row>
    <row r="586" spans="1:44" x14ac:dyDescent="0.3">
      <c r="A586">
        <v>3869</v>
      </c>
      <c r="B586">
        <v>4</v>
      </c>
      <c r="C586">
        <v>4023212</v>
      </c>
      <c r="D586">
        <v>23015</v>
      </c>
      <c r="E586">
        <v>2</v>
      </c>
      <c r="F586">
        <v>670050</v>
      </c>
      <c r="G586" t="s">
        <v>91</v>
      </c>
      <c r="H586" t="s">
        <v>43</v>
      </c>
      <c r="I586">
        <v>0</v>
      </c>
      <c r="J586" s="1">
        <v>405192.62199999997</v>
      </c>
      <c r="K586" s="1">
        <v>280980.35399999999</v>
      </c>
      <c r="L586" s="1">
        <v>405149.45299999998</v>
      </c>
      <c r="M586" s="1">
        <v>280981.81800000003</v>
      </c>
      <c r="N586" t="s">
        <v>40</v>
      </c>
      <c r="P586" t="s">
        <v>40</v>
      </c>
      <c r="Q586">
        <v>0</v>
      </c>
      <c r="R586">
        <v>0</v>
      </c>
      <c r="S586">
        <v>0</v>
      </c>
      <c r="T586">
        <v>6</v>
      </c>
      <c r="U586">
        <v>6</v>
      </c>
      <c r="V586">
        <v>1</v>
      </c>
      <c r="W586">
        <v>1</v>
      </c>
      <c r="X586" t="s">
        <v>40</v>
      </c>
      <c r="Y586">
        <v>3</v>
      </c>
      <c r="Z586">
        <v>92</v>
      </c>
      <c r="AA586">
        <v>99</v>
      </c>
      <c r="AB586">
        <v>0</v>
      </c>
      <c r="AC586">
        <v>44.469000000000001</v>
      </c>
      <c r="AD586">
        <v>5059</v>
      </c>
      <c r="AH586">
        <v>0</v>
      </c>
      <c r="AI586">
        <v>0</v>
      </c>
      <c r="AL586" t="s">
        <v>40</v>
      </c>
      <c r="AM586" t="str">
        <f t="shared" si="45"/>
        <v>92 99</v>
      </c>
      <c r="AN586" t="str">
        <f t="shared" si="46"/>
        <v>405192.622,280980.354</v>
      </c>
      <c r="AO586" t="str">
        <f t="shared" si="47"/>
        <v>405149.453,280981.818</v>
      </c>
      <c r="AQ586" t="s">
        <v>2453</v>
      </c>
      <c r="AR586" t="s">
        <v>2454</v>
      </c>
    </row>
    <row r="587" spans="1:44" x14ac:dyDescent="0.3">
      <c r="A587">
        <v>3869</v>
      </c>
      <c r="B587">
        <v>4</v>
      </c>
      <c r="C587">
        <v>4023204</v>
      </c>
      <c r="D587">
        <v>23512</v>
      </c>
      <c r="E587">
        <v>2</v>
      </c>
      <c r="F587">
        <v>670050</v>
      </c>
      <c r="G587" t="s">
        <v>91</v>
      </c>
      <c r="H587" t="s">
        <v>43</v>
      </c>
      <c r="I587">
        <v>0</v>
      </c>
      <c r="J587" s="1">
        <v>405914.47200000001</v>
      </c>
      <c r="K587" s="1">
        <v>280973.53100000002</v>
      </c>
      <c r="L587" s="1">
        <v>405921.22499999998</v>
      </c>
      <c r="M587" s="1">
        <v>281000</v>
      </c>
      <c r="N587" t="s">
        <v>40</v>
      </c>
      <c r="P587" t="s">
        <v>40</v>
      </c>
      <c r="Q587">
        <v>0</v>
      </c>
      <c r="R587">
        <v>0</v>
      </c>
      <c r="S587">
        <v>0</v>
      </c>
      <c r="T587">
        <v>6</v>
      </c>
      <c r="U587">
        <v>6</v>
      </c>
      <c r="V587">
        <v>1</v>
      </c>
      <c r="W587">
        <v>1</v>
      </c>
      <c r="X587" t="s">
        <v>40</v>
      </c>
      <c r="Y587">
        <v>3</v>
      </c>
      <c r="Z587">
        <v>54</v>
      </c>
      <c r="AA587">
        <v>1</v>
      </c>
      <c r="AB587">
        <v>0</v>
      </c>
      <c r="AC587">
        <v>52.326000000000001</v>
      </c>
      <c r="AD587">
        <v>5059</v>
      </c>
      <c r="AH587">
        <v>0</v>
      </c>
      <c r="AI587">
        <v>0</v>
      </c>
      <c r="AL587" t="s">
        <v>40</v>
      </c>
      <c r="AM587" t="str">
        <f t="shared" si="45"/>
        <v>54 1</v>
      </c>
      <c r="AN587" s="6" t="s">
        <v>1264</v>
      </c>
      <c r="AO587" s="6" t="s">
        <v>1242</v>
      </c>
      <c r="AQ587" t="s">
        <v>2455</v>
      </c>
      <c r="AR587" t="s">
        <v>2430</v>
      </c>
    </row>
    <row r="588" spans="1:44" x14ac:dyDescent="0.3">
      <c r="A588">
        <v>3869</v>
      </c>
      <c r="B588">
        <v>4</v>
      </c>
      <c r="C588">
        <v>4020502</v>
      </c>
      <c r="D588">
        <v>35677</v>
      </c>
      <c r="E588">
        <v>2</v>
      </c>
      <c r="F588">
        <v>670050</v>
      </c>
      <c r="G588" t="s">
        <v>91</v>
      </c>
      <c r="H588" t="s">
        <v>53</v>
      </c>
      <c r="I588">
        <v>0</v>
      </c>
      <c r="J588" s="1">
        <v>406954.152</v>
      </c>
      <c r="K588" s="1">
        <v>281798.81099999999</v>
      </c>
      <c r="L588" s="1">
        <v>406987.04100000003</v>
      </c>
      <c r="M588" s="1">
        <v>281760.94699999999</v>
      </c>
      <c r="N588" t="s">
        <v>40</v>
      </c>
      <c r="P588" t="s">
        <v>40</v>
      </c>
      <c r="Q588">
        <v>0</v>
      </c>
      <c r="R588">
        <v>0</v>
      </c>
      <c r="S588">
        <v>0</v>
      </c>
      <c r="T588">
        <v>6</v>
      </c>
      <c r="U588">
        <v>6</v>
      </c>
      <c r="V588">
        <v>1</v>
      </c>
      <c r="W588">
        <v>2</v>
      </c>
      <c r="X588" t="s">
        <v>40</v>
      </c>
      <c r="Y588">
        <v>3</v>
      </c>
      <c r="Z588">
        <v>92</v>
      </c>
      <c r="AA588">
        <v>1</v>
      </c>
      <c r="AB588">
        <v>0</v>
      </c>
      <c r="AC588">
        <v>53.584000000000003</v>
      </c>
      <c r="AD588">
        <v>5059</v>
      </c>
      <c r="AH588">
        <v>0</v>
      </c>
      <c r="AI588">
        <v>0</v>
      </c>
      <c r="AL588" t="s">
        <v>40</v>
      </c>
      <c r="AM588" t="str">
        <f t="shared" si="45"/>
        <v>92 1</v>
      </c>
      <c r="AN588" t="str">
        <f t="shared" si="46"/>
        <v>406954.152,281798.811</v>
      </c>
      <c r="AO588" t="str">
        <f t="shared" si="47"/>
        <v>406987.041,281760.947</v>
      </c>
      <c r="AQ588" t="s">
        <v>2452</v>
      </c>
      <c r="AR588" t="s">
        <v>786</v>
      </c>
    </row>
    <row r="589" spans="1:44" x14ac:dyDescent="0.3">
      <c r="A589">
        <v>3869</v>
      </c>
      <c r="B589">
        <v>4</v>
      </c>
      <c r="C589">
        <v>4026074</v>
      </c>
      <c r="D589">
        <v>23115</v>
      </c>
      <c r="E589">
        <v>2</v>
      </c>
      <c r="F589">
        <v>670050</v>
      </c>
      <c r="G589" t="s">
        <v>91</v>
      </c>
      <c r="H589" t="s">
        <v>41</v>
      </c>
      <c r="I589">
        <v>0</v>
      </c>
      <c r="J589" s="1">
        <v>405435.94400000002</v>
      </c>
      <c r="K589" s="1">
        <v>281358.66499999998</v>
      </c>
      <c r="L589" s="1">
        <v>405451.16399999999</v>
      </c>
      <c r="M589" s="1">
        <v>281336.19199999998</v>
      </c>
      <c r="N589" t="s">
        <v>40</v>
      </c>
      <c r="P589" t="s">
        <v>40</v>
      </c>
      <c r="Q589">
        <v>0</v>
      </c>
      <c r="R589">
        <v>0</v>
      </c>
      <c r="S589">
        <v>0</v>
      </c>
      <c r="T589">
        <v>6</v>
      </c>
      <c r="U589">
        <v>6</v>
      </c>
      <c r="V589">
        <v>1</v>
      </c>
      <c r="W589">
        <v>2</v>
      </c>
      <c r="X589" t="s">
        <v>40</v>
      </c>
      <c r="Y589">
        <v>3</v>
      </c>
      <c r="Z589">
        <v>38</v>
      </c>
      <c r="AA589">
        <v>5001</v>
      </c>
      <c r="AB589">
        <v>0</v>
      </c>
      <c r="AC589">
        <v>33.613999999999997</v>
      </c>
      <c r="AD589">
        <v>5059</v>
      </c>
      <c r="AH589">
        <v>0</v>
      </c>
      <c r="AI589">
        <v>0</v>
      </c>
      <c r="AL589" t="s">
        <v>40</v>
      </c>
      <c r="AM589" t="str">
        <f t="shared" si="45"/>
        <v>38 5001</v>
      </c>
      <c r="AN589" t="str">
        <f t="shared" si="46"/>
        <v>405435.944,281358.665</v>
      </c>
      <c r="AO589" t="str">
        <f t="shared" si="47"/>
        <v>405451.164,281336.192</v>
      </c>
      <c r="AQ589" t="s">
        <v>2456</v>
      </c>
      <c r="AR589" t="s">
        <v>2421</v>
      </c>
    </row>
    <row r="590" spans="1:44" x14ac:dyDescent="0.3">
      <c r="A590">
        <v>3869</v>
      </c>
      <c r="B590">
        <v>4</v>
      </c>
      <c r="C590">
        <v>4026081</v>
      </c>
      <c r="D590">
        <v>23448</v>
      </c>
      <c r="E590">
        <v>2</v>
      </c>
      <c r="F590">
        <v>670050</v>
      </c>
      <c r="G590" t="s">
        <v>91</v>
      </c>
      <c r="H590" t="s">
        <v>41</v>
      </c>
      <c r="I590">
        <v>0</v>
      </c>
      <c r="J590" s="1">
        <v>405414.87800000003</v>
      </c>
      <c r="K590" s="1">
        <v>281388.58399999997</v>
      </c>
      <c r="L590" s="1">
        <v>405435.94400000002</v>
      </c>
      <c r="M590" s="1">
        <v>281358.66499999998</v>
      </c>
      <c r="N590" t="s">
        <v>40</v>
      </c>
      <c r="P590" t="s">
        <v>40</v>
      </c>
      <c r="Q590">
        <v>0</v>
      </c>
      <c r="R590">
        <v>0</v>
      </c>
      <c r="S590">
        <v>199809</v>
      </c>
      <c r="T590">
        <v>6</v>
      </c>
      <c r="U590">
        <v>6</v>
      </c>
      <c r="V590">
        <v>1</v>
      </c>
      <c r="W590">
        <v>2</v>
      </c>
      <c r="X590" t="s">
        <v>40</v>
      </c>
      <c r="Y590">
        <v>3</v>
      </c>
      <c r="Z590">
        <v>38</v>
      </c>
      <c r="AA590">
        <v>1</v>
      </c>
      <c r="AB590">
        <v>0</v>
      </c>
      <c r="AC590">
        <v>37.933</v>
      </c>
      <c r="AD590">
        <v>5059</v>
      </c>
      <c r="AH590">
        <v>0</v>
      </c>
      <c r="AI590">
        <v>0</v>
      </c>
      <c r="AL590" t="s">
        <v>40</v>
      </c>
      <c r="AM590" t="str">
        <f t="shared" si="45"/>
        <v>38 1</v>
      </c>
      <c r="AN590" t="str">
        <f t="shared" si="46"/>
        <v>405414.878,281388.584</v>
      </c>
      <c r="AO590" t="str">
        <f t="shared" si="47"/>
        <v>405435.944,281358.665</v>
      </c>
      <c r="AQ590" t="s">
        <v>2457</v>
      </c>
      <c r="AR590" t="s">
        <v>2456</v>
      </c>
    </row>
    <row r="591" spans="1:44" x14ac:dyDescent="0.3">
      <c r="A591">
        <v>3869</v>
      </c>
      <c r="B591">
        <v>4</v>
      </c>
      <c r="C591">
        <v>4026087</v>
      </c>
      <c r="D591">
        <v>23455</v>
      </c>
      <c r="E591">
        <v>2</v>
      </c>
      <c r="F591">
        <v>670050</v>
      </c>
      <c r="G591" t="s">
        <v>91</v>
      </c>
      <c r="H591" t="s">
        <v>41</v>
      </c>
      <c r="I591">
        <v>0</v>
      </c>
      <c r="J591" s="1">
        <v>405388.46600000001</v>
      </c>
      <c r="K591" s="1">
        <v>281418.90500000003</v>
      </c>
      <c r="L591" s="1">
        <v>405414.87800000003</v>
      </c>
      <c r="M591" s="1">
        <v>281388.58399999997</v>
      </c>
      <c r="N591" t="s">
        <v>40</v>
      </c>
      <c r="P591" t="s">
        <v>40</v>
      </c>
      <c r="Q591">
        <v>0</v>
      </c>
      <c r="R591">
        <v>0</v>
      </c>
      <c r="S591">
        <v>0</v>
      </c>
      <c r="T591">
        <v>6</v>
      </c>
      <c r="U591">
        <v>6</v>
      </c>
      <c r="V591">
        <v>1</v>
      </c>
      <c r="W591">
        <v>2</v>
      </c>
      <c r="X591" t="s">
        <v>40</v>
      </c>
      <c r="Y591">
        <v>3</v>
      </c>
      <c r="Z591">
        <v>89</v>
      </c>
      <c r="AA591">
        <v>1</v>
      </c>
      <c r="AB591">
        <v>0</v>
      </c>
      <c r="AC591">
        <v>40.305999999999997</v>
      </c>
      <c r="AD591">
        <v>5059</v>
      </c>
      <c r="AH591">
        <v>0</v>
      </c>
      <c r="AI591">
        <v>0</v>
      </c>
      <c r="AL591" t="s">
        <v>40</v>
      </c>
      <c r="AM591" t="str">
        <f t="shared" si="45"/>
        <v>89 1</v>
      </c>
      <c r="AN591" t="str">
        <f t="shared" si="46"/>
        <v>405388.466,281418.905</v>
      </c>
      <c r="AO591" t="str">
        <f t="shared" si="47"/>
        <v>405414.878,281388.584</v>
      </c>
      <c r="AQ591" t="s">
        <v>2458</v>
      </c>
      <c r="AR591" t="s">
        <v>2457</v>
      </c>
    </row>
    <row r="592" spans="1:44" x14ac:dyDescent="0.3">
      <c r="A592">
        <v>3869</v>
      </c>
      <c r="B592">
        <v>4</v>
      </c>
      <c r="C592">
        <v>4026098</v>
      </c>
      <c r="D592">
        <v>77913</v>
      </c>
      <c r="E592">
        <v>2</v>
      </c>
      <c r="F592">
        <v>670050</v>
      </c>
      <c r="G592" t="s">
        <v>91</v>
      </c>
      <c r="H592" t="s">
        <v>41</v>
      </c>
      <c r="I592">
        <v>0</v>
      </c>
      <c r="J592" s="1">
        <v>405388.46600000001</v>
      </c>
      <c r="K592" s="1">
        <v>281418.90500000003</v>
      </c>
      <c r="L592" s="1">
        <v>405355.69699999999</v>
      </c>
      <c r="M592" s="1">
        <v>281404.96000000002</v>
      </c>
      <c r="N592" t="s">
        <v>40</v>
      </c>
      <c r="P592" t="s">
        <v>40</v>
      </c>
      <c r="Q592">
        <v>0</v>
      </c>
      <c r="R592">
        <v>0</v>
      </c>
      <c r="S592">
        <v>0</v>
      </c>
      <c r="T592">
        <v>6</v>
      </c>
      <c r="U592">
        <v>6</v>
      </c>
      <c r="V592">
        <v>1</v>
      </c>
      <c r="W592">
        <v>2</v>
      </c>
      <c r="X592" t="s">
        <v>40</v>
      </c>
      <c r="Y592">
        <v>3</v>
      </c>
      <c r="Z592">
        <v>38</v>
      </c>
      <c r="AA592">
        <v>5001</v>
      </c>
      <c r="AB592">
        <v>0</v>
      </c>
      <c r="AC592">
        <v>36.512999999999998</v>
      </c>
      <c r="AD592">
        <v>5059</v>
      </c>
      <c r="AH592">
        <v>0</v>
      </c>
      <c r="AI592">
        <v>0</v>
      </c>
      <c r="AL592" t="s">
        <v>40</v>
      </c>
      <c r="AM592" t="str">
        <f t="shared" ref="AM592:AM624" si="48">_xlfn.CONCAT(Z592, " ",AA592)</f>
        <v>38 5001</v>
      </c>
      <c r="AN592" t="str">
        <f t="shared" si="46"/>
        <v>405388.466,281418.905</v>
      </c>
      <c r="AO592" t="str">
        <f t="shared" si="47"/>
        <v>405355.697,281404.96</v>
      </c>
      <c r="AQ592" t="s">
        <v>2458</v>
      </c>
      <c r="AR592" t="s">
        <v>764</v>
      </c>
    </row>
    <row r="593" spans="1:44" x14ac:dyDescent="0.3">
      <c r="A593">
        <v>3869</v>
      </c>
      <c r="B593">
        <v>4</v>
      </c>
      <c r="C593">
        <v>4023213</v>
      </c>
      <c r="D593">
        <v>23228</v>
      </c>
      <c r="E593">
        <v>2</v>
      </c>
      <c r="F593">
        <v>670050</v>
      </c>
      <c r="G593" t="s">
        <v>91</v>
      </c>
      <c r="H593" t="s">
        <v>43</v>
      </c>
      <c r="I593">
        <v>0</v>
      </c>
      <c r="J593" s="1">
        <v>405149.10399999999</v>
      </c>
      <c r="K593" s="1">
        <v>280979.84499999997</v>
      </c>
      <c r="L593" s="1">
        <v>405391.69400000002</v>
      </c>
      <c r="M593" s="1">
        <v>280995.58399999997</v>
      </c>
      <c r="N593" t="s">
        <v>40</v>
      </c>
      <c r="P593" t="s">
        <v>40</v>
      </c>
      <c r="Q593">
        <v>0</v>
      </c>
      <c r="R593">
        <v>0</v>
      </c>
      <c r="S593">
        <v>0</v>
      </c>
      <c r="T593">
        <v>6</v>
      </c>
      <c r="U593">
        <v>6</v>
      </c>
      <c r="V593">
        <v>1</v>
      </c>
      <c r="W593">
        <v>2</v>
      </c>
      <c r="X593" t="s">
        <v>40</v>
      </c>
      <c r="Y593">
        <v>3</v>
      </c>
      <c r="Z593">
        <v>89</v>
      </c>
      <c r="AA593">
        <v>99</v>
      </c>
      <c r="AB593">
        <v>0</v>
      </c>
      <c r="AC593">
        <v>257.33699999999999</v>
      </c>
      <c r="AD593">
        <v>5059</v>
      </c>
      <c r="AH593">
        <v>0</v>
      </c>
      <c r="AI593">
        <v>0</v>
      </c>
      <c r="AL593" t="s">
        <v>40</v>
      </c>
      <c r="AM593" t="str">
        <f t="shared" si="48"/>
        <v>89 99</v>
      </c>
      <c r="AN593" t="str">
        <f t="shared" si="46"/>
        <v>405149.104,280979.845</v>
      </c>
      <c r="AO593" t="str">
        <f t="shared" si="47"/>
        <v>405391.694,280995.584</v>
      </c>
      <c r="AQ593" t="s">
        <v>2459</v>
      </c>
      <c r="AR593" t="s">
        <v>2436</v>
      </c>
    </row>
    <row r="594" spans="1:44" x14ac:dyDescent="0.3">
      <c r="A594">
        <v>3869</v>
      </c>
      <c r="B594">
        <v>4</v>
      </c>
      <c r="C594">
        <v>4023208</v>
      </c>
      <c r="D594">
        <v>23204</v>
      </c>
      <c r="E594">
        <v>2</v>
      </c>
      <c r="F594">
        <v>670050</v>
      </c>
      <c r="G594" t="s">
        <v>91</v>
      </c>
      <c r="H594" t="s">
        <v>43</v>
      </c>
      <c r="I594">
        <v>0</v>
      </c>
      <c r="J594" s="1">
        <v>405347.065</v>
      </c>
      <c r="K594" s="1">
        <v>281000</v>
      </c>
      <c r="L594" s="1">
        <v>405298.36</v>
      </c>
      <c r="M594" s="1">
        <v>280994.20899999997</v>
      </c>
      <c r="N594" t="s">
        <v>40</v>
      </c>
      <c r="P594" t="s">
        <v>40</v>
      </c>
      <c r="Q594">
        <v>0</v>
      </c>
      <c r="R594">
        <v>0</v>
      </c>
      <c r="S594">
        <v>0</v>
      </c>
      <c r="T594">
        <v>6</v>
      </c>
      <c r="U594">
        <v>6</v>
      </c>
      <c r="V594">
        <v>1</v>
      </c>
      <c r="W594">
        <v>1</v>
      </c>
      <c r="X594" t="s">
        <v>40</v>
      </c>
      <c r="Y594">
        <v>3</v>
      </c>
      <c r="Z594">
        <v>92</v>
      </c>
      <c r="AA594">
        <v>1</v>
      </c>
      <c r="AB594">
        <v>0</v>
      </c>
      <c r="AC594">
        <v>592.84500000000003</v>
      </c>
      <c r="AD594">
        <v>5059</v>
      </c>
      <c r="AH594">
        <v>0</v>
      </c>
      <c r="AI594">
        <v>0</v>
      </c>
      <c r="AL594" t="s">
        <v>40</v>
      </c>
      <c r="AM594" t="str">
        <f t="shared" si="48"/>
        <v>92 1</v>
      </c>
      <c r="AN594" s="6" t="s">
        <v>1257</v>
      </c>
      <c r="AO594" s="6" t="s">
        <v>1254</v>
      </c>
      <c r="AQ594" t="s">
        <v>2453</v>
      </c>
      <c r="AR594" t="s">
        <v>2451</v>
      </c>
    </row>
    <row r="595" spans="1:44" x14ac:dyDescent="0.3">
      <c r="A595">
        <v>3869</v>
      </c>
      <c r="B595">
        <v>4</v>
      </c>
      <c r="C595">
        <v>4019510</v>
      </c>
      <c r="D595">
        <v>34295</v>
      </c>
      <c r="E595">
        <v>2</v>
      </c>
      <c r="F595">
        <v>670050</v>
      </c>
      <c r="G595" t="s">
        <v>91</v>
      </c>
      <c r="H595" t="s">
        <v>54</v>
      </c>
      <c r="I595">
        <v>0</v>
      </c>
      <c r="J595" s="1">
        <v>405832.72700000001</v>
      </c>
      <c r="K595" s="1">
        <v>282068.26899999997</v>
      </c>
      <c r="L595" s="1">
        <v>405839.52299999999</v>
      </c>
      <c r="M595" s="1">
        <v>282029.10499999998</v>
      </c>
      <c r="N595" t="s">
        <v>40</v>
      </c>
      <c r="P595" t="s">
        <v>40</v>
      </c>
      <c r="Q595">
        <v>0</v>
      </c>
      <c r="R595">
        <v>0</v>
      </c>
      <c r="S595">
        <v>200807</v>
      </c>
      <c r="T595">
        <v>6</v>
      </c>
      <c r="U595">
        <v>6</v>
      </c>
      <c r="V595">
        <v>1</v>
      </c>
      <c r="W595">
        <v>2</v>
      </c>
      <c r="X595" t="s">
        <v>40</v>
      </c>
      <c r="Y595">
        <v>3</v>
      </c>
      <c r="Z595">
        <v>5028</v>
      </c>
      <c r="AA595">
        <v>1</v>
      </c>
      <c r="AB595">
        <v>0</v>
      </c>
      <c r="AC595">
        <v>41.764000000000003</v>
      </c>
      <c r="AD595">
        <v>5059</v>
      </c>
      <c r="AH595">
        <v>0</v>
      </c>
      <c r="AI595">
        <v>0</v>
      </c>
      <c r="AL595" t="s">
        <v>40</v>
      </c>
      <c r="AM595" t="str">
        <f t="shared" si="48"/>
        <v>5028 1</v>
      </c>
      <c r="AN595" t="str">
        <f t="shared" ref="AN595:AN624" si="49">ROUND(J595,3)&amp;","&amp;ROUND(K595,3)</f>
        <v>405832.727,282068.269</v>
      </c>
      <c r="AO595" t="str">
        <f t="shared" ref="AO595:AO624" si="50">ROUND(L595,3)&amp;","&amp;ROUND(M595,3)</f>
        <v>405839.523,282029.105</v>
      </c>
      <c r="AQ595" t="s">
        <v>2444</v>
      </c>
      <c r="AR595" t="s">
        <v>763</v>
      </c>
    </row>
    <row r="596" spans="1:44" x14ac:dyDescent="0.3">
      <c r="A596">
        <v>3869</v>
      </c>
      <c r="B596">
        <v>4</v>
      </c>
      <c r="C596">
        <v>4026049</v>
      </c>
      <c r="D596">
        <v>77891</v>
      </c>
      <c r="E596">
        <v>2</v>
      </c>
      <c r="F596">
        <v>670050</v>
      </c>
      <c r="G596" t="s">
        <v>91</v>
      </c>
      <c r="H596" t="s">
        <v>41</v>
      </c>
      <c r="I596">
        <v>0</v>
      </c>
      <c r="J596" s="1">
        <v>405446.571</v>
      </c>
      <c r="K596" s="1">
        <v>281318.78700000001</v>
      </c>
      <c r="L596" s="1">
        <v>405444.65399999998</v>
      </c>
      <c r="M596" s="1">
        <v>281320.64899999998</v>
      </c>
      <c r="N596" t="s">
        <v>40</v>
      </c>
      <c r="P596" t="s">
        <v>40</v>
      </c>
      <c r="Q596">
        <v>0</v>
      </c>
      <c r="R596">
        <v>0</v>
      </c>
      <c r="S596">
        <v>200807</v>
      </c>
      <c r="T596">
        <v>6</v>
      </c>
      <c r="U596">
        <v>6</v>
      </c>
      <c r="V596">
        <v>1</v>
      </c>
      <c r="W596">
        <v>2</v>
      </c>
      <c r="X596" t="s">
        <v>40</v>
      </c>
      <c r="Y596">
        <v>3</v>
      </c>
      <c r="Z596">
        <v>5023</v>
      </c>
      <c r="AA596">
        <v>1</v>
      </c>
      <c r="AB596">
        <v>0</v>
      </c>
      <c r="AC596">
        <v>3.302</v>
      </c>
      <c r="AD596">
        <v>5059</v>
      </c>
      <c r="AH596">
        <v>0</v>
      </c>
      <c r="AI596">
        <v>0</v>
      </c>
      <c r="AL596" t="s">
        <v>40</v>
      </c>
      <c r="AM596" t="str">
        <f t="shared" si="48"/>
        <v>5023 1</v>
      </c>
      <c r="AN596" t="str">
        <f t="shared" si="49"/>
        <v>405446.571,281318.787</v>
      </c>
      <c r="AO596" t="str">
        <f t="shared" si="50"/>
        <v>405444.654,281320.649</v>
      </c>
      <c r="AQ596" t="s">
        <v>2440</v>
      </c>
      <c r="AR596" t="s">
        <v>765</v>
      </c>
    </row>
    <row r="597" spans="1:44" x14ac:dyDescent="0.3">
      <c r="A597">
        <v>3869</v>
      </c>
      <c r="B597">
        <v>4</v>
      </c>
      <c r="C597">
        <v>4025928</v>
      </c>
      <c r="D597">
        <v>26429</v>
      </c>
      <c r="E597">
        <v>2</v>
      </c>
      <c r="F597">
        <v>670050</v>
      </c>
      <c r="G597" t="s">
        <v>91</v>
      </c>
      <c r="H597" t="s">
        <v>41</v>
      </c>
      <c r="I597">
        <v>0</v>
      </c>
      <c r="J597" s="1">
        <v>405913.20600000001</v>
      </c>
      <c r="K597" s="1">
        <v>281018.75400000002</v>
      </c>
      <c r="L597" s="1">
        <v>405730.16100000002</v>
      </c>
      <c r="M597" s="1">
        <v>281033.22200000001</v>
      </c>
      <c r="N597" t="s">
        <v>40</v>
      </c>
      <c r="P597" t="s">
        <v>40</v>
      </c>
      <c r="Q597">
        <v>0</v>
      </c>
      <c r="R597">
        <v>0</v>
      </c>
      <c r="S597">
        <v>0</v>
      </c>
      <c r="T597">
        <v>6</v>
      </c>
      <c r="U597">
        <v>6</v>
      </c>
      <c r="V597">
        <v>1</v>
      </c>
      <c r="W597">
        <v>1</v>
      </c>
      <c r="X597" t="s">
        <v>40</v>
      </c>
      <c r="Y597">
        <v>3</v>
      </c>
      <c r="Z597">
        <v>92</v>
      </c>
      <c r="AA597">
        <v>1</v>
      </c>
      <c r="AB597">
        <v>0</v>
      </c>
      <c r="AC597">
        <v>194.43899999999999</v>
      </c>
      <c r="AD597">
        <v>5059</v>
      </c>
      <c r="AH597">
        <v>0</v>
      </c>
      <c r="AI597">
        <v>0</v>
      </c>
      <c r="AL597" t="s">
        <v>40</v>
      </c>
      <c r="AM597" t="str">
        <f t="shared" si="48"/>
        <v>92 1</v>
      </c>
      <c r="AN597" t="str">
        <f t="shared" si="49"/>
        <v>405913.206,281018.754</v>
      </c>
      <c r="AO597" t="str">
        <f t="shared" si="50"/>
        <v>405730.161,281033.222</v>
      </c>
      <c r="AQ597" t="s">
        <v>2455</v>
      </c>
      <c r="AR597" t="s">
        <v>2438</v>
      </c>
    </row>
    <row r="598" spans="1:44" x14ac:dyDescent="0.3">
      <c r="A598">
        <v>3869</v>
      </c>
      <c r="B598">
        <v>4</v>
      </c>
      <c r="C598">
        <v>4026027</v>
      </c>
      <c r="D598">
        <v>77869</v>
      </c>
      <c r="E598">
        <v>2</v>
      </c>
      <c r="F598">
        <v>670050</v>
      </c>
      <c r="G598" t="s">
        <v>91</v>
      </c>
      <c r="H598" t="s">
        <v>41</v>
      </c>
      <c r="I598">
        <v>0</v>
      </c>
      <c r="J598" s="1">
        <v>405552.04499999998</v>
      </c>
      <c r="K598" s="1">
        <v>281205.723</v>
      </c>
      <c r="L598" s="1">
        <v>405554.27100000001</v>
      </c>
      <c r="M598" s="1">
        <v>281205.56099999999</v>
      </c>
      <c r="N598" t="s">
        <v>40</v>
      </c>
      <c r="P598" t="s">
        <v>40</v>
      </c>
      <c r="Q598">
        <v>0</v>
      </c>
      <c r="R598">
        <v>0</v>
      </c>
      <c r="S598">
        <v>0</v>
      </c>
      <c r="T598">
        <v>6</v>
      </c>
      <c r="U598">
        <v>6</v>
      </c>
      <c r="V598">
        <v>1</v>
      </c>
      <c r="W598">
        <v>3</v>
      </c>
      <c r="X598" t="s">
        <v>40</v>
      </c>
      <c r="Y598">
        <v>3</v>
      </c>
      <c r="Z598">
        <v>5017</v>
      </c>
      <c r="AA598">
        <v>1</v>
      </c>
      <c r="AB598">
        <v>0</v>
      </c>
      <c r="AC598">
        <v>4.6579999999999995</v>
      </c>
      <c r="AD598">
        <v>5059</v>
      </c>
      <c r="AH598">
        <v>0</v>
      </c>
      <c r="AI598">
        <v>0</v>
      </c>
      <c r="AL598" t="s">
        <v>40</v>
      </c>
      <c r="AM598" t="str">
        <f t="shared" si="48"/>
        <v>5017 1</v>
      </c>
      <c r="AN598" s="6" t="s">
        <v>1715</v>
      </c>
      <c r="AO598" s="6" t="s">
        <v>439</v>
      </c>
      <c r="AQ598" t="s">
        <v>2460</v>
      </c>
      <c r="AR598" t="s">
        <v>763</v>
      </c>
    </row>
    <row r="599" spans="1:44" x14ac:dyDescent="0.3">
      <c r="A599">
        <v>3869</v>
      </c>
      <c r="B599">
        <v>4</v>
      </c>
      <c r="C599">
        <v>4026116</v>
      </c>
      <c r="D599">
        <v>77914</v>
      </c>
      <c r="E599">
        <v>2</v>
      </c>
      <c r="F599">
        <v>670050</v>
      </c>
      <c r="G599" t="s">
        <v>91</v>
      </c>
      <c r="H599" t="s">
        <v>41</v>
      </c>
      <c r="I599">
        <v>0</v>
      </c>
      <c r="J599" s="1">
        <v>405381.40700000001</v>
      </c>
      <c r="K599" s="1">
        <v>281425.21500000003</v>
      </c>
      <c r="L599" s="1">
        <v>405355.42700000003</v>
      </c>
      <c r="M599" s="1">
        <v>281405.37099999998</v>
      </c>
      <c r="N599" t="s">
        <v>40</v>
      </c>
      <c r="P599" t="s">
        <v>40</v>
      </c>
      <c r="Q599">
        <v>0</v>
      </c>
      <c r="R599">
        <v>0</v>
      </c>
      <c r="S599">
        <v>0</v>
      </c>
      <c r="T599">
        <v>6</v>
      </c>
      <c r="U599">
        <v>6</v>
      </c>
      <c r="V599">
        <v>1</v>
      </c>
      <c r="W599">
        <v>2</v>
      </c>
      <c r="X599" t="s">
        <v>40</v>
      </c>
      <c r="Y599">
        <v>3</v>
      </c>
      <c r="Z599">
        <v>38</v>
      </c>
      <c r="AA599">
        <v>5001</v>
      </c>
      <c r="AB599">
        <v>0</v>
      </c>
      <c r="AC599">
        <v>40.646999999999998</v>
      </c>
      <c r="AD599">
        <v>5059</v>
      </c>
      <c r="AH599">
        <v>0</v>
      </c>
      <c r="AI599">
        <v>0</v>
      </c>
      <c r="AL599" t="s">
        <v>40</v>
      </c>
      <c r="AM599" t="str">
        <f t="shared" si="48"/>
        <v>38 5001</v>
      </c>
      <c r="AN599" t="str">
        <f t="shared" si="49"/>
        <v>405381.407,281425.215</v>
      </c>
      <c r="AO599" t="str">
        <f t="shared" si="50"/>
        <v>405355.427,281405.371</v>
      </c>
      <c r="AQ599" t="s">
        <v>2416</v>
      </c>
      <c r="AR599" t="s">
        <v>765</v>
      </c>
    </row>
    <row r="600" spans="1:44" x14ac:dyDescent="0.3">
      <c r="A600">
        <v>3869</v>
      </c>
      <c r="B600">
        <v>4</v>
      </c>
      <c r="C600">
        <v>4024655</v>
      </c>
      <c r="D600">
        <v>68645</v>
      </c>
      <c r="E600">
        <v>2</v>
      </c>
      <c r="F600">
        <v>670050</v>
      </c>
      <c r="G600" t="s">
        <v>91</v>
      </c>
      <c r="H600" t="s">
        <v>61</v>
      </c>
      <c r="I600">
        <v>0</v>
      </c>
      <c r="J600" s="1">
        <v>406930.96</v>
      </c>
      <c r="K600" s="1">
        <v>280615.55499999999</v>
      </c>
      <c r="L600" s="1">
        <v>406923.20600000001</v>
      </c>
      <c r="M600" s="1">
        <v>280612.25799999997</v>
      </c>
      <c r="N600" t="s">
        <v>40</v>
      </c>
      <c r="P600" t="s">
        <v>40</v>
      </c>
      <c r="Q600">
        <v>0</v>
      </c>
      <c r="R600">
        <v>0</v>
      </c>
      <c r="S600">
        <v>0</v>
      </c>
      <c r="T600">
        <v>6</v>
      </c>
      <c r="U600">
        <v>6</v>
      </c>
      <c r="V600">
        <v>1</v>
      </c>
      <c r="W600">
        <v>1</v>
      </c>
      <c r="X600" t="s">
        <v>40</v>
      </c>
      <c r="Y600">
        <v>3</v>
      </c>
      <c r="Z600">
        <v>40</v>
      </c>
      <c r="AA600">
        <v>1</v>
      </c>
      <c r="AB600">
        <v>0</v>
      </c>
      <c r="AC600">
        <v>10.57</v>
      </c>
      <c r="AD600">
        <v>5059</v>
      </c>
      <c r="AH600">
        <v>0</v>
      </c>
      <c r="AI600">
        <v>0</v>
      </c>
      <c r="AL600" t="s">
        <v>40</v>
      </c>
      <c r="AM600" t="str">
        <f t="shared" si="48"/>
        <v>40 1</v>
      </c>
      <c r="AN600" t="str">
        <f t="shared" si="49"/>
        <v>406930.96,280615.555</v>
      </c>
      <c r="AO600" t="str">
        <f t="shared" si="50"/>
        <v>406923.206,280612.258</v>
      </c>
      <c r="AQ600" t="s">
        <v>2461</v>
      </c>
      <c r="AR600" t="s">
        <v>767</v>
      </c>
    </row>
    <row r="601" spans="1:44" x14ac:dyDescent="0.3">
      <c r="A601">
        <v>3869</v>
      </c>
      <c r="B601">
        <v>4</v>
      </c>
      <c r="C601">
        <v>4024597</v>
      </c>
      <c r="D601">
        <v>23201</v>
      </c>
      <c r="E601">
        <v>2</v>
      </c>
      <c r="F601">
        <v>670050</v>
      </c>
      <c r="G601" t="s">
        <v>91</v>
      </c>
      <c r="H601" t="s">
        <v>61</v>
      </c>
      <c r="I601">
        <v>0</v>
      </c>
      <c r="J601" s="1">
        <v>406730.35100000002</v>
      </c>
      <c r="K601" s="1">
        <v>280770.04300000001</v>
      </c>
      <c r="L601" s="1">
        <v>406729.81400000001</v>
      </c>
      <c r="M601" s="1">
        <v>280771.44400000002</v>
      </c>
      <c r="N601" t="s">
        <v>40</v>
      </c>
      <c r="P601" t="s">
        <v>40</v>
      </c>
      <c r="Q601">
        <v>0</v>
      </c>
      <c r="R601">
        <v>0</v>
      </c>
      <c r="S601">
        <v>0</v>
      </c>
      <c r="T601">
        <v>6</v>
      </c>
      <c r="U601">
        <v>6</v>
      </c>
      <c r="V601">
        <v>1</v>
      </c>
      <c r="W601">
        <v>1</v>
      </c>
      <c r="X601" t="s">
        <v>40</v>
      </c>
      <c r="Y601">
        <v>3</v>
      </c>
      <c r="Z601">
        <v>38</v>
      </c>
      <c r="AA601">
        <v>1</v>
      </c>
      <c r="AB601">
        <v>0</v>
      </c>
      <c r="AC601">
        <v>1.5</v>
      </c>
      <c r="AD601">
        <v>5059</v>
      </c>
      <c r="AH601">
        <v>0</v>
      </c>
      <c r="AI601">
        <v>0</v>
      </c>
      <c r="AL601" t="s">
        <v>40</v>
      </c>
      <c r="AM601" t="str">
        <f t="shared" si="48"/>
        <v>38 1</v>
      </c>
      <c r="AN601" t="str">
        <f t="shared" si="49"/>
        <v>406730.351,280770.043</v>
      </c>
      <c r="AO601" t="str">
        <f t="shared" si="50"/>
        <v>406729.814,280771.444</v>
      </c>
      <c r="AQ601" t="s">
        <v>758</v>
      </c>
      <c r="AR601" t="s">
        <v>2462</v>
      </c>
    </row>
    <row r="602" spans="1:44" x14ac:dyDescent="0.3">
      <c r="A602">
        <v>3869</v>
      </c>
      <c r="B602">
        <v>4</v>
      </c>
      <c r="C602">
        <v>4024613</v>
      </c>
      <c r="D602">
        <v>23801</v>
      </c>
      <c r="E602">
        <v>2</v>
      </c>
      <c r="F602">
        <v>670050</v>
      </c>
      <c r="G602" t="s">
        <v>91</v>
      </c>
      <c r="H602" t="s">
        <v>61</v>
      </c>
      <c r="I602">
        <v>0</v>
      </c>
      <c r="J602" s="1">
        <v>406831.99699999997</v>
      </c>
      <c r="K602" s="1">
        <v>280666.19900000002</v>
      </c>
      <c r="L602" s="1">
        <v>406705.54800000001</v>
      </c>
      <c r="M602" s="1">
        <v>280677.33500000002</v>
      </c>
      <c r="N602" t="s">
        <v>40</v>
      </c>
      <c r="P602" t="s">
        <v>40</v>
      </c>
      <c r="Q602">
        <v>0</v>
      </c>
      <c r="R602">
        <v>0</v>
      </c>
      <c r="S602">
        <v>0</v>
      </c>
      <c r="T602">
        <v>6</v>
      </c>
      <c r="U602">
        <v>6</v>
      </c>
      <c r="V602">
        <v>1</v>
      </c>
      <c r="W602">
        <v>1</v>
      </c>
      <c r="X602" t="s">
        <v>40</v>
      </c>
      <c r="Y602">
        <v>3</v>
      </c>
      <c r="Z602">
        <v>92</v>
      </c>
      <c r="AA602">
        <v>1</v>
      </c>
      <c r="AB602">
        <v>0</v>
      </c>
      <c r="AC602">
        <v>439.95699999999999</v>
      </c>
      <c r="AD602">
        <v>5059</v>
      </c>
      <c r="AH602">
        <v>0</v>
      </c>
      <c r="AI602">
        <v>0</v>
      </c>
      <c r="AL602" t="s">
        <v>40</v>
      </c>
      <c r="AM602" t="str">
        <f t="shared" si="48"/>
        <v>92 1</v>
      </c>
      <c r="AN602" s="6" t="s">
        <v>1267</v>
      </c>
      <c r="AO602" s="6" t="s">
        <v>1266</v>
      </c>
      <c r="AQ602" t="s">
        <v>2463</v>
      </c>
      <c r="AR602" t="s">
        <v>2462</v>
      </c>
    </row>
    <row r="603" spans="1:44" x14ac:dyDescent="0.3">
      <c r="A603">
        <v>3869</v>
      </c>
      <c r="B603">
        <v>4</v>
      </c>
      <c r="C603">
        <v>4024638</v>
      </c>
      <c r="D603">
        <v>68644</v>
      </c>
      <c r="E603">
        <v>2</v>
      </c>
      <c r="F603">
        <v>670050</v>
      </c>
      <c r="G603" t="s">
        <v>91</v>
      </c>
      <c r="H603" t="s">
        <v>61</v>
      </c>
      <c r="I603">
        <v>0</v>
      </c>
      <c r="J603" s="1">
        <v>406919.09100000001</v>
      </c>
      <c r="K603" s="1">
        <v>280615.75699999998</v>
      </c>
      <c r="L603" s="1">
        <v>406923.71799999999</v>
      </c>
      <c r="M603" s="1">
        <v>280612.26799999998</v>
      </c>
      <c r="N603" t="s">
        <v>40</v>
      </c>
      <c r="P603" t="s">
        <v>40</v>
      </c>
      <c r="Q603">
        <v>0</v>
      </c>
      <c r="R603">
        <v>0</v>
      </c>
      <c r="S603">
        <v>0</v>
      </c>
      <c r="T603">
        <v>6</v>
      </c>
      <c r="U603">
        <v>6</v>
      </c>
      <c r="V603">
        <v>1</v>
      </c>
      <c r="W603">
        <v>1</v>
      </c>
      <c r="X603" t="s">
        <v>40</v>
      </c>
      <c r="Y603">
        <v>3</v>
      </c>
      <c r="Z603">
        <v>40</v>
      </c>
      <c r="AA603">
        <v>1</v>
      </c>
      <c r="AB603">
        <v>0</v>
      </c>
      <c r="AC603">
        <v>7.2770000000000001</v>
      </c>
      <c r="AD603">
        <v>5059</v>
      </c>
      <c r="AH603">
        <v>0</v>
      </c>
      <c r="AI603">
        <v>0</v>
      </c>
      <c r="AL603" t="s">
        <v>40</v>
      </c>
      <c r="AM603" t="str">
        <f t="shared" si="48"/>
        <v>40 1</v>
      </c>
      <c r="AN603" t="str">
        <f t="shared" si="49"/>
        <v>406919.091,280615.757</v>
      </c>
      <c r="AO603" t="str">
        <f t="shared" si="50"/>
        <v>406923.718,280612.268</v>
      </c>
      <c r="AQ603" t="s">
        <v>2463</v>
      </c>
      <c r="AR603" t="s">
        <v>766</v>
      </c>
    </row>
    <row r="604" spans="1:44" x14ac:dyDescent="0.3">
      <c r="A604">
        <v>3869</v>
      </c>
      <c r="B604">
        <v>7</v>
      </c>
      <c r="C604">
        <v>4013669</v>
      </c>
      <c r="D604">
        <v>81921</v>
      </c>
      <c r="E604">
        <v>2</v>
      </c>
      <c r="F604">
        <v>670050</v>
      </c>
      <c r="G604" t="s">
        <v>91</v>
      </c>
      <c r="H604" t="s">
        <v>48</v>
      </c>
      <c r="I604">
        <v>0</v>
      </c>
      <c r="J604" s="1">
        <v>406007.897</v>
      </c>
      <c r="K604" s="1">
        <v>282133.21899999998</v>
      </c>
      <c r="L604" s="1">
        <v>406006.027</v>
      </c>
      <c r="M604" s="1">
        <v>282132.467</v>
      </c>
      <c r="N604" t="s">
        <v>40</v>
      </c>
      <c r="P604" t="s">
        <v>40</v>
      </c>
      <c r="Q604">
        <v>0</v>
      </c>
      <c r="R604">
        <v>0</v>
      </c>
      <c r="S604">
        <v>0</v>
      </c>
      <c r="T604">
        <v>6</v>
      </c>
      <c r="U604">
        <v>6</v>
      </c>
      <c r="V604">
        <v>1</v>
      </c>
      <c r="W604">
        <v>2</v>
      </c>
      <c r="X604" t="s">
        <v>40</v>
      </c>
      <c r="Y604">
        <v>3</v>
      </c>
      <c r="Z604">
        <v>38</v>
      </c>
      <c r="AA604">
        <v>5001</v>
      </c>
      <c r="AB604">
        <v>0</v>
      </c>
      <c r="AC604">
        <v>2.0150000000000001</v>
      </c>
      <c r="AD604">
        <v>8022</v>
      </c>
      <c r="AH604">
        <v>0</v>
      </c>
      <c r="AI604">
        <v>1</v>
      </c>
      <c r="AL604" t="s">
        <v>40</v>
      </c>
      <c r="AM604" t="str">
        <f t="shared" si="48"/>
        <v>38 5001</v>
      </c>
      <c r="AN604" t="str">
        <f t="shared" si="49"/>
        <v>406007.897,282133.219</v>
      </c>
      <c r="AO604" t="str">
        <f t="shared" si="50"/>
        <v>406006.027,282132.467</v>
      </c>
      <c r="AQ604" t="s">
        <v>2464</v>
      </c>
      <c r="AR604" t="s">
        <v>2443</v>
      </c>
    </row>
    <row r="605" spans="1:44" x14ac:dyDescent="0.3">
      <c r="A605">
        <v>3869</v>
      </c>
      <c r="B605">
        <v>4</v>
      </c>
      <c r="C605">
        <v>4024490</v>
      </c>
      <c r="D605">
        <v>68575</v>
      </c>
      <c r="E605">
        <v>2</v>
      </c>
      <c r="F605">
        <v>670050</v>
      </c>
      <c r="G605" t="s">
        <v>91</v>
      </c>
      <c r="H605" t="s">
        <v>61</v>
      </c>
      <c r="I605">
        <v>0</v>
      </c>
      <c r="J605" s="1">
        <v>406524.99300000002</v>
      </c>
      <c r="K605" s="1">
        <v>280821.14600000001</v>
      </c>
      <c r="L605" s="1">
        <v>406526.50699999998</v>
      </c>
      <c r="M605" s="1">
        <v>280827.06599999999</v>
      </c>
      <c r="N605" t="s">
        <v>40</v>
      </c>
      <c r="P605" t="s">
        <v>40</v>
      </c>
      <c r="Q605">
        <v>0</v>
      </c>
      <c r="R605">
        <v>0</v>
      </c>
      <c r="S605">
        <v>0</v>
      </c>
      <c r="T605">
        <v>6</v>
      </c>
      <c r="U605">
        <v>6</v>
      </c>
      <c r="V605">
        <v>1</v>
      </c>
      <c r="W605">
        <v>2</v>
      </c>
      <c r="X605" t="s">
        <v>40</v>
      </c>
      <c r="Y605">
        <v>3</v>
      </c>
      <c r="Z605">
        <v>89</v>
      </c>
      <c r="AA605">
        <v>1</v>
      </c>
      <c r="AB605">
        <v>0</v>
      </c>
      <c r="AC605">
        <v>6.274</v>
      </c>
      <c r="AD605">
        <v>5059</v>
      </c>
      <c r="AH605">
        <v>0</v>
      </c>
      <c r="AI605">
        <v>0</v>
      </c>
      <c r="AL605" t="s">
        <v>40</v>
      </c>
      <c r="AM605" t="str">
        <f t="shared" si="48"/>
        <v>89 1</v>
      </c>
      <c r="AN605" t="str">
        <f t="shared" si="49"/>
        <v>406524.993,280821.146</v>
      </c>
      <c r="AO605" t="str">
        <f t="shared" si="50"/>
        <v>406526.507,280827.066</v>
      </c>
      <c r="AQ605" t="s">
        <v>2465</v>
      </c>
      <c r="AR605" t="s">
        <v>759</v>
      </c>
    </row>
    <row r="606" spans="1:44" x14ac:dyDescent="0.3">
      <c r="A606">
        <v>3869</v>
      </c>
      <c r="B606">
        <v>4</v>
      </c>
      <c r="C606">
        <v>4022785</v>
      </c>
      <c r="D606">
        <v>18089</v>
      </c>
      <c r="E606">
        <v>2</v>
      </c>
      <c r="F606">
        <v>670050</v>
      </c>
      <c r="G606" t="s">
        <v>91</v>
      </c>
      <c r="H606" t="s">
        <v>87</v>
      </c>
      <c r="I606">
        <v>0</v>
      </c>
      <c r="J606" s="1">
        <v>407186.603</v>
      </c>
      <c r="K606" s="1">
        <v>280540.087</v>
      </c>
      <c r="L606" s="1">
        <v>407204.65899999999</v>
      </c>
      <c r="M606" s="1">
        <v>280543.60100000002</v>
      </c>
      <c r="N606" t="s">
        <v>40</v>
      </c>
      <c r="P606" t="s">
        <v>40</v>
      </c>
      <c r="Q606">
        <v>0</v>
      </c>
      <c r="R606">
        <v>0</v>
      </c>
      <c r="S606">
        <v>0</v>
      </c>
      <c r="T606">
        <v>6</v>
      </c>
      <c r="U606">
        <v>6</v>
      </c>
      <c r="V606">
        <v>1</v>
      </c>
      <c r="W606">
        <v>1</v>
      </c>
      <c r="X606" t="s">
        <v>40</v>
      </c>
      <c r="Y606">
        <v>3</v>
      </c>
      <c r="Z606">
        <v>54</v>
      </c>
      <c r="AA606">
        <v>1</v>
      </c>
      <c r="AB606">
        <v>0</v>
      </c>
      <c r="AC606">
        <v>335.61400000000003</v>
      </c>
      <c r="AD606">
        <v>5059</v>
      </c>
      <c r="AH606">
        <v>0</v>
      </c>
      <c r="AI606">
        <v>0</v>
      </c>
      <c r="AL606" t="s">
        <v>40</v>
      </c>
      <c r="AM606" t="str">
        <f t="shared" si="48"/>
        <v>54 1</v>
      </c>
      <c r="AN606" s="6" t="s">
        <v>1275</v>
      </c>
      <c r="AO606" s="6" t="s">
        <v>435</v>
      </c>
      <c r="AQ606" t="s">
        <v>2466</v>
      </c>
      <c r="AR606" t="s">
        <v>719</v>
      </c>
    </row>
    <row r="607" spans="1:44" x14ac:dyDescent="0.3">
      <c r="A607">
        <v>3869</v>
      </c>
      <c r="B607">
        <v>4</v>
      </c>
      <c r="C607">
        <v>4024553</v>
      </c>
      <c r="D607">
        <v>68602</v>
      </c>
      <c r="E607">
        <v>2</v>
      </c>
      <c r="F607">
        <v>670050</v>
      </c>
      <c r="G607" t="s">
        <v>91</v>
      </c>
      <c r="H607" t="s">
        <v>61</v>
      </c>
      <c r="I607">
        <v>0</v>
      </c>
      <c r="J607" s="1">
        <v>406445.43699999998</v>
      </c>
      <c r="K607" s="1">
        <v>280591.20600000001</v>
      </c>
      <c r="L607" s="1">
        <v>406446.27799999999</v>
      </c>
      <c r="M607" s="1">
        <v>280589.65000000002</v>
      </c>
      <c r="N607" t="s">
        <v>40</v>
      </c>
      <c r="P607" t="s">
        <v>40</v>
      </c>
      <c r="Q607">
        <v>0</v>
      </c>
      <c r="R607">
        <v>0</v>
      </c>
      <c r="S607">
        <v>0</v>
      </c>
      <c r="T607">
        <v>6</v>
      </c>
      <c r="U607">
        <v>6</v>
      </c>
      <c r="V607">
        <v>1</v>
      </c>
      <c r="W607">
        <v>2</v>
      </c>
      <c r="X607" t="s">
        <v>40</v>
      </c>
      <c r="Y607">
        <v>3</v>
      </c>
      <c r="Z607">
        <v>38</v>
      </c>
      <c r="AA607">
        <v>5001</v>
      </c>
      <c r="AB607">
        <v>0</v>
      </c>
      <c r="AC607">
        <v>1.7689999999999999</v>
      </c>
      <c r="AD607">
        <v>5059</v>
      </c>
      <c r="AH607">
        <v>0</v>
      </c>
      <c r="AI607">
        <v>0</v>
      </c>
      <c r="AL607" t="s">
        <v>40</v>
      </c>
      <c r="AM607" t="str">
        <f t="shared" si="48"/>
        <v>38 5001</v>
      </c>
      <c r="AN607" t="str">
        <f t="shared" si="49"/>
        <v>406445.437,280591.206</v>
      </c>
      <c r="AO607" t="str">
        <f t="shared" si="50"/>
        <v>406446.278,280589.65</v>
      </c>
      <c r="AQ607" t="s">
        <v>2467</v>
      </c>
      <c r="AR607" t="s">
        <v>767</v>
      </c>
    </row>
    <row r="608" spans="1:44" x14ac:dyDescent="0.3">
      <c r="A608">
        <v>3869</v>
      </c>
      <c r="B608">
        <v>4</v>
      </c>
      <c r="C608">
        <v>4024668</v>
      </c>
      <c r="D608">
        <v>21036</v>
      </c>
      <c r="E608">
        <v>2</v>
      </c>
      <c r="F608">
        <v>670050</v>
      </c>
      <c r="G608" t="s">
        <v>91</v>
      </c>
      <c r="H608" t="s">
        <v>61</v>
      </c>
      <c r="I608">
        <v>0</v>
      </c>
      <c r="J608" s="1">
        <v>406930.96</v>
      </c>
      <c r="K608" s="1">
        <v>280615.55499999999</v>
      </c>
      <c r="L608" s="1">
        <v>406962.79300000001</v>
      </c>
      <c r="M608" s="1">
        <v>280573.86300000001</v>
      </c>
      <c r="N608" t="s">
        <v>40</v>
      </c>
      <c r="P608" t="s">
        <v>40</v>
      </c>
      <c r="Q608">
        <v>0</v>
      </c>
      <c r="R608">
        <v>0</v>
      </c>
      <c r="S608">
        <v>0</v>
      </c>
      <c r="T608">
        <v>6</v>
      </c>
      <c r="U608">
        <v>6</v>
      </c>
      <c r="V608">
        <v>1</v>
      </c>
      <c r="W608">
        <v>1</v>
      </c>
      <c r="X608" t="s">
        <v>40</v>
      </c>
      <c r="Y608">
        <v>3</v>
      </c>
      <c r="Z608">
        <v>92</v>
      </c>
      <c r="AA608">
        <v>1</v>
      </c>
      <c r="AB608">
        <v>0</v>
      </c>
      <c r="AC608">
        <v>261.49900000000002</v>
      </c>
      <c r="AD608">
        <v>5059</v>
      </c>
      <c r="AH608">
        <v>0</v>
      </c>
      <c r="AI608">
        <v>0</v>
      </c>
      <c r="AL608" t="s">
        <v>40</v>
      </c>
      <c r="AM608" t="str">
        <f t="shared" si="48"/>
        <v>92 1</v>
      </c>
      <c r="AN608" s="6" t="s">
        <v>1235</v>
      </c>
      <c r="AO608" s="6" t="s">
        <v>1265</v>
      </c>
      <c r="AQ608" t="s">
        <v>2412</v>
      </c>
      <c r="AR608" t="s">
        <v>2461</v>
      </c>
    </row>
    <row r="609" spans="1:44" x14ac:dyDescent="0.3">
      <c r="A609">
        <v>3869</v>
      </c>
      <c r="B609">
        <v>4</v>
      </c>
      <c r="C609">
        <v>4019205</v>
      </c>
      <c r="D609">
        <v>50313</v>
      </c>
      <c r="E609">
        <v>2</v>
      </c>
      <c r="F609">
        <v>670050</v>
      </c>
      <c r="G609" t="s">
        <v>91</v>
      </c>
      <c r="H609" t="s">
        <v>87</v>
      </c>
      <c r="I609">
        <v>0</v>
      </c>
      <c r="J609" s="1">
        <v>407426.48</v>
      </c>
      <c r="K609" s="1">
        <v>280403.81300000002</v>
      </c>
      <c r="L609" s="1">
        <v>407494.23300000001</v>
      </c>
      <c r="M609" s="1">
        <v>280312.23200000002</v>
      </c>
      <c r="N609" t="s">
        <v>40</v>
      </c>
      <c r="P609" t="s">
        <v>40</v>
      </c>
      <c r="Q609">
        <v>0</v>
      </c>
      <c r="R609">
        <v>0</v>
      </c>
      <c r="S609">
        <v>0</v>
      </c>
      <c r="T609">
        <v>6</v>
      </c>
      <c r="U609">
        <v>6</v>
      </c>
      <c r="V609">
        <v>1</v>
      </c>
      <c r="W609">
        <v>1</v>
      </c>
      <c r="X609" t="s">
        <v>40</v>
      </c>
      <c r="Y609">
        <v>3</v>
      </c>
      <c r="Z609">
        <v>93</v>
      </c>
      <c r="AA609">
        <v>1</v>
      </c>
      <c r="AB609">
        <v>0</v>
      </c>
      <c r="AC609">
        <v>147.72999999999999</v>
      </c>
      <c r="AD609">
        <v>5059</v>
      </c>
      <c r="AH609">
        <v>0</v>
      </c>
      <c r="AI609">
        <v>0</v>
      </c>
      <c r="AL609" t="s">
        <v>40</v>
      </c>
      <c r="AM609" t="str">
        <f t="shared" si="48"/>
        <v>93 1</v>
      </c>
      <c r="AN609" t="str">
        <f t="shared" si="49"/>
        <v>407426.48,280403.813</v>
      </c>
      <c r="AO609" t="str">
        <f t="shared" si="50"/>
        <v>407494.233,280312.232</v>
      </c>
      <c r="AQ609" t="s">
        <v>2420</v>
      </c>
      <c r="AR609" t="s">
        <v>745</v>
      </c>
    </row>
    <row r="610" spans="1:44" x14ac:dyDescent="0.3">
      <c r="A610">
        <v>3869</v>
      </c>
      <c r="B610">
        <v>4</v>
      </c>
      <c r="C610">
        <v>4024483</v>
      </c>
      <c r="D610">
        <v>23314</v>
      </c>
      <c r="E610">
        <v>2</v>
      </c>
      <c r="F610">
        <v>670050</v>
      </c>
      <c r="G610" t="s">
        <v>91</v>
      </c>
      <c r="H610" t="s">
        <v>61</v>
      </c>
      <c r="I610">
        <v>0</v>
      </c>
      <c r="J610" s="1">
        <v>406554.96100000001</v>
      </c>
      <c r="K610" s="1">
        <v>280748.53899999999</v>
      </c>
      <c r="L610" s="1">
        <v>406676.658</v>
      </c>
      <c r="M610" s="1">
        <v>280747.78200000001</v>
      </c>
      <c r="N610" t="s">
        <v>40</v>
      </c>
      <c r="P610" t="s">
        <v>40</v>
      </c>
      <c r="Q610">
        <v>0</v>
      </c>
      <c r="R610">
        <v>0</v>
      </c>
      <c r="S610">
        <v>0</v>
      </c>
      <c r="T610">
        <v>6</v>
      </c>
      <c r="U610">
        <v>6</v>
      </c>
      <c r="V610">
        <v>1</v>
      </c>
      <c r="W610">
        <v>1</v>
      </c>
      <c r="X610" t="s">
        <v>40</v>
      </c>
      <c r="Y610">
        <v>3</v>
      </c>
      <c r="Z610">
        <v>92</v>
      </c>
      <c r="AA610">
        <v>1</v>
      </c>
      <c r="AB610">
        <v>0</v>
      </c>
      <c r="AC610">
        <v>303.84400000000005</v>
      </c>
      <c r="AD610">
        <v>5059</v>
      </c>
      <c r="AH610">
        <v>0</v>
      </c>
      <c r="AI610">
        <v>0</v>
      </c>
      <c r="AL610" t="s">
        <v>40</v>
      </c>
      <c r="AM610" t="str">
        <f t="shared" si="48"/>
        <v>92 1</v>
      </c>
      <c r="AN610" s="6" t="s">
        <v>1278</v>
      </c>
      <c r="AO610" s="6" t="s">
        <v>428</v>
      </c>
      <c r="AQ610" t="s">
        <v>2468</v>
      </c>
      <c r="AR610" t="s">
        <v>759</v>
      </c>
    </row>
    <row r="611" spans="1:44" x14ac:dyDescent="0.3">
      <c r="A611">
        <v>3869</v>
      </c>
      <c r="B611">
        <v>4</v>
      </c>
      <c r="C611">
        <v>4024491</v>
      </c>
      <c r="D611">
        <v>68573</v>
      </c>
      <c r="E611">
        <v>2</v>
      </c>
      <c r="F611">
        <v>670050</v>
      </c>
      <c r="G611" t="s">
        <v>91</v>
      </c>
      <c r="H611" t="s">
        <v>61</v>
      </c>
      <c r="I611">
        <v>0</v>
      </c>
      <c r="J611" s="1">
        <v>406463.85700000002</v>
      </c>
      <c r="K611" s="1">
        <v>280820.86099999998</v>
      </c>
      <c r="L611" s="1">
        <v>406527.56</v>
      </c>
      <c r="M611" s="1">
        <v>280827.12199999997</v>
      </c>
      <c r="N611" t="s">
        <v>40</v>
      </c>
      <c r="P611" t="s">
        <v>40</v>
      </c>
      <c r="Q611">
        <v>0</v>
      </c>
      <c r="R611">
        <v>0</v>
      </c>
      <c r="S611">
        <v>0</v>
      </c>
      <c r="T611">
        <v>6</v>
      </c>
      <c r="U611">
        <v>6</v>
      </c>
      <c r="V611">
        <v>1</v>
      </c>
      <c r="W611">
        <v>1</v>
      </c>
      <c r="X611" t="s">
        <v>40</v>
      </c>
      <c r="Y611">
        <v>3</v>
      </c>
      <c r="Z611">
        <v>92</v>
      </c>
      <c r="AA611">
        <v>1</v>
      </c>
      <c r="AB611">
        <v>0</v>
      </c>
      <c r="AC611">
        <v>79.626999999999995</v>
      </c>
      <c r="AD611">
        <v>5059</v>
      </c>
      <c r="AH611">
        <v>0</v>
      </c>
      <c r="AI611">
        <v>0</v>
      </c>
      <c r="AL611" t="s">
        <v>40</v>
      </c>
      <c r="AM611" t="str">
        <f t="shared" si="48"/>
        <v>92 1</v>
      </c>
      <c r="AN611" t="str">
        <f t="shared" si="49"/>
        <v>406463.857,280820.861</v>
      </c>
      <c r="AO611" t="str">
        <f t="shared" si="50"/>
        <v>406527.56,280827.122</v>
      </c>
      <c r="AQ611" t="s">
        <v>2469</v>
      </c>
      <c r="AR611" t="s">
        <v>760</v>
      </c>
    </row>
    <row r="612" spans="1:44" x14ac:dyDescent="0.3">
      <c r="A612">
        <v>3869</v>
      </c>
      <c r="B612">
        <v>4</v>
      </c>
      <c r="C612">
        <v>4019161</v>
      </c>
      <c r="D612">
        <v>18172</v>
      </c>
      <c r="E612">
        <v>2</v>
      </c>
      <c r="F612">
        <v>670050</v>
      </c>
      <c r="G612" t="s">
        <v>91</v>
      </c>
      <c r="H612" t="s">
        <v>87</v>
      </c>
      <c r="I612">
        <v>0</v>
      </c>
      <c r="J612" s="1">
        <v>407129.962</v>
      </c>
      <c r="K612" s="1">
        <v>280522.09600000002</v>
      </c>
      <c r="L612" s="1">
        <v>407118.28200000001</v>
      </c>
      <c r="M612" s="1">
        <v>280518.66399999999</v>
      </c>
      <c r="N612" t="s">
        <v>40</v>
      </c>
      <c r="P612" t="s">
        <v>40</v>
      </c>
      <c r="Q612">
        <v>0</v>
      </c>
      <c r="R612">
        <v>0</v>
      </c>
      <c r="S612">
        <v>0</v>
      </c>
      <c r="T612">
        <v>6</v>
      </c>
      <c r="U612">
        <v>6</v>
      </c>
      <c r="V612">
        <v>1</v>
      </c>
      <c r="W612">
        <v>1</v>
      </c>
      <c r="X612" t="s">
        <v>40</v>
      </c>
      <c r="Y612">
        <v>3</v>
      </c>
      <c r="Z612">
        <v>52</v>
      </c>
      <c r="AA612">
        <v>1</v>
      </c>
      <c r="AB612">
        <v>0</v>
      </c>
      <c r="AC612">
        <v>15.554</v>
      </c>
      <c r="AD612">
        <v>5059</v>
      </c>
      <c r="AH612">
        <v>0</v>
      </c>
      <c r="AI612">
        <v>0</v>
      </c>
      <c r="AL612" t="s">
        <v>40</v>
      </c>
      <c r="AM612" t="str">
        <f t="shared" si="48"/>
        <v>52 1</v>
      </c>
      <c r="AN612" t="str">
        <f t="shared" si="49"/>
        <v>407129.962,280522.096</v>
      </c>
      <c r="AO612" t="str">
        <f t="shared" si="50"/>
        <v>407118.282,280518.664</v>
      </c>
      <c r="AQ612" t="s">
        <v>2470</v>
      </c>
      <c r="AR612" t="s">
        <v>2419</v>
      </c>
    </row>
    <row r="613" spans="1:44" x14ac:dyDescent="0.3">
      <c r="A613">
        <v>3869</v>
      </c>
      <c r="B613">
        <v>4</v>
      </c>
      <c r="C613">
        <v>4019146</v>
      </c>
      <c r="D613">
        <v>18090</v>
      </c>
      <c r="E613">
        <v>2</v>
      </c>
      <c r="F613">
        <v>670050</v>
      </c>
      <c r="G613" t="s">
        <v>91</v>
      </c>
      <c r="H613" t="s">
        <v>87</v>
      </c>
      <c r="I613">
        <v>0</v>
      </c>
      <c r="J613" s="1">
        <v>407195.77299999999</v>
      </c>
      <c r="K613" s="1">
        <v>280544.18199999997</v>
      </c>
      <c r="L613" s="1">
        <v>407216.353</v>
      </c>
      <c r="M613" s="1">
        <v>280537.212</v>
      </c>
      <c r="N613" t="s">
        <v>40</v>
      </c>
      <c r="P613" t="s">
        <v>40</v>
      </c>
      <c r="Q613">
        <v>0</v>
      </c>
      <c r="R613">
        <v>0</v>
      </c>
      <c r="S613">
        <v>0</v>
      </c>
      <c r="T613">
        <v>6</v>
      </c>
      <c r="U613">
        <v>6</v>
      </c>
      <c r="V613">
        <v>1</v>
      </c>
      <c r="W613">
        <v>1</v>
      </c>
      <c r="X613" t="s">
        <v>40</v>
      </c>
      <c r="Y613">
        <v>3</v>
      </c>
      <c r="Z613">
        <v>92</v>
      </c>
      <c r="AA613">
        <v>1</v>
      </c>
      <c r="AB613">
        <v>0</v>
      </c>
      <c r="AC613">
        <v>27.384999999999998</v>
      </c>
      <c r="AD613">
        <v>5059</v>
      </c>
      <c r="AH613">
        <v>0</v>
      </c>
      <c r="AI613">
        <v>0</v>
      </c>
      <c r="AL613" t="s">
        <v>40</v>
      </c>
      <c r="AM613" t="str">
        <f t="shared" si="48"/>
        <v>92 1</v>
      </c>
      <c r="AN613" s="6" t="s">
        <v>432</v>
      </c>
      <c r="AO613" s="6" t="s">
        <v>1274</v>
      </c>
      <c r="AQ613" t="s">
        <v>761</v>
      </c>
      <c r="AR613" t="s">
        <v>2471</v>
      </c>
    </row>
    <row r="614" spans="1:44" x14ac:dyDescent="0.3">
      <c r="A614">
        <v>3869</v>
      </c>
      <c r="B614">
        <v>4</v>
      </c>
      <c r="C614">
        <v>4019129</v>
      </c>
      <c r="D614">
        <v>50297</v>
      </c>
      <c r="E614">
        <v>2</v>
      </c>
      <c r="F614">
        <v>670050</v>
      </c>
      <c r="G614" t="s">
        <v>91</v>
      </c>
      <c r="H614" t="s">
        <v>87</v>
      </c>
      <c r="I614">
        <v>0</v>
      </c>
      <c r="J614" s="1">
        <v>407218.13099999999</v>
      </c>
      <c r="K614" s="1">
        <v>280536.283</v>
      </c>
      <c r="L614" s="1">
        <v>407216.95199999999</v>
      </c>
      <c r="M614" s="1">
        <v>280538.31</v>
      </c>
      <c r="N614" t="s">
        <v>40</v>
      </c>
      <c r="P614" t="s">
        <v>40</v>
      </c>
      <c r="Q614">
        <v>0</v>
      </c>
      <c r="R614">
        <v>0</v>
      </c>
      <c r="S614">
        <v>0</v>
      </c>
      <c r="T614">
        <v>6</v>
      </c>
      <c r="U614">
        <v>6</v>
      </c>
      <c r="V614">
        <v>1</v>
      </c>
      <c r="W614">
        <v>3</v>
      </c>
      <c r="X614" t="s">
        <v>40</v>
      </c>
      <c r="Y614">
        <v>3</v>
      </c>
      <c r="Z614">
        <v>169</v>
      </c>
      <c r="AA614">
        <v>1</v>
      </c>
      <c r="AB614">
        <v>0</v>
      </c>
      <c r="AC614">
        <v>3.0019999999999998</v>
      </c>
      <c r="AD614">
        <v>5059</v>
      </c>
      <c r="AH614">
        <v>0</v>
      </c>
      <c r="AI614">
        <v>0</v>
      </c>
      <c r="AL614" t="s">
        <v>40</v>
      </c>
      <c r="AM614" t="str">
        <f t="shared" si="48"/>
        <v>169 1</v>
      </c>
      <c r="AN614" t="str">
        <f t="shared" si="49"/>
        <v>407218.131,280536.283</v>
      </c>
      <c r="AO614" t="str">
        <f t="shared" si="50"/>
        <v>407216.952,280538.31</v>
      </c>
      <c r="AQ614" t="s">
        <v>761</v>
      </c>
      <c r="AR614" t="s">
        <v>2472</v>
      </c>
    </row>
    <row r="615" spans="1:44" x14ac:dyDescent="0.3">
      <c r="A615">
        <v>3869</v>
      </c>
      <c r="B615">
        <v>4</v>
      </c>
      <c r="C615">
        <v>4019128</v>
      </c>
      <c r="D615">
        <v>50295</v>
      </c>
      <c r="E615">
        <v>2</v>
      </c>
      <c r="F615">
        <v>670050</v>
      </c>
      <c r="G615" t="s">
        <v>91</v>
      </c>
      <c r="H615" t="s">
        <v>87</v>
      </c>
      <c r="I615">
        <v>0</v>
      </c>
      <c r="J615" s="1">
        <v>407204.65899999999</v>
      </c>
      <c r="K615" s="1">
        <v>280543.60100000002</v>
      </c>
      <c r="L615" s="1">
        <v>407217.57900000003</v>
      </c>
      <c r="M615" s="1">
        <v>280536.29399999999</v>
      </c>
      <c r="N615" t="s">
        <v>40</v>
      </c>
      <c r="P615" t="s">
        <v>40</v>
      </c>
      <c r="Q615">
        <v>0</v>
      </c>
      <c r="R615">
        <v>0</v>
      </c>
      <c r="S615">
        <v>0</v>
      </c>
      <c r="T615">
        <v>6</v>
      </c>
      <c r="U615">
        <v>6</v>
      </c>
      <c r="V615">
        <v>1</v>
      </c>
      <c r="W615">
        <v>1</v>
      </c>
      <c r="X615" t="s">
        <v>40</v>
      </c>
      <c r="Y615">
        <v>3</v>
      </c>
      <c r="Z615">
        <v>92</v>
      </c>
      <c r="AA615">
        <v>1</v>
      </c>
      <c r="AB615">
        <v>0</v>
      </c>
      <c r="AC615">
        <v>15.513999999999999</v>
      </c>
      <c r="AD615">
        <v>5059</v>
      </c>
      <c r="AH615">
        <v>0</v>
      </c>
      <c r="AI615">
        <v>0</v>
      </c>
      <c r="AL615" t="s">
        <v>40</v>
      </c>
      <c r="AM615" t="str">
        <f t="shared" si="48"/>
        <v>92 1</v>
      </c>
      <c r="AN615" t="str">
        <f t="shared" si="49"/>
        <v>407204.659,280543.601</v>
      </c>
      <c r="AO615" t="str">
        <f t="shared" si="50"/>
        <v>407217.579,280536.294</v>
      </c>
      <c r="AQ615" t="s">
        <v>2466</v>
      </c>
      <c r="AR615" t="s">
        <v>760</v>
      </c>
    </row>
    <row r="616" spans="1:44" x14ac:dyDescent="0.3">
      <c r="A616">
        <v>3869</v>
      </c>
      <c r="B616">
        <v>4</v>
      </c>
      <c r="C616">
        <v>4019089</v>
      </c>
      <c r="D616">
        <v>50272</v>
      </c>
      <c r="E616">
        <v>2</v>
      </c>
      <c r="F616">
        <v>670050</v>
      </c>
      <c r="G616" t="s">
        <v>91</v>
      </c>
      <c r="H616" t="s">
        <v>87</v>
      </c>
      <c r="I616">
        <v>0</v>
      </c>
      <c r="J616" s="1">
        <v>407175.83899999998</v>
      </c>
      <c r="K616" s="1">
        <v>280755.27100000001</v>
      </c>
      <c r="L616" s="1">
        <v>407165.48700000002</v>
      </c>
      <c r="M616" s="1">
        <v>280826.478</v>
      </c>
      <c r="N616" t="s">
        <v>40</v>
      </c>
      <c r="P616" t="s">
        <v>40</v>
      </c>
      <c r="Q616">
        <v>0</v>
      </c>
      <c r="R616">
        <v>0</v>
      </c>
      <c r="S616">
        <v>0</v>
      </c>
      <c r="T616">
        <v>6</v>
      </c>
      <c r="U616">
        <v>6</v>
      </c>
      <c r="V616">
        <v>1</v>
      </c>
      <c r="W616">
        <v>1</v>
      </c>
      <c r="X616" t="s">
        <v>40</v>
      </c>
      <c r="Y616">
        <v>3</v>
      </c>
      <c r="Z616">
        <v>54</v>
      </c>
      <c r="AA616">
        <v>1</v>
      </c>
      <c r="AB616">
        <v>0</v>
      </c>
      <c r="AC616">
        <v>355.36099999999999</v>
      </c>
      <c r="AD616">
        <v>5059</v>
      </c>
      <c r="AH616">
        <v>0</v>
      </c>
      <c r="AI616">
        <v>0</v>
      </c>
      <c r="AL616" t="s">
        <v>40</v>
      </c>
      <c r="AM616" t="str">
        <f t="shared" si="48"/>
        <v>54 1</v>
      </c>
      <c r="AN616" s="6" t="s">
        <v>434</v>
      </c>
      <c r="AO616" s="6" t="s">
        <v>1232</v>
      </c>
      <c r="AQ616" t="s">
        <v>761</v>
      </c>
      <c r="AR616" t="s">
        <v>2411</v>
      </c>
    </row>
    <row r="617" spans="1:44" x14ac:dyDescent="0.3">
      <c r="A617">
        <v>3869</v>
      </c>
      <c r="B617">
        <v>4</v>
      </c>
      <c r="C617">
        <v>4024554</v>
      </c>
      <c r="D617">
        <v>68604</v>
      </c>
      <c r="E617">
        <v>2</v>
      </c>
      <c r="F617">
        <v>670050</v>
      </c>
      <c r="G617" t="s">
        <v>91</v>
      </c>
      <c r="H617" t="s">
        <v>61</v>
      </c>
      <c r="I617">
        <v>0</v>
      </c>
      <c r="J617" s="1">
        <v>406447.54800000001</v>
      </c>
      <c r="K617" s="1">
        <v>280590.24699999997</v>
      </c>
      <c r="L617" s="1">
        <v>406445.56199999998</v>
      </c>
      <c r="M617" s="1">
        <v>280589.32</v>
      </c>
      <c r="N617" t="s">
        <v>40</v>
      </c>
      <c r="P617" t="s">
        <v>40</v>
      </c>
      <c r="Q617">
        <v>0</v>
      </c>
      <c r="R617">
        <v>0</v>
      </c>
      <c r="S617">
        <v>0</v>
      </c>
      <c r="T617">
        <v>6</v>
      </c>
      <c r="U617">
        <v>6</v>
      </c>
      <c r="V617">
        <v>1</v>
      </c>
      <c r="W617">
        <v>3</v>
      </c>
      <c r="X617" t="s">
        <v>40</v>
      </c>
      <c r="Y617">
        <v>3</v>
      </c>
      <c r="Z617">
        <v>169</v>
      </c>
      <c r="AA617">
        <v>1</v>
      </c>
      <c r="AB617">
        <v>0</v>
      </c>
      <c r="AC617">
        <v>3.298</v>
      </c>
      <c r="AD617">
        <v>5059</v>
      </c>
      <c r="AH617">
        <v>0</v>
      </c>
      <c r="AI617">
        <v>0</v>
      </c>
      <c r="AL617" t="s">
        <v>40</v>
      </c>
      <c r="AM617" t="str">
        <f t="shared" si="48"/>
        <v>169 1</v>
      </c>
      <c r="AN617" t="str">
        <f t="shared" si="49"/>
        <v>406447.548,280590.247</v>
      </c>
      <c r="AO617" t="str">
        <f t="shared" si="50"/>
        <v>406445.562,280589.32</v>
      </c>
      <c r="AQ617" t="s">
        <v>1961</v>
      </c>
      <c r="AR617" t="s">
        <v>768</v>
      </c>
    </row>
    <row r="618" spans="1:44" x14ac:dyDescent="0.3">
      <c r="A618">
        <v>3869</v>
      </c>
      <c r="B618">
        <v>4</v>
      </c>
      <c r="C618">
        <v>4024451</v>
      </c>
      <c r="D618">
        <v>23649</v>
      </c>
      <c r="E618">
        <v>2</v>
      </c>
      <c r="F618">
        <v>670050</v>
      </c>
      <c r="G618" t="s">
        <v>91</v>
      </c>
      <c r="H618" t="s">
        <v>61</v>
      </c>
      <c r="I618">
        <v>0</v>
      </c>
      <c r="J618" s="1">
        <v>406446.66499999998</v>
      </c>
      <c r="K618" s="1">
        <v>280822.55599999998</v>
      </c>
      <c r="L618" s="1">
        <v>406463.85700000002</v>
      </c>
      <c r="M618" s="1">
        <v>280820.86099999998</v>
      </c>
      <c r="N618" t="s">
        <v>40</v>
      </c>
      <c r="P618" t="s">
        <v>40</v>
      </c>
      <c r="Q618">
        <v>0</v>
      </c>
      <c r="R618">
        <v>0</v>
      </c>
      <c r="S618">
        <v>0</v>
      </c>
      <c r="T618">
        <v>6</v>
      </c>
      <c r="U618">
        <v>6</v>
      </c>
      <c r="V618">
        <v>1</v>
      </c>
      <c r="W618">
        <v>1</v>
      </c>
      <c r="X618" t="s">
        <v>40</v>
      </c>
      <c r="Y618">
        <v>3</v>
      </c>
      <c r="Z618">
        <v>54</v>
      </c>
      <c r="AA618">
        <v>1</v>
      </c>
      <c r="AB618">
        <v>0</v>
      </c>
      <c r="AC618">
        <v>20.210999999999999</v>
      </c>
      <c r="AD618">
        <v>5059</v>
      </c>
      <c r="AH618">
        <v>0</v>
      </c>
      <c r="AI618">
        <v>0</v>
      </c>
      <c r="AL618" t="s">
        <v>40</v>
      </c>
      <c r="AM618" t="str">
        <f t="shared" si="48"/>
        <v>54 1</v>
      </c>
      <c r="AN618" t="str">
        <f t="shared" si="49"/>
        <v>406446.665,280822.556</v>
      </c>
      <c r="AO618" t="str">
        <f t="shared" si="50"/>
        <v>406463.857,280820.861</v>
      </c>
      <c r="AQ618" t="s">
        <v>2424</v>
      </c>
      <c r="AR618" t="s">
        <v>2469</v>
      </c>
    </row>
    <row r="619" spans="1:44" x14ac:dyDescent="0.3">
      <c r="A619">
        <v>3869</v>
      </c>
      <c r="B619">
        <v>4</v>
      </c>
      <c r="C619">
        <v>4024481</v>
      </c>
      <c r="D619">
        <v>23202</v>
      </c>
      <c r="E619">
        <v>2</v>
      </c>
      <c r="F619">
        <v>670050</v>
      </c>
      <c r="G619" t="s">
        <v>91</v>
      </c>
      <c r="H619" t="s">
        <v>61</v>
      </c>
      <c r="I619">
        <v>0</v>
      </c>
      <c r="J619" s="1">
        <v>406730.72499999998</v>
      </c>
      <c r="K619" s="1">
        <v>280770.18699999998</v>
      </c>
      <c r="L619" s="1">
        <v>406730.18800000002</v>
      </c>
      <c r="M619" s="1">
        <v>280771.58799999999</v>
      </c>
      <c r="N619" t="s">
        <v>40</v>
      </c>
      <c r="P619" t="s">
        <v>40</v>
      </c>
      <c r="Q619">
        <v>0</v>
      </c>
      <c r="R619">
        <v>0</v>
      </c>
      <c r="S619">
        <v>0</v>
      </c>
      <c r="T619">
        <v>6</v>
      </c>
      <c r="U619">
        <v>6</v>
      </c>
      <c r="V619">
        <v>1</v>
      </c>
      <c r="W619">
        <v>1</v>
      </c>
      <c r="X619" t="s">
        <v>40</v>
      </c>
      <c r="Y619">
        <v>3</v>
      </c>
      <c r="Z619">
        <v>38</v>
      </c>
      <c r="AA619">
        <v>1</v>
      </c>
      <c r="AB619">
        <v>0</v>
      </c>
      <c r="AC619">
        <v>1.5</v>
      </c>
      <c r="AD619">
        <v>5059</v>
      </c>
      <c r="AH619">
        <v>0</v>
      </c>
      <c r="AI619">
        <v>0</v>
      </c>
      <c r="AL619" t="s">
        <v>40</v>
      </c>
      <c r="AM619" t="str">
        <f t="shared" si="48"/>
        <v>38 1</v>
      </c>
      <c r="AN619" t="str">
        <f t="shared" si="49"/>
        <v>406730.725,280770.187</v>
      </c>
      <c r="AO619" t="str">
        <f t="shared" si="50"/>
        <v>406730.188,280771.588</v>
      </c>
      <c r="AQ619" t="s">
        <v>758</v>
      </c>
      <c r="AR619" t="s">
        <v>2468</v>
      </c>
    </row>
    <row r="620" spans="1:44" x14ac:dyDescent="0.3">
      <c r="A620">
        <v>3869</v>
      </c>
      <c r="B620">
        <v>4</v>
      </c>
      <c r="C620">
        <v>4024524</v>
      </c>
      <c r="D620">
        <v>23031</v>
      </c>
      <c r="E620">
        <v>2</v>
      </c>
      <c r="F620">
        <v>670050</v>
      </c>
      <c r="G620" t="s">
        <v>91</v>
      </c>
      <c r="H620" t="s">
        <v>61</v>
      </c>
      <c r="I620">
        <v>0</v>
      </c>
      <c r="J620" s="1">
        <v>406514.62400000001</v>
      </c>
      <c r="K620" s="1">
        <v>280805.26400000002</v>
      </c>
      <c r="L620" s="1">
        <v>406524.99300000002</v>
      </c>
      <c r="M620" s="1">
        <v>280821.14600000001</v>
      </c>
      <c r="N620" t="s">
        <v>40</v>
      </c>
      <c r="P620" t="s">
        <v>40</v>
      </c>
      <c r="Q620">
        <v>0</v>
      </c>
      <c r="R620">
        <v>0</v>
      </c>
      <c r="S620">
        <v>0</v>
      </c>
      <c r="T620">
        <v>6</v>
      </c>
      <c r="U620">
        <v>6</v>
      </c>
      <c r="V620">
        <v>1</v>
      </c>
      <c r="W620">
        <v>2</v>
      </c>
      <c r="X620" t="s">
        <v>40</v>
      </c>
      <c r="Y620">
        <v>3</v>
      </c>
      <c r="Z620">
        <v>40</v>
      </c>
      <c r="AA620">
        <v>1</v>
      </c>
      <c r="AB620">
        <v>0</v>
      </c>
      <c r="AC620">
        <v>24.032</v>
      </c>
      <c r="AD620">
        <v>5059</v>
      </c>
      <c r="AH620">
        <v>0</v>
      </c>
      <c r="AI620">
        <v>0</v>
      </c>
      <c r="AL620" t="s">
        <v>40</v>
      </c>
      <c r="AM620" t="str">
        <f t="shared" si="48"/>
        <v>40 1</v>
      </c>
      <c r="AN620" t="str">
        <f t="shared" si="49"/>
        <v>406514.624,280805.264</v>
      </c>
      <c r="AO620" t="str">
        <f t="shared" si="50"/>
        <v>406524.993,280821.146</v>
      </c>
      <c r="AQ620" t="s">
        <v>2473</v>
      </c>
      <c r="AR620" t="s">
        <v>2465</v>
      </c>
    </row>
    <row r="621" spans="1:44" x14ac:dyDescent="0.3">
      <c r="A621">
        <v>3869</v>
      </c>
      <c r="B621">
        <v>4</v>
      </c>
      <c r="C621">
        <v>4024548</v>
      </c>
      <c r="D621">
        <v>22794</v>
      </c>
      <c r="E621">
        <v>2</v>
      </c>
      <c r="F621">
        <v>670050</v>
      </c>
      <c r="G621" t="s">
        <v>91</v>
      </c>
      <c r="H621" t="s">
        <v>61</v>
      </c>
      <c r="I621">
        <v>0</v>
      </c>
      <c r="J621" s="1">
        <v>406445.43699999998</v>
      </c>
      <c r="K621" s="1">
        <v>280591.20600000001</v>
      </c>
      <c r="L621" s="1">
        <v>406447.34600000002</v>
      </c>
      <c r="M621" s="1">
        <v>280593.81</v>
      </c>
      <c r="N621" t="s">
        <v>40</v>
      </c>
      <c r="P621" t="s">
        <v>40</v>
      </c>
      <c r="Q621">
        <v>0</v>
      </c>
      <c r="R621">
        <v>0</v>
      </c>
      <c r="S621">
        <v>0</v>
      </c>
      <c r="T621">
        <v>6</v>
      </c>
      <c r="U621">
        <v>6</v>
      </c>
      <c r="V621">
        <v>1</v>
      </c>
      <c r="W621">
        <v>2</v>
      </c>
      <c r="X621" t="s">
        <v>40</v>
      </c>
      <c r="Y621">
        <v>3</v>
      </c>
      <c r="Z621">
        <v>89</v>
      </c>
      <c r="AA621">
        <v>1</v>
      </c>
      <c r="AB621">
        <v>0</v>
      </c>
      <c r="AC621">
        <v>295.29900000000004</v>
      </c>
      <c r="AD621">
        <v>5059</v>
      </c>
      <c r="AH621">
        <v>0</v>
      </c>
      <c r="AI621">
        <v>0</v>
      </c>
      <c r="AL621" t="s">
        <v>40</v>
      </c>
      <c r="AM621" t="str">
        <f t="shared" si="48"/>
        <v>89 1</v>
      </c>
      <c r="AN621" s="6" t="s">
        <v>1279</v>
      </c>
      <c r="AO621" s="6" t="s">
        <v>1270</v>
      </c>
      <c r="AQ621" t="s">
        <v>2473</v>
      </c>
      <c r="AR621" t="s">
        <v>2467</v>
      </c>
    </row>
    <row r="622" spans="1:44" x14ac:dyDescent="0.3">
      <c r="A622">
        <v>3869</v>
      </c>
      <c r="B622">
        <v>7</v>
      </c>
      <c r="C622">
        <v>4013670</v>
      </c>
      <c r="D622">
        <v>70502</v>
      </c>
      <c r="E622">
        <v>2</v>
      </c>
      <c r="F622">
        <v>670050</v>
      </c>
      <c r="G622" t="s">
        <v>91</v>
      </c>
      <c r="H622" t="s">
        <v>48</v>
      </c>
      <c r="I622">
        <v>0</v>
      </c>
      <c r="J622" s="1">
        <v>406007.897</v>
      </c>
      <c r="K622" s="1">
        <v>282133.21899999998</v>
      </c>
      <c r="L622" s="1">
        <v>406061.712</v>
      </c>
      <c r="M622" s="1">
        <v>282154.98</v>
      </c>
      <c r="N622" t="s">
        <v>40</v>
      </c>
      <c r="P622" t="s">
        <v>40</v>
      </c>
      <c r="Q622">
        <v>0</v>
      </c>
      <c r="R622">
        <v>0</v>
      </c>
      <c r="S622">
        <v>201304</v>
      </c>
      <c r="T622">
        <v>6</v>
      </c>
      <c r="U622">
        <v>6</v>
      </c>
      <c r="V622">
        <v>1</v>
      </c>
      <c r="W622">
        <v>2</v>
      </c>
      <c r="X622" t="s">
        <v>40</v>
      </c>
      <c r="Y622">
        <v>3</v>
      </c>
      <c r="Z622">
        <v>5023</v>
      </c>
      <c r="AA622">
        <v>1</v>
      </c>
      <c r="AB622">
        <v>0</v>
      </c>
      <c r="AC622">
        <v>58.529000000000003</v>
      </c>
      <c r="AD622">
        <v>8022</v>
      </c>
      <c r="AE622" t="s">
        <v>49</v>
      </c>
      <c r="AH622">
        <v>0</v>
      </c>
      <c r="AI622">
        <v>2</v>
      </c>
      <c r="AL622" t="s">
        <v>40</v>
      </c>
      <c r="AM622" t="str">
        <f t="shared" si="48"/>
        <v>5023 1</v>
      </c>
      <c r="AN622" t="str">
        <f t="shared" si="49"/>
        <v>406007.897,282133.219</v>
      </c>
      <c r="AO622" t="str">
        <f t="shared" si="50"/>
        <v>406061.712,282154.98</v>
      </c>
      <c r="AQ622" t="s">
        <v>2464</v>
      </c>
      <c r="AR622" t="s">
        <v>2450</v>
      </c>
    </row>
    <row r="623" spans="1:44" x14ac:dyDescent="0.3">
      <c r="A623">
        <v>3869</v>
      </c>
      <c r="B623">
        <v>4</v>
      </c>
      <c r="C623">
        <v>4019090</v>
      </c>
      <c r="D623">
        <v>50274</v>
      </c>
      <c r="E623">
        <v>2</v>
      </c>
      <c r="F623">
        <v>670050</v>
      </c>
      <c r="G623" t="s">
        <v>91</v>
      </c>
      <c r="H623" t="s">
        <v>87</v>
      </c>
      <c r="I623">
        <v>0</v>
      </c>
      <c r="J623" s="1">
        <v>407167.65</v>
      </c>
      <c r="K623" s="1">
        <v>280823.44</v>
      </c>
      <c r="L623" s="1">
        <v>407164.41499999998</v>
      </c>
      <c r="M623" s="1">
        <v>280826.27899999998</v>
      </c>
      <c r="N623" t="s">
        <v>40</v>
      </c>
      <c r="P623" t="s">
        <v>40</v>
      </c>
      <c r="Q623">
        <v>0</v>
      </c>
      <c r="R623">
        <v>0</v>
      </c>
      <c r="S623">
        <v>0</v>
      </c>
      <c r="T623">
        <v>6</v>
      </c>
      <c r="U623">
        <v>6</v>
      </c>
      <c r="V623">
        <v>1</v>
      </c>
      <c r="W623">
        <v>3</v>
      </c>
      <c r="X623" t="s">
        <v>40</v>
      </c>
      <c r="Y623">
        <v>3</v>
      </c>
      <c r="Z623">
        <v>49</v>
      </c>
      <c r="AA623">
        <v>1</v>
      </c>
      <c r="AB623">
        <v>0</v>
      </c>
      <c r="AC623">
        <v>7.6769999999999996</v>
      </c>
      <c r="AD623">
        <v>5059</v>
      </c>
      <c r="AH623">
        <v>0</v>
      </c>
      <c r="AI623">
        <v>0</v>
      </c>
      <c r="AL623" t="s">
        <v>40</v>
      </c>
      <c r="AM623" t="str">
        <f t="shared" si="48"/>
        <v>49 1</v>
      </c>
      <c r="AN623" t="str">
        <f t="shared" si="49"/>
        <v>407167.65,280823.44</v>
      </c>
      <c r="AO623" t="str">
        <f t="shared" si="50"/>
        <v>407164.415,280826.279</v>
      </c>
      <c r="AQ623" t="s">
        <v>2474</v>
      </c>
      <c r="AR623" t="s">
        <v>762</v>
      </c>
    </row>
    <row r="624" spans="1:44" x14ac:dyDescent="0.3">
      <c r="A624">
        <v>3869</v>
      </c>
      <c r="B624">
        <v>4</v>
      </c>
      <c r="C624">
        <v>4019160</v>
      </c>
      <c r="D624">
        <v>18181</v>
      </c>
      <c r="E624">
        <v>2</v>
      </c>
      <c r="F624">
        <v>670050</v>
      </c>
      <c r="G624" t="s">
        <v>91</v>
      </c>
      <c r="H624" t="s">
        <v>87</v>
      </c>
      <c r="I624">
        <v>0</v>
      </c>
      <c r="J624" s="1">
        <v>407195.77299999999</v>
      </c>
      <c r="K624" s="1">
        <v>280544.18199999997</v>
      </c>
      <c r="L624" s="1">
        <v>407129.962</v>
      </c>
      <c r="M624" s="1">
        <v>280522.09600000002</v>
      </c>
      <c r="N624" t="s">
        <v>40</v>
      </c>
      <c r="P624" t="s">
        <v>40</v>
      </c>
      <c r="Q624">
        <v>0</v>
      </c>
      <c r="R624">
        <v>0</v>
      </c>
      <c r="S624">
        <v>0</v>
      </c>
      <c r="T624">
        <v>6</v>
      </c>
      <c r="U624">
        <v>6</v>
      </c>
      <c r="V624">
        <v>1</v>
      </c>
      <c r="W624">
        <v>1</v>
      </c>
      <c r="X624" t="s">
        <v>40</v>
      </c>
      <c r="Y624">
        <v>3</v>
      </c>
      <c r="Z624">
        <v>54</v>
      </c>
      <c r="AA624">
        <v>1</v>
      </c>
      <c r="AB624">
        <v>0</v>
      </c>
      <c r="AC624">
        <v>71.992000000000004</v>
      </c>
      <c r="AD624">
        <v>5059</v>
      </c>
      <c r="AH624">
        <v>0</v>
      </c>
      <c r="AI624">
        <v>0</v>
      </c>
      <c r="AL624" t="s">
        <v>40</v>
      </c>
      <c r="AM624" t="str">
        <f t="shared" si="48"/>
        <v>54 1</v>
      </c>
      <c r="AN624" t="str">
        <f t="shared" si="49"/>
        <v>407195.773,280544.182</v>
      </c>
      <c r="AO624" t="str">
        <f t="shared" si="50"/>
        <v>407129.962,280522.096</v>
      </c>
      <c r="AQ624" t="s">
        <v>2471</v>
      </c>
      <c r="AR624" t="s">
        <v>2470</v>
      </c>
    </row>
    <row r="625" spans="1:44" x14ac:dyDescent="0.3">
      <c r="A625">
        <v>3869</v>
      </c>
      <c r="B625">
        <v>4</v>
      </c>
      <c r="C625">
        <v>4019118</v>
      </c>
      <c r="D625">
        <v>18894</v>
      </c>
      <c r="E625">
        <v>2</v>
      </c>
      <c r="F625">
        <v>670050</v>
      </c>
      <c r="G625" t="s">
        <v>92</v>
      </c>
      <c r="H625" t="s">
        <v>58</v>
      </c>
      <c r="I625">
        <v>0</v>
      </c>
      <c r="J625" s="1">
        <v>404302.39399999997</v>
      </c>
      <c r="K625" s="1">
        <v>280568.82</v>
      </c>
      <c r="L625" s="1">
        <v>404283.26400000002</v>
      </c>
      <c r="M625" s="1">
        <v>280616.99400000001</v>
      </c>
      <c r="N625" t="s">
        <v>40</v>
      </c>
      <c r="P625" t="s">
        <v>40</v>
      </c>
      <c r="Q625">
        <v>0</v>
      </c>
      <c r="R625">
        <v>0</v>
      </c>
      <c r="S625">
        <v>0</v>
      </c>
      <c r="T625">
        <v>6</v>
      </c>
      <c r="U625">
        <v>6</v>
      </c>
      <c r="V625">
        <v>1</v>
      </c>
      <c r="W625">
        <v>1</v>
      </c>
      <c r="X625" t="s">
        <v>40</v>
      </c>
      <c r="Y625">
        <v>3</v>
      </c>
      <c r="Z625">
        <v>92</v>
      </c>
      <c r="AA625">
        <v>1</v>
      </c>
      <c r="AB625">
        <v>0</v>
      </c>
      <c r="AC625">
        <v>57.978000000000002</v>
      </c>
      <c r="AD625">
        <v>5059</v>
      </c>
      <c r="AH625">
        <v>0</v>
      </c>
      <c r="AI625">
        <v>0</v>
      </c>
      <c r="AL625" t="s">
        <v>40</v>
      </c>
      <c r="AM625" t="str">
        <f t="shared" ref="AM625:AM671" si="51">_xlfn.CONCAT(Z625, " ",AA625)</f>
        <v>92 1</v>
      </c>
      <c r="AN625" t="str">
        <f t="shared" ref="AN625:AN672" si="52">ROUND(J625,3)&amp;","&amp;ROUND(K625,3)</f>
        <v>404302.394,280568.82</v>
      </c>
      <c r="AO625" t="str">
        <f t="shared" ref="AO625:AO672" si="53">ROUND(L625,3)&amp;","&amp;ROUND(M625,3)</f>
        <v>404283.264,280616.994</v>
      </c>
      <c r="AQ625" t="s">
        <v>2475</v>
      </c>
      <c r="AR625" t="s">
        <v>2476</v>
      </c>
    </row>
    <row r="626" spans="1:44" x14ac:dyDescent="0.3">
      <c r="A626">
        <v>3869</v>
      </c>
      <c r="B626">
        <v>4</v>
      </c>
      <c r="C626">
        <v>4019058</v>
      </c>
      <c r="D626">
        <v>18812</v>
      </c>
      <c r="E626">
        <v>2</v>
      </c>
      <c r="F626">
        <v>670050</v>
      </c>
      <c r="G626" t="s">
        <v>92</v>
      </c>
      <c r="H626" t="s">
        <v>58</v>
      </c>
      <c r="I626">
        <v>0</v>
      </c>
      <c r="J626" s="1">
        <v>404332.70699999999</v>
      </c>
      <c r="K626" s="1">
        <v>280495.52899999998</v>
      </c>
      <c r="L626" s="1">
        <v>404323.86499999999</v>
      </c>
      <c r="M626" s="1">
        <v>280483.73200000002</v>
      </c>
      <c r="N626" t="s">
        <v>40</v>
      </c>
      <c r="P626" t="s">
        <v>40</v>
      </c>
      <c r="Q626">
        <v>0</v>
      </c>
      <c r="R626">
        <v>0</v>
      </c>
      <c r="S626">
        <v>0</v>
      </c>
      <c r="T626">
        <v>6</v>
      </c>
      <c r="U626">
        <v>6</v>
      </c>
      <c r="V626">
        <v>1</v>
      </c>
      <c r="W626">
        <v>1</v>
      </c>
      <c r="X626" t="s">
        <v>40</v>
      </c>
      <c r="Y626">
        <v>3</v>
      </c>
      <c r="Z626">
        <v>92</v>
      </c>
      <c r="AA626">
        <v>1</v>
      </c>
      <c r="AB626">
        <v>0</v>
      </c>
      <c r="AC626">
        <v>156.101</v>
      </c>
      <c r="AD626">
        <v>5059</v>
      </c>
      <c r="AH626">
        <v>0</v>
      </c>
      <c r="AI626">
        <v>0</v>
      </c>
      <c r="AL626" t="s">
        <v>40</v>
      </c>
      <c r="AM626" t="str">
        <f t="shared" si="51"/>
        <v>92 1</v>
      </c>
      <c r="AN626" s="6" t="s">
        <v>1282</v>
      </c>
      <c r="AO626" s="6" t="s">
        <v>1292</v>
      </c>
      <c r="AQ626" t="s">
        <v>2477</v>
      </c>
      <c r="AR626" t="s">
        <v>2478</v>
      </c>
    </row>
    <row r="627" spans="1:44" x14ac:dyDescent="0.3">
      <c r="A627">
        <v>3869</v>
      </c>
      <c r="B627">
        <v>4</v>
      </c>
      <c r="C627">
        <v>4019069</v>
      </c>
      <c r="D627">
        <v>39685</v>
      </c>
      <c r="E627">
        <v>2</v>
      </c>
      <c r="F627">
        <v>670050</v>
      </c>
      <c r="G627" t="s">
        <v>92</v>
      </c>
      <c r="H627" t="s">
        <v>58</v>
      </c>
      <c r="I627">
        <v>0</v>
      </c>
      <c r="J627" s="1">
        <v>404323.86499999999</v>
      </c>
      <c r="K627" s="1">
        <v>280483.73200000002</v>
      </c>
      <c r="L627" s="1">
        <v>404317.05900000001</v>
      </c>
      <c r="M627" s="1">
        <v>280481.85600000003</v>
      </c>
      <c r="N627" t="s">
        <v>40</v>
      </c>
      <c r="P627" t="s">
        <v>40</v>
      </c>
      <c r="Q627">
        <v>0</v>
      </c>
      <c r="R627">
        <v>0</v>
      </c>
      <c r="S627">
        <v>0</v>
      </c>
      <c r="T627">
        <v>6</v>
      </c>
      <c r="U627">
        <v>6</v>
      </c>
      <c r="V627">
        <v>1</v>
      </c>
      <c r="W627">
        <v>1</v>
      </c>
      <c r="X627" t="s">
        <v>40</v>
      </c>
      <c r="Y627">
        <v>3</v>
      </c>
      <c r="Z627">
        <v>40</v>
      </c>
      <c r="AA627">
        <v>5001</v>
      </c>
      <c r="AB627">
        <v>0</v>
      </c>
      <c r="AC627">
        <v>7.1710000000000003</v>
      </c>
      <c r="AD627">
        <v>5059</v>
      </c>
      <c r="AH627">
        <v>0</v>
      </c>
      <c r="AI627">
        <v>0</v>
      </c>
      <c r="AL627" t="s">
        <v>40</v>
      </c>
      <c r="AM627" t="str">
        <f t="shared" si="51"/>
        <v>40 5001</v>
      </c>
      <c r="AN627" t="str">
        <f t="shared" si="52"/>
        <v>404323.865,280483.732</v>
      </c>
      <c r="AO627" t="str">
        <f t="shared" si="53"/>
        <v>404317.059,280481.856</v>
      </c>
      <c r="AQ627" t="s">
        <v>2477</v>
      </c>
      <c r="AR627" t="s">
        <v>781</v>
      </c>
    </row>
    <row r="628" spans="1:44" x14ac:dyDescent="0.3">
      <c r="A628">
        <v>3869</v>
      </c>
      <c r="B628">
        <v>4</v>
      </c>
      <c r="C628">
        <v>4019071</v>
      </c>
      <c r="D628">
        <v>39688</v>
      </c>
      <c r="E628">
        <v>2</v>
      </c>
      <c r="F628">
        <v>670050</v>
      </c>
      <c r="G628" t="s">
        <v>92</v>
      </c>
      <c r="H628" t="s">
        <v>58</v>
      </c>
      <c r="I628">
        <v>0</v>
      </c>
      <c r="J628" s="1">
        <v>404317.20500000002</v>
      </c>
      <c r="K628" s="1">
        <v>280481.52799999999</v>
      </c>
      <c r="L628" s="1">
        <v>404318.15500000003</v>
      </c>
      <c r="M628" s="1">
        <v>280485.53999999998</v>
      </c>
      <c r="N628" t="s">
        <v>40</v>
      </c>
      <c r="P628" t="s">
        <v>40</v>
      </c>
      <c r="Q628">
        <v>0</v>
      </c>
      <c r="R628">
        <v>0</v>
      </c>
      <c r="S628">
        <v>0</v>
      </c>
      <c r="T628">
        <v>6</v>
      </c>
      <c r="U628">
        <v>6</v>
      </c>
      <c r="V628">
        <v>1</v>
      </c>
      <c r="W628">
        <v>3</v>
      </c>
      <c r="X628" t="s">
        <v>40</v>
      </c>
      <c r="Y628">
        <v>3</v>
      </c>
      <c r="Z628">
        <v>36</v>
      </c>
      <c r="AA628">
        <v>5001</v>
      </c>
      <c r="AB628">
        <v>0</v>
      </c>
      <c r="AC628">
        <v>8.1590000000000007</v>
      </c>
      <c r="AD628">
        <v>5059</v>
      </c>
      <c r="AH628">
        <v>0</v>
      </c>
      <c r="AI628">
        <v>0</v>
      </c>
      <c r="AL628" t="s">
        <v>40</v>
      </c>
      <c r="AM628" t="str">
        <f t="shared" si="51"/>
        <v>36 5001</v>
      </c>
      <c r="AN628" t="str">
        <f t="shared" si="52"/>
        <v>404317.205,280481.528</v>
      </c>
      <c r="AO628" t="str">
        <f t="shared" si="53"/>
        <v>404318.155,280485.54</v>
      </c>
      <c r="AQ628" t="s">
        <v>670</v>
      </c>
      <c r="AR628" t="s">
        <v>2479</v>
      </c>
    </row>
    <row r="629" spans="1:44" x14ac:dyDescent="0.3">
      <c r="A629">
        <v>3869</v>
      </c>
      <c r="B629">
        <v>4</v>
      </c>
      <c r="C629">
        <v>4012799</v>
      </c>
      <c r="D629">
        <v>13243</v>
      </c>
      <c r="E629">
        <v>2</v>
      </c>
      <c r="F629">
        <v>670050</v>
      </c>
      <c r="G629" t="s">
        <v>92</v>
      </c>
      <c r="H629" t="s">
        <v>65</v>
      </c>
      <c r="I629">
        <v>0</v>
      </c>
      <c r="J629" s="1">
        <v>403883.91</v>
      </c>
      <c r="K629" s="1">
        <v>281000</v>
      </c>
      <c r="L629" s="1">
        <v>403850.15299999999</v>
      </c>
      <c r="M629" s="1">
        <v>281054.64899999998</v>
      </c>
      <c r="N629" t="s">
        <v>40</v>
      </c>
      <c r="P629" t="s">
        <v>40</v>
      </c>
      <c r="Q629">
        <v>0</v>
      </c>
      <c r="R629">
        <v>0</v>
      </c>
      <c r="S629">
        <v>0</v>
      </c>
      <c r="T629">
        <v>7</v>
      </c>
      <c r="U629">
        <v>6</v>
      </c>
      <c r="V629">
        <v>1</v>
      </c>
      <c r="W629">
        <v>1</v>
      </c>
      <c r="X629" t="s">
        <v>40</v>
      </c>
      <c r="Y629">
        <v>3</v>
      </c>
      <c r="Z629">
        <v>316</v>
      </c>
      <c r="AA629">
        <v>18</v>
      </c>
      <c r="AB629">
        <v>0</v>
      </c>
      <c r="AC629">
        <v>203.64400000000001</v>
      </c>
      <c r="AD629">
        <v>5059</v>
      </c>
      <c r="AH629">
        <v>0</v>
      </c>
      <c r="AI629">
        <v>0</v>
      </c>
      <c r="AL629" t="s">
        <v>40</v>
      </c>
      <c r="AM629" t="str">
        <f t="shared" si="51"/>
        <v>316 18</v>
      </c>
      <c r="AN629" s="6" t="s">
        <v>1329</v>
      </c>
      <c r="AO629" s="6" t="s">
        <v>1294</v>
      </c>
      <c r="AQ629" t="s">
        <v>2480</v>
      </c>
      <c r="AR629" t="s">
        <v>2481</v>
      </c>
    </row>
    <row r="630" spans="1:44" x14ac:dyDescent="0.3">
      <c r="A630">
        <v>3869</v>
      </c>
      <c r="B630">
        <v>4</v>
      </c>
      <c r="C630">
        <v>4019088</v>
      </c>
      <c r="D630">
        <v>39686</v>
      </c>
      <c r="E630">
        <v>2</v>
      </c>
      <c r="F630">
        <v>670050</v>
      </c>
      <c r="G630" t="s">
        <v>92</v>
      </c>
      <c r="H630" t="s">
        <v>58</v>
      </c>
      <c r="I630">
        <v>0</v>
      </c>
      <c r="J630" s="1">
        <v>404323.136</v>
      </c>
      <c r="K630" s="1">
        <v>280486.02600000001</v>
      </c>
      <c r="L630" s="1">
        <v>404316.89399999997</v>
      </c>
      <c r="M630" s="1">
        <v>280482.33899999998</v>
      </c>
      <c r="N630" t="s">
        <v>40</v>
      </c>
      <c r="P630" t="s">
        <v>40</v>
      </c>
      <c r="Q630">
        <v>0</v>
      </c>
      <c r="R630">
        <v>0</v>
      </c>
      <c r="S630">
        <v>0</v>
      </c>
      <c r="T630">
        <v>6</v>
      </c>
      <c r="U630">
        <v>6</v>
      </c>
      <c r="V630">
        <v>1</v>
      </c>
      <c r="W630">
        <v>1</v>
      </c>
      <c r="X630" t="s">
        <v>40</v>
      </c>
      <c r="Y630">
        <v>3</v>
      </c>
      <c r="Z630">
        <v>40</v>
      </c>
      <c r="AA630">
        <v>5001</v>
      </c>
      <c r="AB630">
        <v>0</v>
      </c>
      <c r="AC630">
        <v>7.726</v>
      </c>
      <c r="AD630">
        <v>5059</v>
      </c>
      <c r="AH630">
        <v>0</v>
      </c>
      <c r="AI630">
        <v>0</v>
      </c>
      <c r="AL630" t="s">
        <v>40</v>
      </c>
      <c r="AM630" t="str">
        <f t="shared" si="51"/>
        <v>40 5001</v>
      </c>
      <c r="AN630" t="str">
        <f t="shared" si="52"/>
        <v>404323.136,280486.026</v>
      </c>
      <c r="AO630" t="str">
        <f t="shared" si="53"/>
        <v>404316.894,280482.339</v>
      </c>
      <c r="AQ630" t="s">
        <v>2482</v>
      </c>
      <c r="AR630" t="s">
        <v>781</v>
      </c>
    </row>
    <row r="631" spans="1:44" x14ac:dyDescent="0.3">
      <c r="A631">
        <v>3869</v>
      </c>
      <c r="B631">
        <v>4</v>
      </c>
      <c r="C631">
        <v>4019094</v>
      </c>
      <c r="D631">
        <v>18813</v>
      </c>
      <c r="E631">
        <v>2</v>
      </c>
      <c r="F631">
        <v>670050</v>
      </c>
      <c r="G631" t="s">
        <v>92</v>
      </c>
      <c r="H631" t="s">
        <v>58</v>
      </c>
      <c r="I631">
        <v>0</v>
      </c>
      <c r="J631" s="1">
        <v>404331.527</v>
      </c>
      <c r="K631" s="1">
        <v>280497.42800000001</v>
      </c>
      <c r="L631" s="1">
        <v>404323.136</v>
      </c>
      <c r="M631" s="1">
        <v>280486.02600000001</v>
      </c>
      <c r="N631" t="s">
        <v>40</v>
      </c>
      <c r="P631" t="s">
        <v>40</v>
      </c>
      <c r="Q631">
        <v>0</v>
      </c>
      <c r="R631">
        <v>0</v>
      </c>
      <c r="S631">
        <v>0</v>
      </c>
      <c r="T631">
        <v>6</v>
      </c>
      <c r="U631">
        <v>6</v>
      </c>
      <c r="V631">
        <v>1</v>
      </c>
      <c r="W631">
        <v>1</v>
      </c>
      <c r="X631" t="s">
        <v>40</v>
      </c>
      <c r="Y631">
        <v>3</v>
      </c>
      <c r="Z631">
        <v>92</v>
      </c>
      <c r="AA631">
        <v>1</v>
      </c>
      <c r="AB631">
        <v>0</v>
      </c>
      <c r="AC631">
        <v>58.444999999999993</v>
      </c>
      <c r="AD631">
        <v>5059</v>
      </c>
      <c r="AH631">
        <v>0</v>
      </c>
      <c r="AI631">
        <v>0</v>
      </c>
      <c r="AL631" t="s">
        <v>40</v>
      </c>
      <c r="AM631" t="str">
        <f t="shared" si="51"/>
        <v>92 1</v>
      </c>
      <c r="AN631" s="6" t="s">
        <v>1283</v>
      </c>
      <c r="AO631" s="6" t="s">
        <v>1720</v>
      </c>
      <c r="AQ631" t="s">
        <v>2482</v>
      </c>
      <c r="AR631" t="s">
        <v>2483</v>
      </c>
    </row>
    <row r="632" spans="1:44" x14ac:dyDescent="0.3">
      <c r="A632">
        <v>3869</v>
      </c>
      <c r="B632">
        <v>4</v>
      </c>
      <c r="C632">
        <v>4019106</v>
      </c>
      <c r="D632">
        <v>18874</v>
      </c>
      <c r="E632">
        <v>2</v>
      </c>
      <c r="F632">
        <v>670050</v>
      </c>
      <c r="G632" t="s">
        <v>92</v>
      </c>
      <c r="H632" t="s">
        <v>58</v>
      </c>
      <c r="I632">
        <v>0</v>
      </c>
      <c r="J632" s="1">
        <v>404302.39399999997</v>
      </c>
      <c r="K632" s="1">
        <v>280568.82</v>
      </c>
      <c r="L632" s="1">
        <v>404316.04599999997</v>
      </c>
      <c r="M632" s="1">
        <v>280533.68199999997</v>
      </c>
      <c r="N632" t="s">
        <v>40</v>
      </c>
      <c r="P632" t="s">
        <v>40</v>
      </c>
      <c r="Q632">
        <v>0</v>
      </c>
      <c r="R632">
        <v>0</v>
      </c>
      <c r="S632">
        <v>0</v>
      </c>
      <c r="T632">
        <v>6</v>
      </c>
      <c r="U632">
        <v>6</v>
      </c>
      <c r="V632">
        <v>1</v>
      </c>
      <c r="W632">
        <v>1</v>
      </c>
      <c r="X632" t="s">
        <v>40</v>
      </c>
      <c r="Y632">
        <v>3</v>
      </c>
      <c r="Z632">
        <v>40</v>
      </c>
      <c r="AA632">
        <v>5001</v>
      </c>
      <c r="AB632">
        <v>0</v>
      </c>
      <c r="AC632">
        <v>37.697000000000003</v>
      </c>
      <c r="AD632">
        <v>5059</v>
      </c>
      <c r="AH632">
        <v>0</v>
      </c>
      <c r="AI632">
        <v>0</v>
      </c>
      <c r="AL632" t="s">
        <v>40</v>
      </c>
      <c r="AM632" t="str">
        <f t="shared" si="51"/>
        <v>40 5001</v>
      </c>
      <c r="AN632" t="str">
        <f t="shared" si="52"/>
        <v>404302.394,280568.82</v>
      </c>
      <c r="AO632" t="str">
        <f t="shared" si="53"/>
        <v>404316.046,280533.682</v>
      </c>
      <c r="AQ632" t="s">
        <v>2475</v>
      </c>
      <c r="AR632" t="s">
        <v>2483</v>
      </c>
    </row>
    <row r="633" spans="1:44" x14ac:dyDescent="0.3">
      <c r="A633">
        <v>3869</v>
      </c>
      <c r="B633">
        <v>4</v>
      </c>
      <c r="C633">
        <v>4019029</v>
      </c>
      <c r="D633">
        <v>18253</v>
      </c>
      <c r="E633">
        <v>2</v>
      </c>
      <c r="F633">
        <v>670050</v>
      </c>
      <c r="G633" t="s">
        <v>92</v>
      </c>
      <c r="H633" t="s">
        <v>58</v>
      </c>
      <c r="I633">
        <v>0</v>
      </c>
      <c r="J633" s="1">
        <v>404600.24200000003</v>
      </c>
      <c r="K633" s="1">
        <v>280726.90100000001</v>
      </c>
      <c r="L633" s="1">
        <v>404804.277</v>
      </c>
      <c r="M633" s="1">
        <v>280811.755</v>
      </c>
      <c r="N633" t="s">
        <v>40</v>
      </c>
      <c r="P633" t="s">
        <v>40</v>
      </c>
      <c r="Q633">
        <v>0</v>
      </c>
      <c r="R633">
        <v>0</v>
      </c>
      <c r="S633">
        <v>0</v>
      </c>
      <c r="T633">
        <v>7</v>
      </c>
      <c r="U633">
        <v>6</v>
      </c>
      <c r="V633">
        <v>1</v>
      </c>
      <c r="W633">
        <v>1</v>
      </c>
      <c r="X633" t="s">
        <v>40</v>
      </c>
      <c r="Y633">
        <v>3</v>
      </c>
      <c r="Z633">
        <v>254</v>
      </c>
      <c r="AA633">
        <v>18</v>
      </c>
      <c r="AB633">
        <v>0</v>
      </c>
      <c r="AC633">
        <v>220.98099999999999</v>
      </c>
      <c r="AD633">
        <v>5059</v>
      </c>
      <c r="AH633">
        <v>0</v>
      </c>
      <c r="AI633">
        <v>0</v>
      </c>
      <c r="AL633" t="s">
        <v>40</v>
      </c>
      <c r="AM633" t="str">
        <f t="shared" si="51"/>
        <v>254 18</v>
      </c>
      <c r="AN633" t="str">
        <f t="shared" si="52"/>
        <v>404600.242,280726.901</v>
      </c>
      <c r="AO633" t="str">
        <f t="shared" si="53"/>
        <v>404804.277,280811.755</v>
      </c>
      <c r="AQ633" t="s">
        <v>2484</v>
      </c>
      <c r="AR633" t="s">
        <v>2485</v>
      </c>
    </row>
    <row r="634" spans="1:44" x14ac:dyDescent="0.3">
      <c r="A634">
        <v>3869</v>
      </c>
      <c r="B634">
        <v>4</v>
      </c>
      <c r="C634">
        <v>4019121</v>
      </c>
      <c r="D634">
        <v>18972</v>
      </c>
      <c r="E634">
        <v>2</v>
      </c>
      <c r="F634">
        <v>670050</v>
      </c>
      <c r="G634" t="s">
        <v>92</v>
      </c>
      <c r="H634" t="s">
        <v>58</v>
      </c>
      <c r="I634">
        <v>0</v>
      </c>
      <c r="J634" s="1">
        <v>404283.26400000002</v>
      </c>
      <c r="K634" s="1">
        <v>280616.99400000001</v>
      </c>
      <c r="L634" s="1">
        <v>404260.64600000001</v>
      </c>
      <c r="M634" s="1">
        <v>280676.95400000003</v>
      </c>
      <c r="N634" t="s">
        <v>40</v>
      </c>
      <c r="P634" t="s">
        <v>40</v>
      </c>
      <c r="Q634">
        <v>0</v>
      </c>
      <c r="R634">
        <v>0</v>
      </c>
      <c r="S634">
        <v>0</v>
      </c>
      <c r="T634">
        <v>7</v>
      </c>
      <c r="U634">
        <v>6</v>
      </c>
      <c r="V634">
        <v>1</v>
      </c>
      <c r="W634">
        <v>1</v>
      </c>
      <c r="X634" t="s">
        <v>40</v>
      </c>
      <c r="Y634">
        <v>3</v>
      </c>
      <c r="Z634">
        <v>316</v>
      </c>
      <c r="AA634">
        <v>18</v>
      </c>
      <c r="AB634">
        <v>0</v>
      </c>
      <c r="AC634">
        <v>64.150999999999996</v>
      </c>
      <c r="AD634">
        <v>5059</v>
      </c>
      <c r="AH634">
        <v>0</v>
      </c>
      <c r="AI634">
        <v>0</v>
      </c>
      <c r="AL634" t="s">
        <v>40</v>
      </c>
      <c r="AM634" t="str">
        <f t="shared" si="51"/>
        <v>316 18</v>
      </c>
      <c r="AN634" t="str">
        <f t="shared" si="52"/>
        <v>404283.264,280616.994</v>
      </c>
      <c r="AO634" t="str">
        <f t="shared" si="53"/>
        <v>404260.646,280676.954</v>
      </c>
      <c r="AQ634" t="s">
        <v>2476</v>
      </c>
      <c r="AR634" t="s">
        <v>2486</v>
      </c>
    </row>
    <row r="635" spans="1:44" x14ac:dyDescent="0.3">
      <c r="A635">
        <v>3869</v>
      </c>
      <c r="B635">
        <v>4</v>
      </c>
      <c r="C635">
        <v>4019132</v>
      </c>
      <c r="D635">
        <v>18940</v>
      </c>
      <c r="E635">
        <v>2</v>
      </c>
      <c r="F635">
        <v>670050</v>
      </c>
      <c r="G635" t="s">
        <v>92</v>
      </c>
      <c r="H635" t="s">
        <v>58</v>
      </c>
      <c r="I635">
        <v>0</v>
      </c>
      <c r="J635" s="1">
        <v>404260.64600000001</v>
      </c>
      <c r="K635" s="1">
        <v>280676.95400000003</v>
      </c>
      <c r="L635" s="1">
        <v>404218.15899999999</v>
      </c>
      <c r="M635" s="1">
        <v>280728.92499999999</v>
      </c>
      <c r="N635" t="s">
        <v>40</v>
      </c>
      <c r="P635" t="s">
        <v>40</v>
      </c>
      <c r="Q635">
        <v>0</v>
      </c>
      <c r="R635">
        <v>0</v>
      </c>
      <c r="S635">
        <v>0</v>
      </c>
      <c r="T635">
        <v>7</v>
      </c>
      <c r="U635">
        <v>6</v>
      </c>
      <c r="V635">
        <v>1</v>
      </c>
      <c r="W635">
        <v>1</v>
      </c>
      <c r="X635" t="s">
        <v>40</v>
      </c>
      <c r="Y635">
        <v>3</v>
      </c>
      <c r="Z635">
        <v>91</v>
      </c>
      <c r="AA635">
        <v>1</v>
      </c>
      <c r="AB635">
        <v>0</v>
      </c>
      <c r="AC635">
        <v>72.14</v>
      </c>
      <c r="AD635">
        <v>5059</v>
      </c>
      <c r="AH635">
        <v>0</v>
      </c>
      <c r="AI635">
        <v>0</v>
      </c>
      <c r="AL635" t="s">
        <v>40</v>
      </c>
      <c r="AM635" t="str">
        <f t="shared" si="51"/>
        <v>91 1</v>
      </c>
      <c r="AN635" t="str">
        <f t="shared" si="52"/>
        <v>404260.646,280676.954</v>
      </c>
      <c r="AO635" t="str">
        <f t="shared" si="53"/>
        <v>404218.159,280728.925</v>
      </c>
      <c r="AQ635" t="s">
        <v>2486</v>
      </c>
      <c r="AR635" t="s">
        <v>2487</v>
      </c>
    </row>
    <row r="636" spans="1:44" x14ac:dyDescent="0.3">
      <c r="A636">
        <v>3869</v>
      </c>
      <c r="B636">
        <v>4</v>
      </c>
      <c r="C636">
        <v>4019133</v>
      </c>
      <c r="D636">
        <v>19047</v>
      </c>
      <c r="E636">
        <v>2</v>
      </c>
      <c r="F636">
        <v>670050</v>
      </c>
      <c r="G636" t="s">
        <v>92</v>
      </c>
      <c r="H636" t="s">
        <v>58</v>
      </c>
      <c r="I636">
        <v>0</v>
      </c>
      <c r="J636" s="1">
        <v>404218.15899999999</v>
      </c>
      <c r="K636" s="1">
        <v>280728.92499999999</v>
      </c>
      <c r="L636" s="1">
        <v>404206.91100000002</v>
      </c>
      <c r="M636" s="1">
        <v>280808.038</v>
      </c>
      <c r="N636" t="s">
        <v>40</v>
      </c>
      <c r="P636" t="s">
        <v>40</v>
      </c>
      <c r="Q636">
        <v>0</v>
      </c>
      <c r="R636">
        <v>0</v>
      </c>
      <c r="S636">
        <v>0</v>
      </c>
      <c r="T636">
        <v>6</v>
      </c>
      <c r="U636">
        <v>6</v>
      </c>
      <c r="V636">
        <v>1</v>
      </c>
      <c r="W636">
        <v>1</v>
      </c>
      <c r="X636" t="s">
        <v>40</v>
      </c>
      <c r="Y636">
        <v>3</v>
      </c>
      <c r="Z636">
        <v>52</v>
      </c>
      <c r="AA636">
        <v>1</v>
      </c>
      <c r="AB636">
        <v>0</v>
      </c>
      <c r="AC636">
        <v>97.674000000000007</v>
      </c>
      <c r="AD636">
        <v>5059</v>
      </c>
      <c r="AH636">
        <v>0</v>
      </c>
      <c r="AI636">
        <v>0</v>
      </c>
      <c r="AL636" t="s">
        <v>40</v>
      </c>
      <c r="AM636" t="str">
        <f t="shared" si="51"/>
        <v>52 1</v>
      </c>
      <c r="AN636" t="str">
        <f t="shared" si="52"/>
        <v>404218.159,280728.925</v>
      </c>
      <c r="AO636" t="str">
        <f t="shared" si="53"/>
        <v>404206.911,280808.038</v>
      </c>
      <c r="AQ636" t="s">
        <v>2487</v>
      </c>
      <c r="AR636" t="s">
        <v>2488</v>
      </c>
    </row>
    <row r="637" spans="1:44" x14ac:dyDescent="0.3">
      <c r="A637">
        <v>3869</v>
      </c>
      <c r="B637">
        <v>4</v>
      </c>
      <c r="C637">
        <v>4027913</v>
      </c>
      <c r="D637">
        <v>25269</v>
      </c>
      <c r="E637">
        <v>2</v>
      </c>
      <c r="F637">
        <v>670050</v>
      </c>
      <c r="G637" t="s">
        <v>92</v>
      </c>
      <c r="H637" t="s">
        <v>93</v>
      </c>
      <c r="I637">
        <v>0</v>
      </c>
      <c r="J637" s="1">
        <v>401576.31900000002</v>
      </c>
      <c r="K637" s="1">
        <v>279381.59700000001</v>
      </c>
      <c r="L637" s="1">
        <v>401577.66700000002</v>
      </c>
      <c r="M637" s="1">
        <v>279380.68</v>
      </c>
      <c r="N637" t="s">
        <v>40</v>
      </c>
      <c r="P637" t="s">
        <v>40</v>
      </c>
      <c r="Q637">
        <v>0</v>
      </c>
      <c r="R637">
        <v>0</v>
      </c>
      <c r="S637">
        <v>0</v>
      </c>
      <c r="T637">
        <v>6</v>
      </c>
      <c r="U637">
        <v>6</v>
      </c>
      <c r="V637">
        <v>1</v>
      </c>
      <c r="W637">
        <v>2</v>
      </c>
      <c r="X637" t="s">
        <v>40</v>
      </c>
      <c r="Y637">
        <v>3</v>
      </c>
      <c r="Z637">
        <v>90</v>
      </c>
      <c r="AA637">
        <v>1</v>
      </c>
      <c r="AB637">
        <v>0</v>
      </c>
      <c r="AC637">
        <v>1.635</v>
      </c>
      <c r="AD637">
        <v>5059</v>
      </c>
      <c r="AH637">
        <v>0</v>
      </c>
      <c r="AI637">
        <v>0</v>
      </c>
      <c r="AL637" t="s">
        <v>40</v>
      </c>
      <c r="AM637" t="str">
        <f t="shared" si="51"/>
        <v>90 1</v>
      </c>
      <c r="AN637" t="str">
        <f t="shared" si="52"/>
        <v>401576.319,279381.597</v>
      </c>
      <c r="AO637" t="str">
        <f t="shared" si="53"/>
        <v>401577.667,279380.68</v>
      </c>
      <c r="AQ637" t="s">
        <v>2489</v>
      </c>
      <c r="AR637" t="s">
        <v>2490</v>
      </c>
    </row>
    <row r="638" spans="1:44" x14ac:dyDescent="0.3">
      <c r="A638">
        <v>3869</v>
      </c>
      <c r="B638">
        <v>4</v>
      </c>
      <c r="C638">
        <v>4023286</v>
      </c>
      <c r="D638">
        <v>74992</v>
      </c>
      <c r="E638">
        <v>2</v>
      </c>
      <c r="F638">
        <v>670050</v>
      </c>
      <c r="G638" t="s">
        <v>92</v>
      </c>
      <c r="H638" t="s">
        <v>94</v>
      </c>
      <c r="I638">
        <v>0</v>
      </c>
      <c r="J638" s="1">
        <v>402297.54300000001</v>
      </c>
      <c r="K638" s="1">
        <v>279968.10600000003</v>
      </c>
      <c r="L638" s="1">
        <v>402336.84499999997</v>
      </c>
      <c r="M638" s="1">
        <v>279969.76699999999</v>
      </c>
      <c r="N638" t="s">
        <v>40</v>
      </c>
      <c r="P638" t="s">
        <v>40</v>
      </c>
      <c r="Q638">
        <v>0</v>
      </c>
      <c r="R638">
        <v>0</v>
      </c>
      <c r="S638">
        <v>0</v>
      </c>
      <c r="T638">
        <v>6</v>
      </c>
      <c r="U638">
        <v>6</v>
      </c>
      <c r="V638">
        <v>1</v>
      </c>
      <c r="W638">
        <v>1</v>
      </c>
      <c r="X638" t="s">
        <v>40</v>
      </c>
      <c r="Y638">
        <v>3</v>
      </c>
      <c r="Z638">
        <v>38</v>
      </c>
      <c r="AA638">
        <v>1</v>
      </c>
      <c r="AB638">
        <v>0</v>
      </c>
      <c r="AC638">
        <v>50.86</v>
      </c>
      <c r="AD638">
        <v>5059</v>
      </c>
      <c r="AH638">
        <v>0</v>
      </c>
      <c r="AI638">
        <v>0</v>
      </c>
      <c r="AL638" t="s">
        <v>40</v>
      </c>
      <c r="AM638" t="str">
        <f t="shared" si="51"/>
        <v>38 1</v>
      </c>
      <c r="AN638" t="str">
        <f t="shared" si="52"/>
        <v>402297.543,279968.106</v>
      </c>
      <c r="AO638" t="str">
        <f t="shared" si="53"/>
        <v>402336.845,279969.767</v>
      </c>
      <c r="AQ638" t="s">
        <v>2491</v>
      </c>
      <c r="AR638" t="s">
        <v>771</v>
      </c>
    </row>
    <row r="639" spans="1:44" x14ac:dyDescent="0.3">
      <c r="A639">
        <v>3869</v>
      </c>
      <c r="B639">
        <v>4</v>
      </c>
      <c r="C639">
        <v>4023269</v>
      </c>
      <c r="D639">
        <v>74991</v>
      </c>
      <c r="E639">
        <v>2</v>
      </c>
      <c r="F639">
        <v>670050</v>
      </c>
      <c r="G639" t="s">
        <v>92</v>
      </c>
      <c r="H639" t="s">
        <v>94</v>
      </c>
      <c r="I639">
        <v>0</v>
      </c>
      <c r="J639" s="1">
        <v>402306.26299999998</v>
      </c>
      <c r="K639" s="1">
        <v>279972.52500000002</v>
      </c>
      <c r="L639" s="1">
        <v>402337.58</v>
      </c>
      <c r="M639" s="1">
        <v>279969.74800000002</v>
      </c>
      <c r="N639" t="s">
        <v>40</v>
      </c>
      <c r="P639" t="s">
        <v>40</v>
      </c>
      <c r="Q639">
        <v>0</v>
      </c>
      <c r="R639">
        <v>0</v>
      </c>
      <c r="S639">
        <v>0</v>
      </c>
      <c r="T639">
        <v>6</v>
      </c>
      <c r="U639">
        <v>6</v>
      </c>
      <c r="V639">
        <v>1</v>
      </c>
      <c r="W639">
        <v>1</v>
      </c>
      <c r="X639" t="s">
        <v>40</v>
      </c>
      <c r="Y639">
        <v>3</v>
      </c>
      <c r="Z639">
        <v>38</v>
      </c>
      <c r="AA639">
        <v>1</v>
      </c>
      <c r="AB639">
        <v>0</v>
      </c>
      <c r="AC639">
        <v>41.404000000000003</v>
      </c>
      <c r="AD639">
        <v>5059</v>
      </c>
      <c r="AH639">
        <v>0</v>
      </c>
      <c r="AI639">
        <v>0</v>
      </c>
      <c r="AL639" t="s">
        <v>40</v>
      </c>
      <c r="AM639" t="str">
        <f t="shared" si="51"/>
        <v>38 1</v>
      </c>
      <c r="AN639" t="str">
        <f t="shared" si="52"/>
        <v>402306.263,279972.525</v>
      </c>
      <c r="AO639" t="str">
        <f t="shared" si="53"/>
        <v>402337.58,279969.748</v>
      </c>
      <c r="AQ639" t="s">
        <v>2492</v>
      </c>
      <c r="AR639" t="s">
        <v>770</v>
      </c>
    </row>
    <row r="640" spans="1:44" x14ac:dyDescent="0.3">
      <c r="A640">
        <v>3869</v>
      </c>
      <c r="B640">
        <v>4</v>
      </c>
      <c r="C640">
        <v>4019016</v>
      </c>
      <c r="D640">
        <v>142</v>
      </c>
      <c r="E640">
        <v>2</v>
      </c>
      <c r="F640">
        <v>670050</v>
      </c>
      <c r="G640" t="s">
        <v>92</v>
      </c>
      <c r="H640" t="s">
        <v>58</v>
      </c>
      <c r="I640">
        <v>0</v>
      </c>
      <c r="J640" s="1">
        <v>405000</v>
      </c>
      <c r="K640" s="1">
        <v>280918.734</v>
      </c>
      <c r="L640" s="1">
        <v>404967.34100000001</v>
      </c>
      <c r="M640" s="1">
        <v>280895.04499999998</v>
      </c>
      <c r="N640" t="s">
        <v>40</v>
      </c>
      <c r="P640" t="s">
        <v>40</v>
      </c>
      <c r="Q640">
        <v>0</v>
      </c>
      <c r="R640">
        <v>0</v>
      </c>
      <c r="S640">
        <v>0</v>
      </c>
      <c r="T640">
        <v>7</v>
      </c>
      <c r="U640">
        <v>6</v>
      </c>
      <c r="V640">
        <v>1</v>
      </c>
      <c r="W640">
        <v>1</v>
      </c>
      <c r="X640" t="s">
        <v>40</v>
      </c>
      <c r="Y640">
        <v>3</v>
      </c>
      <c r="Z640">
        <v>316</v>
      </c>
      <c r="AA640">
        <v>18</v>
      </c>
      <c r="AB640">
        <v>0</v>
      </c>
      <c r="AC640">
        <v>136.239</v>
      </c>
      <c r="AD640">
        <v>5059</v>
      </c>
      <c r="AH640">
        <v>0</v>
      </c>
      <c r="AI640">
        <v>0</v>
      </c>
      <c r="AL640" t="s">
        <v>40</v>
      </c>
      <c r="AM640" t="str">
        <f t="shared" si="51"/>
        <v>316 18</v>
      </c>
      <c r="AN640" s="6" t="s">
        <v>1722</v>
      </c>
      <c r="AO640" s="6" t="s">
        <v>1318</v>
      </c>
      <c r="AQ640" t="s">
        <v>2493</v>
      </c>
      <c r="AR640" t="s">
        <v>2494</v>
      </c>
    </row>
    <row r="641" spans="1:44" x14ac:dyDescent="0.3">
      <c r="A641">
        <v>3869</v>
      </c>
      <c r="B641">
        <v>4</v>
      </c>
      <c r="C641">
        <v>4019028</v>
      </c>
      <c r="D641">
        <v>17889</v>
      </c>
      <c r="E641">
        <v>2</v>
      </c>
      <c r="F641">
        <v>670050</v>
      </c>
      <c r="G641" t="s">
        <v>92</v>
      </c>
      <c r="H641" t="s">
        <v>58</v>
      </c>
      <c r="I641">
        <v>0</v>
      </c>
      <c r="J641" s="1">
        <v>404804.277</v>
      </c>
      <c r="K641" s="1">
        <v>280811.755</v>
      </c>
      <c r="L641" s="1">
        <v>404967.34100000001</v>
      </c>
      <c r="M641" s="1">
        <v>280895.04499999998</v>
      </c>
      <c r="N641" t="s">
        <v>40</v>
      </c>
      <c r="P641" t="s">
        <v>40</v>
      </c>
      <c r="Q641">
        <v>0</v>
      </c>
      <c r="R641">
        <v>0</v>
      </c>
      <c r="S641">
        <v>0</v>
      </c>
      <c r="T641">
        <v>6</v>
      </c>
      <c r="U641">
        <v>6</v>
      </c>
      <c r="V641">
        <v>1</v>
      </c>
      <c r="W641">
        <v>1</v>
      </c>
      <c r="X641" t="s">
        <v>40</v>
      </c>
      <c r="Y641">
        <v>3</v>
      </c>
      <c r="Z641">
        <v>89</v>
      </c>
      <c r="AA641">
        <v>1</v>
      </c>
      <c r="AB641">
        <v>0</v>
      </c>
      <c r="AC641">
        <v>184.1</v>
      </c>
      <c r="AD641">
        <v>5059</v>
      </c>
      <c r="AH641">
        <v>0</v>
      </c>
      <c r="AI641">
        <v>0</v>
      </c>
      <c r="AL641" t="s">
        <v>40</v>
      </c>
      <c r="AM641" t="str">
        <f t="shared" si="51"/>
        <v>89 1</v>
      </c>
      <c r="AN641" t="str">
        <f t="shared" si="52"/>
        <v>404804.277,280811.755</v>
      </c>
      <c r="AO641" t="str">
        <f t="shared" si="53"/>
        <v>404967.341,280895.045</v>
      </c>
      <c r="AQ641" t="s">
        <v>2485</v>
      </c>
      <c r="AR641" t="s">
        <v>2493</v>
      </c>
    </row>
    <row r="642" spans="1:44" x14ac:dyDescent="0.3">
      <c r="A642">
        <v>3869</v>
      </c>
      <c r="B642">
        <v>4</v>
      </c>
      <c r="C642">
        <v>4019044</v>
      </c>
      <c r="D642">
        <v>19234</v>
      </c>
      <c r="E642">
        <v>2</v>
      </c>
      <c r="F642">
        <v>670050</v>
      </c>
      <c r="G642" t="s">
        <v>92</v>
      </c>
      <c r="H642" t="s">
        <v>58</v>
      </c>
      <c r="I642">
        <v>0</v>
      </c>
      <c r="J642" s="1">
        <v>404285.45600000001</v>
      </c>
      <c r="K642" s="1">
        <v>280614.35700000002</v>
      </c>
      <c r="L642" s="1">
        <v>404439.97600000002</v>
      </c>
      <c r="M642" s="1">
        <v>280661.46500000003</v>
      </c>
      <c r="N642" t="s">
        <v>40</v>
      </c>
      <c r="P642" t="s">
        <v>40</v>
      </c>
      <c r="Q642">
        <v>0</v>
      </c>
      <c r="R642">
        <v>0</v>
      </c>
      <c r="S642">
        <v>0</v>
      </c>
      <c r="T642">
        <v>7</v>
      </c>
      <c r="U642">
        <v>6</v>
      </c>
      <c r="V642">
        <v>1</v>
      </c>
      <c r="W642">
        <v>1</v>
      </c>
      <c r="X642" t="s">
        <v>40</v>
      </c>
      <c r="Y642">
        <v>3</v>
      </c>
      <c r="Z642">
        <v>256</v>
      </c>
      <c r="AA642">
        <v>18</v>
      </c>
      <c r="AB642">
        <v>0</v>
      </c>
      <c r="AC642">
        <v>339.03200000000004</v>
      </c>
      <c r="AD642">
        <v>5059</v>
      </c>
      <c r="AH642">
        <v>0</v>
      </c>
      <c r="AI642">
        <v>0</v>
      </c>
      <c r="AL642" t="s">
        <v>40</v>
      </c>
      <c r="AM642" t="str">
        <f t="shared" si="51"/>
        <v>256 18</v>
      </c>
      <c r="AN642" s="6" t="s">
        <v>1284</v>
      </c>
      <c r="AO642" s="6" t="s">
        <v>1292</v>
      </c>
      <c r="AQ642" t="s">
        <v>2484</v>
      </c>
      <c r="AR642" t="s">
        <v>2478</v>
      </c>
    </row>
    <row r="643" spans="1:44" x14ac:dyDescent="0.3">
      <c r="A643">
        <v>3869</v>
      </c>
      <c r="B643">
        <v>4</v>
      </c>
      <c r="C643">
        <v>4027895</v>
      </c>
      <c r="D643">
        <v>25686</v>
      </c>
      <c r="E643">
        <v>2</v>
      </c>
      <c r="F643">
        <v>670050</v>
      </c>
      <c r="G643" t="s">
        <v>92</v>
      </c>
      <c r="H643" t="s">
        <v>93</v>
      </c>
      <c r="I643">
        <v>0</v>
      </c>
      <c r="J643" s="1">
        <v>401780.58399999997</v>
      </c>
      <c r="K643" s="1">
        <v>279333.90500000003</v>
      </c>
      <c r="L643" s="1">
        <v>401659.71</v>
      </c>
      <c r="M643" s="1">
        <v>279298.35700000002</v>
      </c>
      <c r="N643" t="s">
        <v>40</v>
      </c>
      <c r="P643" t="s">
        <v>40</v>
      </c>
      <c r="Q643">
        <v>0</v>
      </c>
      <c r="R643">
        <v>0</v>
      </c>
      <c r="S643">
        <v>0</v>
      </c>
      <c r="T643">
        <v>6</v>
      </c>
      <c r="U643">
        <v>6</v>
      </c>
      <c r="V643">
        <v>1</v>
      </c>
      <c r="W643">
        <v>2</v>
      </c>
      <c r="X643" t="s">
        <v>40</v>
      </c>
      <c r="Y643">
        <v>3</v>
      </c>
      <c r="Z643">
        <v>86</v>
      </c>
      <c r="AA643">
        <v>1</v>
      </c>
      <c r="AB643">
        <v>0</v>
      </c>
      <c r="AC643">
        <v>126.152</v>
      </c>
      <c r="AD643">
        <v>5059</v>
      </c>
      <c r="AH643">
        <v>0</v>
      </c>
      <c r="AI643">
        <v>0</v>
      </c>
      <c r="AL643" t="s">
        <v>40</v>
      </c>
      <c r="AM643" t="str">
        <f t="shared" si="51"/>
        <v>86 1</v>
      </c>
      <c r="AN643" t="str">
        <f t="shared" si="52"/>
        <v>401780.584,279333.905</v>
      </c>
      <c r="AO643" t="str">
        <f t="shared" si="53"/>
        <v>401659.71,279298.357</v>
      </c>
      <c r="AQ643" t="s">
        <v>2495</v>
      </c>
      <c r="AR643" t="s">
        <v>2496</v>
      </c>
    </row>
    <row r="644" spans="1:44" x14ac:dyDescent="0.3">
      <c r="A644">
        <v>3869</v>
      </c>
      <c r="B644">
        <v>4</v>
      </c>
      <c r="C644">
        <v>4017089</v>
      </c>
      <c r="D644">
        <v>16639</v>
      </c>
      <c r="E644">
        <v>2</v>
      </c>
      <c r="F644">
        <v>670050</v>
      </c>
      <c r="G644" t="s">
        <v>92</v>
      </c>
      <c r="H644" t="s">
        <v>63</v>
      </c>
      <c r="I644">
        <v>0</v>
      </c>
      <c r="J644" s="1">
        <v>403950.06800000003</v>
      </c>
      <c r="K644" s="1">
        <v>280877.549</v>
      </c>
      <c r="L644" s="1">
        <v>404000</v>
      </c>
      <c r="M644" s="1">
        <v>280803.06</v>
      </c>
      <c r="N644" t="s">
        <v>40</v>
      </c>
      <c r="P644" t="s">
        <v>40</v>
      </c>
      <c r="Q644">
        <v>0</v>
      </c>
      <c r="R644">
        <v>0</v>
      </c>
      <c r="S644">
        <v>0</v>
      </c>
      <c r="T644">
        <v>7</v>
      </c>
      <c r="U644">
        <v>6</v>
      </c>
      <c r="V644">
        <v>1</v>
      </c>
      <c r="W644">
        <v>1</v>
      </c>
      <c r="X644" t="s">
        <v>40</v>
      </c>
      <c r="Y644">
        <v>3</v>
      </c>
      <c r="Z644">
        <v>91</v>
      </c>
      <c r="AA644">
        <v>1</v>
      </c>
      <c r="AB644">
        <v>0</v>
      </c>
      <c r="AC644">
        <v>200.03399999999999</v>
      </c>
      <c r="AD644">
        <v>5059</v>
      </c>
      <c r="AH644">
        <v>0</v>
      </c>
      <c r="AI644">
        <v>0</v>
      </c>
      <c r="AL644" t="s">
        <v>40</v>
      </c>
      <c r="AM644" t="str">
        <f t="shared" si="51"/>
        <v>91 1</v>
      </c>
      <c r="AN644" s="6" t="s">
        <v>1299</v>
      </c>
      <c r="AO644" s="6" t="s">
        <v>1294</v>
      </c>
      <c r="AQ644" t="s">
        <v>2497</v>
      </c>
      <c r="AR644" t="s">
        <v>2481</v>
      </c>
    </row>
    <row r="645" spans="1:44" x14ac:dyDescent="0.3">
      <c r="A645">
        <v>3869</v>
      </c>
      <c r="B645">
        <v>4</v>
      </c>
      <c r="C645">
        <v>4027914</v>
      </c>
      <c r="D645">
        <v>25343</v>
      </c>
      <c r="E645">
        <v>2</v>
      </c>
      <c r="F645">
        <v>670050</v>
      </c>
      <c r="G645" t="s">
        <v>92</v>
      </c>
      <c r="H645" t="s">
        <v>93</v>
      </c>
      <c r="I645">
        <v>0</v>
      </c>
      <c r="J645" s="1">
        <v>401577.66700000002</v>
      </c>
      <c r="K645" s="1">
        <v>279380.68</v>
      </c>
      <c r="L645" s="1">
        <v>401659.71</v>
      </c>
      <c r="M645" s="1">
        <v>279298.35700000002</v>
      </c>
      <c r="N645" t="s">
        <v>40</v>
      </c>
      <c r="P645" t="s">
        <v>40</v>
      </c>
      <c r="Q645">
        <v>0</v>
      </c>
      <c r="R645">
        <v>0</v>
      </c>
      <c r="S645">
        <v>0</v>
      </c>
      <c r="T645">
        <v>6</v>
      </c>
      <c r="U645">
        <v>6</v>
      </c>
      <c r="V645">
        <v>1</v>
      </c>
      <c r="W645">
        <v>2</v>
      </c>
      <c r="X645" t="s">
        <v>40</v>
      </c>
      <c r="Y645">
        <v>3</v>
      </c>
      <c r="Z645">
        <v>52</v>
      </c>
      <c r="AA645">
        <v>1</v>
      </c>
      <c r="AB645">
        <v>0</v>
      </c>
      <c r="AC645">
        <v>155.36699999999999</v>
      </c>
      <c r="AD645">
        <v>5059</v>
      </c>
      <c r="AH645">
        <v>0</v>
      </c>
      <c r="AI645">
        <v>0</v>
      </c>
      <c r="AL645" t="s">
        <v>40</v>
      </c>
      <c r="AM645" t="str">
        <f t="shared" si="51"/>
        <v>52 1</v>
      </c>
      <c r="AN645" t="str">
        <f t="shared" si="52"/>
        <v>401577.667,279380.68</v>
      </c>
      <c r="AO645" t="str">
        <f t="shared" si="53"/>
        <v>401659.71,279298.357</v>
      </c>
      <c r="AQ645" t="s">
        <v>2490</v>
      </c>
      <c r="AR645" t="s">
        <v>2496</v>
      </c>
    </row>
    <row r="646" spans="1:44" x14ac:dyDescent="0.3">
      <c r="A646">
        <v>3869</v>
      </c>
      <c r="B646">
        <v>4</v>
      </c>
      <c r="C646">
        <v>4027926</v>
      </c>
      <c r="D646">
        <v>91279</v>
      </c>
      <c r="E646">
        <v>2</v>
      </c>
      <c r="F646">
        <v>670050</v>
      </c>
      <c r="G646" t="s">
        <v>92</v>
      </c>
      <c r="H646" t="s">
        <v>93</v>
      </c>
      <c r="I646">
        <v>0</v>
      </c>
      <c r="J646" s="1">
        <v>401576.31900000002</v>
      </c>
      <c r="K646" s="1">
        <v>279381.59700000001</v>
      </c>
      <c r="L646" s="1">
        <v>401574.37199999997</v>
      </c>
      <c r="M646" s="1">
        <v>279382.799</v>
      </c>
      <c r="N646" t="s">
        <v>40</v>
      </c>
      <c r="P646" t="s">
        <v>40</v>
      </c>
      <c r="Q646">
        <v>0</v>
      </c>
      <c r="R646">
        <v>0</v>
      </c>
      <c r="S646">
        <v>0</v>
      </c>
      <c r="T646">
        <v>6</v>
      </c>
      <c r="U646">
        <v>6</v>
      </c>
      <c r="V646">
        <v>1</v>
      </c>
      <c r="W646">
        <v>2</v>
      </c>
      <c r="X646" t="s">
        <v>40</v>
      </c>
      <c r="Y646">
        <v>3</v>
      </c>
      <c r="Z646">
        <v>38</v>
      </c>
      <c r="AA646">
        <v>5001</v>
      </c>
      <c r="AB646">
        <v>0</v>
      </c>
      <c r="AC646">
        <v>2.2879999999999998</v>
      </c>
      <c r="AD646">
        <v>5059</v>
      </c>
      <c r="AH646">
        <v>0</v>
      </c>
      <c r="AI646">
        <v>0</v>
      </c>
      <c r="AL646" t="s">
        <v>40</v>
      </c>
      <c r="AM646" t="str">
        <f t="shared" si="51"/>
        <v>38 5001</v>
      </c>
      <c r="AN646" t="str">
        <f t="shared" si="52"/>
        <v>401576.319,279381.597</v>
      </c>
      <c r="AO646" t="str">
        <f t="shared" si="53"/>
        <v>401574.372,279382.799</v>
      </c>
      <c r="AQ646" t="s">
        <v>2489</v>
      </c>
      <c r="AR646" t="s">
        <v>772</v>
      </c>
    </row>
    <row r="647" spans="1:44" x14ac:dyDescent="0.3">
      <c r="A647">
        <v>3869</v>
      </c>
      <c r="B647">
        <v>4</v>
      </c>
      <c r="C647">
        <v>4028030</v>
      </c>
      <c r="D647">
        <v>91299</v>
      </c>
      <c r="E647">
        <v>2</v>
      </c>
      <c r="F647">
        <v>670050</v>
      </c>
      <c r="G647" t="s">
        <v>92</v>
      </c>
      <c r="H647" t="s">
        <v>93</v>
      </c>
      <c r="I647">
        <v>0</v>
      </c>
      <c r="J647" s="1">
        <v>401195.45</v>
      </c>
      <c r="K647" s="1">
        <v>279531.04300000001</v>
      </c>
      <c r="L647" s="1">
        <v>401192.28499999997</v>
      </c>
      <c r="M647" s="1">
        <v>279541.21100000001</v>
      </c>
      <c r="N647" t="s">
        <v>40</v>
      </c>
      <c r="P647" t="s">
        <v>40</v>
      </c>
      <c r="Q647">
        <v>0</v>
      </c>
      <c r="R647">
        <v>0</v>
      </c>
      <c r="S647">
        <v>0</v>
      </c>
      <c r="T647">
        <v>6</v>
      </c>
      <c r="U647">
        <v>6</v>
      </c>
      <c r="V647">
        <v>1</v>
      </c>
      <c r="W647">
        <v>2</v>
      </c>
      <c r="X647" t="s">
        <v>40</v>
      </c>
      <c r="Y647">
        <v>3</v>
      </c>
      <c r="Z647">
        <v>40</v>
      </c>
      <c r="AA647">
        <v>1</v>
      </c>
      <c r="AB647">
        <v>0</v>
      </c>
      <c r="AC647">
        <v>12.407</v>
      </c>
      <c r="AD647">
        <v>5059</v>
      </c>
      <c r="AH647">
        <v>0</v>
      </c>
      <c r="AI647">
        <v>0</v>
      </c>
      <c r="AL647" t="s">
        <v>40</v>
      </c>
      <c r="AM647" t="str">
        <f t="shared" si="51"/>
        <v>40 1</v>
      </c>
      <c r="AN647" t="str">
        <f t="shared" si="52"/>
        <v>401195.45,279531.043</v>
      </c>
      <c r="AO647" t="str">
        <f t="shared" si="53"/>
        <v>401192.285,279541.211</v>
      </c>
      <c r="AQ647" t="s">
        <v>2498</v>
      </c>
      <c r="AR647" t="s">
        <v>2499</v>
      </c>
    </row>
    <row r="648" spans="1:44" x14ac:dyDescent="0.3">
      <c r="A648">
        <v>3869</v>
      </c>
      <c r="B648">
        <v>4</v>
      </c>
      <c r="C648">
        <v>4019158</v>
      </c>
      <c r="D648">
        <v>39708</v>
      </c>
      <c r="E648">
        <v>2</v>
      </c>
      <c r="F648">
        <v>670050</v>
      </c>
      <c r="G648" t="s">
        <v>92</v>
      </c>
      <c r="H648" t="s">
        <v>58</v>
      </c>
      <c r="I648">
        <v>0</v>
      </c>
      <c r="J648" s="1">
        <v>404205.16700000002</v>
      </c>
      <c r="K648" s="1">
        <v>280808.10100000002</v>
      </c>
      <c r="L648" s="1">
        <v>404204.054</v>
      </c>
      <c r="M648" s="1">
        <v>280809.68400000001</v>
      </c>
      <c r="N648" t="s">
        <v>40</v>
      </c>
      <c r="P648" t="s">
        <v>40</v>
      </c>
      <c r="Q648">
        <v>0</v>
      </c>
      <c r="R648">
        <v>0</v>
      </c>
      <c r="S648">
        <v>0</v>
      </c>
      <c r="T648">
        <v>6</v>
      </c>
      <c r="U648">
        <v>6</v>
      </c>
      <c r="V648">
        <v>1</v>
      </c>
      <c r="W648">
        <v>3</v>
      </c>
      <c r="X648" t="s">
        <v>40</v>
      </c>
      <c r="Y648">
        <v>3</v>
      </c>
      <c r="Z648">
        <v>5017</v>
      </c>
      <c r="AA648">
        <v>1</v>
      </c>
      <c r="AB648">
        <v>0</v>
      </c>
      <c r="AC648">
        <v>7.3410000000000002</v>
      </c>
      <c r="AD648">
        <v>5059</v>
      </c>
      <c r="AH648">
        <v>0</v>
      </c>
      <c r="AI648">
        <v>0</v>
      </c>
      <c r="AL648" t="s">
        <v>40</v>
      </c>
      <c r="AM648" t="str">
        <f t="shared" si="51"/>
        <v>5017 1</v>
      </c>
      <c r="AN648" s="6" t="s">
        <v>1725</v>
      </c>
      <c r="AO648" s="6" t="s">
        <v>481</v>
      </c>
      <c r="AQ648" t="s">
        <v>2500</v>
      </c>
      <c r="AR648" t="s">
        <v>776</v>
      </c>
    </row>
    <row r="649" spans="1:44" x14ac:dyDescent="0.3">
      <c r="A649">
        <v>3869</v>
      </c>
      <c r="B649">
        <v>4</v>
      </c>
      <c r="C649">
        <v>4027894</v>
      </c>
      <c r="D649">
        <v>26735</v>
      </c>
      <c r="E649">
        <v>2</v>
      </c>
      <c r="F649">
        <v>670050</v>
      </c>
      <c r="G649" t="s">
        <v>92</v>
      </c>
      <c r="H649" t="s">
        <v>93</v>
      </c>
      <c r="I649">
        <v>0</v>
      </c>
      <c r="J649" s="1">
        <v>401780.58399999997</v>
      </c>
      <c r="K649" s="1">
        <v>279333.90500000003</v>
      </c>
      <c r="L649" s="1">
        <v>401812.27500000002</v>
      </c>
      <c r="M649" s="1">
        <v>279347.86099999998</v>
      </c>
      <c r="N649" t="s">
        <v>40</v>
      </c>
      <c r="P649" t="s">
        <v>40</v>
      </c>
      <c r="Q649">
        <v>0</v>
      </c>
      <c r="R649">
        <v>0</v>
      </c>
      <c r="S649">
        <v>200201</v>
      </c>
      <c r="T649">
        <v>6</v>
      </c>
      <c r="U649">
        <v>6</v>
      </c>
      <c r="V649">
        <v>1</v>
      </c>
      <c r="W649">
        <v>2</v>
      </c>
      <c r="X649" t="s">
        <v>40</v>
      </c>
      <c r="Y649">
        <v>3</v>
      </c>
      <c r="Z649">
        <v>5024</v>
      </c>
      <c r="AA649">
        <v>1</v>
      </c>
      <c r="AB649">
        <v>0</v>
      </c>
      <c r="AC649">
        <v>65.378</v>
      </c>
      <c r="AD649">
        <v>5059</v>
      </c>
      <c r="AH649">
        <v>0</v>
      </c>
      <c r="AI649">
        <v>0</v>
      </c>
      <c r="AL649" t="s">
        <v>40</v>
      </c>
      <c r="AM649" t="str">
        <f t="shared" si="51"/>
        <v>5024 1</v>
      </c>
      <c r="AN649" s="6" t="s">
        <v>470</v>
      </c>
      <c r="AO649" s="6" t="s">
        <v>1293</v>
      </c>
      <c r="AQ649" t="s">
        <v>772</v>
      </c>
      <c r="AR649" t="s">
        <v>2495</v>
      </c>
    </row>
    <row r="650" spans="1:44" x14ac:dyDescent="0.3">
      <c r="A650">
        <v>3869</v>
      </c>
      <c r="B650">
        <v>4</v>
      </c>
      <c r="C650">
        <v>4017141</v>
      </c>
      <c r="D650">
        <v>16170</v>
      </c>
      <c r="E650">
        <v>2</v>
      </c>
      <c r="F650">
        <v>670050</v>
      </c>
      <c r="G650" t="s">
        <v>92</v>
      </c>
      <c r="H650" t="s">
        <v>63</v>
      </c>
      <c r="I650">
        <v>0</v>
      </c>
      <c r="J650" s="1">
        <v>403077.565</v>
      </c>
      <c r="K650" s="1">
        <v>280775.239</v>
      </c>
      <c r="L650" s="1">
        <v>403105.39600000001</v>
      </c>
      <c r="M650" s="1">
        <v>280756.77899999998</v>
      </c>
      <c r="N650" t="s">
        <v>40</v>
      </c>
      <c r="P650" t="s">
        <v>40</v>
      </c>
      <c r="Q650">
        <v>0</v>
      </c>
      <c r="R650">
        <v>0</v>
      </c>
      <c r="S650">
        <v>0</v>
      </c>
      <c r="T650">
        <v>6</v>
      </c>
      <c r="U650">
        <v>6</v>
      </c>
      <c r="V650">
        <v>1</v>
      </c>
      <c r="W650">
        <v>1</v>
      </c>
      <c r="X650" t="s">
        <v>40</v>
      </c>
      <c r="Y650">
        <v>3</v>
      </c>
      <c r="Z650">
        <v>52</v>
      </c>
      <c r="AA650">
        <v>1</v>
      </c>
      <c r="AB650">
        <v>0</v>
      </c>
      <c r="AC650">
        <v>33.914999999999999</v>
      </c>
      <c r="AD650">
        <v>5059</v>
      </c>
      <c r="AH650">
        <v>0</v>
      </c>
      <c r="AI650">
        <v>0</v>
      </c>
      <c r="AL650" t="s">
        <v>40</v>
      </c>
      <c r="AM650" t="str">
        <f t="shared" si="51"/>
        <v>52 1</v>
      </c>
      <c r="AN650" t="str">
        <f t="shared" si="52"/>
        <v>403077.565,280775.239</v>
      </c>
      <c r="AO650" t="str">
        <f t="shared" si="53"/>
        <v>403105.396,280756.779</v>
      </c>
      <c r="AQ650" t="s">
        <v>2501</v>
      </c>
      <c r="AR650" t="s">
        <v>2502</v>
      </c>
    </row>
    <row r="651" spans="1:44" x14ac:dyDescent="0.3">
      <c r="A651">
        <v>3869</v>
      </c>
      <c r="B651">
        <v>4</v>
      </c>
      <c r="C651">
        <v>4023287</v>
      </c>
      <c r="D651">
        <v>21175</v>
      </c>
      <c r="E651">
        <v>2</v>
      </c>
      <c r="F651">
        <v>670050</v>
      </c>
      <c r="G651" t="s">
        <v>92</v>
      </c>
      <c r="H651" t="s">
        <v>94</v>
      </c>
      <c r="I651">
        <v>0</v>
      </c>
      <c r="J651" s="1">
        <v>402297.54300000001</v>
      </c>
      <c r="K651" s="1">
        <v>279968.10600000003</v>
      </c>
      <c r="L651" s="1">
        <v>402219.15</v>
      </c>
      <c r="M651" s="1">
        <v>279890.07400000002</v>
      </c>
      <c r="N651" t="s">
        <v>40</v>
      </c>
      <c r="P651" t="s">
        <v>40</v>
      </c>
      <c r="Q651">
        <v>0</v>
      </c>
      <c r="R651">
        <v>0</v>
      </c>
      <c r="S651">
        <v>0</v>
      </c>
      <c r="T651">
        <v>6</v>
      </c>
      <c r="U651">
        <v>6</v>
      </c>
      <c r="V651">
        <v>1</v>
      </c>
      <c r="W651">
        <v>1</v>
      </c>
      <c r="X651" t="s">
        <v>40</v>
      </c>
      <c r="Y651">
        <v>3</v>
      </c>
      <c r="Z651">
        <v>89</v>
      </c>
      <c r="AA651">
        <v>1</v>
      </c>
      <c r="AB651">
        <v>0</v>
      </c>
      <c r="AC651">
        <v>110.685</v>
      </c>
      <c r="AD651">
        <v>5059</v>
      </c>
      <c r="AH651">
        <v>0</v>
      </c>
      <c r="AI651">
        <v>0</v>
      </c>
      <c r="AL651" t="s">
        <v>40</v>
      </c>
      <c r="AM651" t="str">
        <f t="shared" si="51"/>
        <v>89 1</v>
      </c>
      <c r="AN651" t="str">
        <f t="shared" si="52"/>
        <v>402297.543,279968.106</v>
      </c>
      <c r="AO651" t="str">
        <f t="shared" si="53"/>
        <v>402219.15,279890.074</v>
      </c>
      <c r="AQ651" t="s">
        <v>2491</v>
      </c>
      <c r="AR651" t="s">
        <v>2503</v>
      </c>
    </row>
    <row r="652" spans="1:44" x14ac:dyDescent="0.3">
      <c r="A652">
        <v>3869</v>
      </c>
      <c r="B652">
        <v>4</v>
      </c>
      <c r="C652">
        <v>4028072</v>
      </c>
      <c r="D652">
        <v>27239</v>
      </c>
      <c r="E652">
        <v>2</v>
      </c>
      <c r="F652">
        <v>670050</v>
      </c>
      <c r="G652" t="s">
        <v>92</v>
      </c>
      <c r="H652" t="s">
        <v>93</v>
      </c>
      <c r="I652">
        <v>0</v>
      </c>
      <c r="J652" s="1">
        <v>401792.77</v>
      </c>
      <c r="K652" s="1">
        <v>279996.31800000003</v>
      </c>
      <c r="L652" s="1">
        <v>401790.08799999999</v>
      </c>
      <c r="M652" s="1">
        <v>279992.576</v>
      </c>
      <c r="N652" t="s">
        <v>40</v>
      </c>
      <c r="P652" t="s">
        <v>40</v>
      </c>
      <c r="Q652">
        <v>0</v>
      </c>
      <c r="R652">
        <v>0</v>
      </c>
      <c r="S652">
        <v>199811</v>
      </c>
      <c r="T652">
        <v>6</v>
      </c>
      <c r="U652">
        <v>6</v>
      </c>
      <c r="V652">
        <v>1</v>
      </c>
      <c r="W652">
        <v>1</v>
      </c>
      <c r="X652" t="s">
        <v>40</v>
      </c>
      <c r="Y652">
        <v>3</v>
      </c>
      <c r="Z652">
        <v>5024</v>
      </c>
      <c r="AA652">
        <v>1</v>
      </c>
      <c r="AB652">
        <v>0</v>
      </c>
      <c r="AC652">
        <v>4.6050000000000004</v>
      </c>
      <c r="AD652">
        <v>5059</v>
      </c>
      <c r="AH652">
        <v>0</v>
      </c>
      <c r="AI652">
        <v>0</v>
      </c>
      <c r="AL652" t="s">
        <v>40</v>
      </c>
      <c r="AM652" t="str">
        <f t="shared" si="51"/>
        <v>5024 1</v>
      </c>
      <c r="AN652" t="str">
        <f t="shared" si="52"/>
        <v>401792.77,279996.318</v>
      </c>
      <c r="AO652" t="str">
        <f t="shared" si="53"/>
        <v>401790.088,279992.576</v>
      </c>
      <c r="AQ652" t="s">
        <v>2504</v>
      </c>
      <c r="AR652" t="s">
        <v>774</v>
      </c>
    </row>
    <row r="653" spans="1:44" x14ac:dyDescent="0.3">
      <c r="A653">
        <v>3869</v>
      </c>
      <c r="B653">
        <v>4</v>
      </c>
      <c r="C653">
        <v>4017140</v>
      </c>
      <c r="D653">
        <v>16941</v>
      </c>
      <c r="E653">
        <v>2</v>
      </c>
      <c r="F653">
        <v>670050</v>
      </c>
      <c r="G653" t="s">
        <v>92</v>
      </c>
      <c r="H653" t="s">
        <v>63</v>
      </c>
      <c r="I653">
        <v>0</v>
      </c>
      <c r="J653" s="1">
        <v>403076.34100000001</v>
      </c>
      <c r="K653" s="1">
        <v>280776.01799999998</v>
      </c>
      <c r="L653" s="1">
        <v>403077.565</v>
      </c>
      <c r="M653" s="1">
        <v>280775.239</v>
      </c>
      <c r="N653" t="s">
        <v>40</v>
      </c>
      <c r="P653" t="s">
        <v>40</v>
      </c>
      <c r="Q653">
        <v>0</v>
      </c>
      <c r="R653">
        <v>0</v>
      </c>
      <c r="S653">
        <v>0</v>
      </c>
      <c r="T653">
        <v>6</v>
      </c>
      <c r="U653">
        <v>6</v>
      </c>
      <c r="V653">
        <v>1</v>
      </c>
      <c r="W653">
        <v>1</v>
      </c>
      <c r="X653" t="s">
        <v>40</v>
      </c>
      <c r="Y653">
        <v>3</v>
      </c>
      <c r="Z653">
        <v>5024</v>
      </c>
      <c r="AA653">
        <v>1</v>
      </c>
      <c r="AB653">
        <v>0</v>
      </c>
      <c r="AC653">
        <v>1.452</v>
      </c>
      <c r="AD653">
        <v>5059</v>
      </c>
      <c r="AH653">
        <v>0</v>
      </c>
      <c r="AI653">
        <v>0</v>
      </c>
      <c r="AL653" t="s">
        <v>40</v>
      </c>
      <c r="AM653" t="str">
        <f t="shared" si="51"/>
        <v>5024 1</v>
      </c>
      <c r="AN653" t="str">
        <f t="shared" si="52"/>
        <v>403076.341,280776.018</v>
      </c>
      <c r="AO653" t="str">
        <f t="shared" si="53"/>
        <v>403077.565,280775.239</v>
      </c>
      <c r="AQ653" t="s">
        <v>779</v>
      </c>
      <c r="AR653" t="s">
        <v>2501</v>
      </c>
    </row>
    <row r="654" spans="1:44" x14ac:dyDescent="0.3">
      <c r="A654">
        <v>3869</v>
      </c>
      <c r="B654">
        <v>4</v>
      </c>
      <c r="C654">
        <v>4019186</v>
      </c>
      <c r="D654">
        <v>19339</v>
      </c>
      <c r="E654">
        <v>2</v>
      </c>
      <c r="F654">
        <v>670050</v>
      </c>
      <c r="G654" t="s">
        <v>92</v>
      </c>
      <c r="H654" t="s">
        <v>58</v>
      </c>
      <c r="I654">
        <v>0</v>
      </c>
      <c r="J654" s="1">
        <v>404092.80200000003</v>
      </c>
      <c r="K654" s="1">
        <v>280746.24900000001</v>
      </c>
      <c r="L654" s="1">
        <v>404211.61499999999</v>
      </c>
      <c r="M654" s="1">
        <v>280729.70199999999</v>
      </c>
      <c r="N654" t="s">
        <v>40</v>
      </c>
      <c r="P654" t="s">
        <v>40</v>
      </c>
      <c r="Q654">
        <v>0</v>
      </c>
      <c r="R654">
        <v>0</v>
      </c>
      <c r="S654">
        <v>0</v>
      </c>
      <c r="T654">
        <v>7</v>
      </c>
      <c r="U654">
        <v>6</v>
      </c>
      <c r="V654">
        <v>1</v>
      </c>
      <c r="W654">
        <v>1</v>
      </c>
      <c r="X654" t="s">
        <v>40</v>
      </c>
      <c r="Y654">
        <v>3</v>
      </c>
      <c r="Z654">
        <v>316</v>
      </c>
      <c r="AA654">
        <v>18</v>
      </c>
      <c r="AB654">
        <v>0</v>
      </c>
      <c r="AC654">
        <v>120.24</v>
      </c>
      <c r="AD654">
        <v>5059</v>
      </c>
      <c r="AH654">
        <v>0</v>
      </c>
      <c r="AI654">
        <v>0</v>
      </c>
      <c r="AL654" t="s">
        <v>40</v>
      </c>
      <c r="AM654" t="str">
        <f t="shared" si="51"/>
        <v>316 18</v>
      </c>
      <c r="AN654" t="str">
        <f t="shared" si="52"/>
        <v>404092.802,280746.249</v>
      </c>
      <c r="AO654" t="str">
        <f t="shared" si="53"/>
        <v>404211.615,280729.702</v>
      </c>
      <c r="AQ654" t="s">
        <v>2497</v>
      </c>
      <c r="AR654" t="s">
        <v>2505</v>
      </c>
    </row>
    <row r="655" spans="1:44" x14ac:dyDescent="0.3">
      <c r="A655">
        <v>3869</v>
      </c>
      <c r="B655">
        <v>4</v>
      </c>
      <c r="C655">
        <v>4021202</v>
      </c>
      <c r="D655">
        <v>145</v>
      </c>
      <c r="E655">
        <v>2</v>
      </c>
      <c r="F655">
        <v>670050</v>
      </c>
      <c r="G655" t="s">
        <v>92</v>
      </c>
      <c r="H655" t="s">
        <v>95</v>
      </c>
      <c r="I655">
        <v>0</v>
      </c>
      <c r="J655" s="1">
        <v>401795.94400000002</v>
      </c>
      <c r="K655" s="1">
        <v>280000</v>
      </c>
      <c r="L655" s="1">
        <v>401825.929</v>
      </c>
      <c r="M655" s="1">
        <v>280000</v>
      </c>
      <c r="N655" t="s">
        <v>40</v>
      </c>
      <c r="P655" t="s">
        <v>40</v>
      </c>
      <c r="Q655">
        <v>0</v>
      </c>
      <c r="R655">
        <v>0</v>
      </c>
      <c r="S655">
        <v>0</v>
      </c>
      <c r="T655">
        <v>6</v>
      </c>
      <c r="U655">
        <v>6</v>
      </c>
      <c r="V655">
        <v>1</v>
      </c>
      <c r="W655">
        <v>1</v>
      </c>
      <c r="X655" t="s">
        <v>40</v>
      </c>
      <c r="Y655">
        <v>3</v>
      </c>
      <c r="Z655">
        <v>86</v>
      </c>
      <c r="AA655">
        <v>1</v>
      </c>
      <c r="AB655">
        <v>0</v>
      </c>
      <c r="AC655">
        <v>87.069000000000003</v>
      </c>
      <c r="AD655">
        <v>5059</v>
      </c>
      <c r="AH655">
        <v>0</v>
      </c>
      <c r="AI655">
        <v>0</v>
      </c>
      <c r="AL655" t="s">
        <v>40</v>
      </c>
      <c r="AM655" t="str">
        <f t="shared" si="51"/>
        <v>86 1</v>
      </c>
      <c r="AN655" s="6" t="s">
        <v>1298</v>
      </c>
      <c r="AO655" s="6" t="s">
        <v>1330</v>
      </c>
      <c r="AQ655" t="s">
        <v>2504</v>
      </c>
      <c r="AR655" t="s">
        <v>2506</v>
      </c>
    </row>
    <row r="656" spans="1:44" x14ac:dyDescent="0.3">
      <c r="A656">
        <v>3869</v>
      </c>
      <c r="B656">
        <v>4</v>
      </c>
      <c r="C656">
        <v>4017112</v>
      </c>
      <c r="D656">
        <v>16942</v>
      </c>
      <c r="E656">
        <v>2</v>
      </c>
      <c r="F656">
        <v>670050</v>
      </c>
      <c r="G656" t="s">
        <v>92</v>
      </c>
      <c r="H656" t="s">
        <v>63</v>
      </c>
      <c r="I656">
        <v>0</v>
      </c>
      <c r="J656" s="1">
        <v>403076.52500000002</v>
      </c>
      <c r="K656" s="1">
        <v>280776.34700000001</v>
      </c>
      <c r="L656" s="1">
        <v>403077.76699999999</v>
      </c>
      <c r="M656" s="1">
        <v>280775.59499999997</v>
      </c>
      <c r="N656" t="s">
        <v>40</v>
      </c>
      <c r="P656" t="s">
        <v>40</v>
      </c>
      <c r="Q656">
        <v>0</v>
      </c>
      <c r="R656">
        <v>0</v>
      </c>
      <c r="S656">
        <v>0</v>
      </c>
      <c r="T656">
        <v>6</v>
      </c>
      <c r="U656">
        <v>6</v>
      </c>
      <c r="V656">
        <v>1</v>
      </c>
      <c r="W656">
        <v>1</v>
      </c>
      <c r="X656" t="s">
        <v>40</v>
      </c>
      <c r="Y656">
        <v>3</v>
      </c>
      <c r="Z656">
        <v>5024</v>
      </c>
      <c r="AA656">
        <v>1</v>
      </c>
      <c r="AB656">
        <v>0</v>
      </c>
      <c r="AC656">
        <v>1.452</v>
      </c>
      <c r="AD656">
        <v>5059</v>
      </c>
      <c r="AH656">
        <v>0</v>
      </c>
      <c r="AI656">
        <v>0</v>
      </c>
      <c r="AL656" t="s">
        <v>40</v>
      </c>
      <c r="AM656" t="str">
        <f t="shared" si="51"/>
        <v>5024 1</v>
      </c>
      <c r="AN656" t="str">
        <f t="shared" si="52"/>
        <v>403076.525,280776.347</v>
      </c>
      <c r="AO656" t="str">
        <f t="shared" si="53"/>
        <v>403077.767,280775.595</v>
      </c>
      <c r="AQ656" t="s">
        <v>780</v>
      </c>
      <c r="AR656" t="s">
        <v>2507</v>
      </c>
    </row>
    <row r="657" spans="1:44" x14ac:dyDescent="0.3">
      <c r="A657">
        <v>3869</v>
      </c>
      <c r="B657">
        <v>4</v>
      </c>
      <c r="C657">
        <v>4015670</v>
      </c>
      <c r="D657">
        <v>13059</v>
      </c>
      <c r="E657">
        <v>2</v>
      </c>
      <c r="F657">
        <v>670050</v>
      </c>
      <c r="G657" t="s">
        <v>92</v>
      </c>
      <c r="H657" t="s">
        <v>96</v>
      </c>
      <c r="I657">
        <v>0</v>
      </c>
      <c r="J657" s="1">
        <v>402500.92700000003</v>
      </c>
      <c r="K657" s="1">
        <v>280143.35399999999</v>
      </c>
      <c r="L657" s="1">
        <v>402426.83100000001</v>
      </c>
      <c r="M657" s="1">
        <v>280066.27100000001</v>
      </c>
      <c r="N657" t="s">
        <v>40</v>
      </c>
      <c r="P657" t="s">
        <v>40</v>
      </c>
      <c r="Q657">
        <v>0</v>
      </c>
      <c r="R657">
        <v>0</v>
      </c>
      <c r="S657">
        <v>200601</v>
      </c>
      <c r="T657">
        <v>6</v>
      </c>
      <c r="U657">
        <v>6</v>
      </c>
      <c r="V657">
        <v>1</v>
      </c>
      <c r="W657">
        <v>1</v>
      </c>
      <c r="X657" t="s">
        <v>40</v>
      </c>
      <c r="Y657">
        <v>3</v>
      </c>
      <c r="Z657">
        <v>5023</v>
      </c>
      <c r="AA657">
        <v>1</v>
      </c>
      <c r="AB657">
        <v>0</v>
      </c>
      <c r="AC657">
        <v>266.161</v>
      </c>
      <c r="AD657">
        <v>5059</v>
      </c>
      <c r="AH657">
        <v>0</v>
      </c>
      <c r="AI657">
        <v>0</v>
      </c>
      <c r="AL657" t="s">
        <v>40</v>
      </c>
      <c r="AM657" t="str">
        <f t="shared" si="51"/>
        <v>5023 1</v>
      </c>
      <c r="AN657" s="6" t="s">
        <v>1290</v>
      </c>
      <c r="AO657" s="6" t="s">
        <v>1300</v>
      </c>
      <c r="AQ657" t="s">
        <v>2492</v>
      </c>
      <c r="AR657" t="s">
        <v>2508</v>
      </c>
    </row>
    <row r="658" spans="1:44" x14ac:dyDescent="0.3">
      <c r="A658">
        <v>3869</v>
      </c>
      <c r="B658">
        <v>4</v>
      </c>
      <c r="C658">
        <v>4021243</v>
      </c>
      <c r="D658">
        <v>86715</v>
      </c>
      <c r="E658">
        <v>2</v>
      </c>
      <c r="F658">
        <v>670050</v>
      </c>
      <c r="G658" t="s">
        <v>92</v>
      </c>
      <c r="H658" t="s">
        <v>95</v>
      </c>
      <c r="I658">
        <v>0</v>
      </c>
      <c r="J658" s="1">
        <v>401437.88199999998</v>
      </c>
      <c r="K658" s="1">
        <v>280070.31699999998</v>
      </c>
      <c r="L658" s="1">
        <v>401436.288</v>
      </c>
      <c r="M658" s="1">
        <v>280069.81</v>
      </c>
      <c r="N658" t="s">
        <v>40</v>
      </c>
      <c r="P658" t="s">
        <v>40</v>
      </c>
      <c r="Q658">
        <v>0</v>
      </c>
      <c r="R658">
        <v>0</v>
      </c>
      <c r="S658">
        <v>0</v>
      </c>
      <c r="T658">
        <v>6</v>
      </c>
      <c r="U658">
        <v>6</v>
      </c>
      <c r="V658">
        <v>1</v>
      </c>
      <c r="W658">
        <v>3</v>
      </c>
      <c r="X658" t="s">
        <v>40</v>
      </c>
      <c r="Y658">
        <v>3</v>
      </c>
      <c r="Z658">
        <v>5017</v>
      </c>
      <c r="AA658">
        <v>1</v>
      </c>
      <c r="AB658">
        <v>0</v>
      </c>
      <c r="AC658">
        <v>6.33</v>
      </c>
      <c r="AD658">
        <v>5059</v>
      </c>
      <c r="AH658">
        <v>0</v>
      </c>
      <c r="AI658">
        <v>0</v>
      </c>
      <c r="AL658" t="s">
        <v>40</v>
      </c>
      <c r="AM658" t="str">
        <f t="shared" si="51"/>
        <v>5017 1</v>
      </c>
      <c r="AN658" s="6" t="s">
        <v>1727</v>
      </c>
      <c r="AO658" s="6" t="s">
        <v>478</v>
      </c>
      <c r="AQ658" t="s">
        <v>1898</v>
      </c>
      <c r="AR658" t="s">
        <v>775</v>
      </c>
    </row>
    <row r="659" spans="1:44" x14ac:dyDescent="0.3">
      <c r="A659">
        <v>3869</v>
      </c>
      <c r="B659">
        <v>4</v>
      </c>
      <c r="C659">
        <v>4021244</v>
      </c>
      <c r="D659">
        <v>86717</v>
      </c>
      <c r="E659">
        <v>2</v>
      </c>
      <c r="F659">
        <v>670050</v>
      </c>
      <c r="G659" t="s">
        <v>92</v>
      </c>
      <c r="H659" t="s">
        <v>95</v>
      </c>
      <c r="I659">
        <v>0</v>
      </c>
      <c r="J659" s="1">
        <v>401443.995</v>
      </c>
      <c r="K659" s="1">
        <v>280073.20400000003</v>
      </c>
      <c r="L659" s="1">
        <v>401438.80900000001</v>
      </c>
      <c r="M659" s="1">
        <v>280070.76199999999</v>
      </c>
      <c r="N659" t="s">
        <v>40</v>
      </c>
      <c r="P659" t="s">
        <v>40</v>
      </c>
      <c r="Q659">
        <v>0</v>
      </c>
      <c r="R659">
        <v>0</v>
      </c>
      <c r="S659">
        <v>0</v>
      </c>
      <c r="T659">
        <v>6</v>
      </c>
      <c r="U659">
        <v>6</v>
      </c>
      <c r="V659">
        <v>1</v>
      </c>
      <c r="W659">
        <v>1</v>
      </c>
      <c r="X659" t="s">
        <v>40</v>
      </c>
      <c r="Y659">
        <v>3</v>
      </c>
      <c r="Z659">
        <v>5024</v>
      </c>
      <c r="AA659">
        <v>1</v>
      </c>
      <c r="AB659">
        <v>0</v>
      </c>
      <c r="AC659">
        <v>6.548</v>
      </c>
      <c r="AD659">
        <v>5059</v>
      </c>
      <c r="AH659">
        <v>0</v>
      </c>
      <c r="AI659">
        <v>0</v>
      </c>
      <c r="AL659" t="s">
        <v>40</v>
      </c>
      <c r="AM659" t="str">
        <f t="shared" si="51"/>
        <v>5024 1</v>
      </c>
      <c r="AN659" t="str">
        <f t="shared" si="52"/>
        <v>401443.995,280073.204</v>
      </c>
      <c r="AO659" t="str">
        <f t="shared" si="53"/>
        <v>401438.809,280070.762</v>
      </c>
      <c r="AQ659" t="s">
        <v>2509</v>
      </c>
      <c r="AR659" t="s">
        <v>774</v>
      </c>
    </row>
    <row r="660" spans="1:44" x14ac:dyDescent="0.3">
      <c r="A660">
        <v>3869</v>
      </c>
      <c r="B660">
        <v>4</v>
      </c>
      <c r="C660">
        <v>4017113</v>
      </c>
      <c r="D660">
        <v>16171</v>
      </c>
      <c r="E660">
        <v>2</v>
      </c>
      <c r="F660">
        <v>670050</v>
      </c>
      <c r="G660" t="s">
        <v>92</v>
      </c>
      <c r="H660" t="s">
        <v>63</v>
      </c>
      <c r="I660">
        <v>0</v>
      </c>
      <c r="J660" s="1">
        <v>403077.76699999999</v>
      </c>
      <c r="K660" s="1">
        <v>280775.59499999997</v>
      </c>
      <c r="L660" s="1">
        <v>403107.571</v>
      </c>
      <c r="M660" s="1">
        <v>280759.72399999999</v>
      </c>
      <c r="N660" t="s">
        <v>40</v>
      </c>
      <c r="P660" t="s">
        <v>40</v>
      </c>
      <c r="Q660">
        <v>0</v>
      </c>
      <c r="R660">
        <v>0</v>
      </c>
      <c r="S660">
        <v>0</v>
      </c>
      <c r="T660">
        <v>6</v>
      </c>
      <c r="U660">
        <v>6</v>
      </c>
      <c r="V660">
        <v>1</v>
      </c>
      <c r="W660">
        <v>1</v>
      </c>
      <c r="X660" t="s">
        <v>40</v>
      </c>
      <c r="Y660">
        <v>3</v>
      </c>
      <c r="Z660">
        <v>52</v>
      </c>
      <c r="AA660">
        <v>1</v>
      </c>
      <c r="AB660">
        <v>0</v>
      </c>
      <c r="AC660">
        <v>34.795999999999999</v>
      </c>
      <c r="AD660">
        <v>5059</v>
      </c>
      <c r="AH660">
        <v>0</v>
      </c>
      <c r="AI660">
        <v>0</v>
      </c>
      <c r="AL660" t="s">
        <v>40</v>
      </c>
      <c r="AM660" t="str">
        <f t="shared" si="51"/>
        <v>52 1</v>
      </c>
      <c r="AN660" t="str">
        <f t="shared" si="52"/>
        <v>403077.767,280775.595</v>
      </c>
      <c r="AO660" t="str">
        <f t="shared" si="53"/>
        <v>403107.571,280759.724</v>
      </c>
      <c r="AQ660" t="s">
        <v>2507</v>
      </c>
      <c r="AR660" t="s">
        <v>2510</v>
      </c>
    </row>
    <row r="661" spans="1:44" x14ac:dyDescent="0.3">
      <c r="A661">
        <v>3869</v>
      </c>
      <c r="B661">
        <v>4</v>
      </c>
      <c r="C661">
        <v>4021261</v>
      </c>
      <c r="D661">
        <v>86716</v>
      </c>
      <c r="E661">
        <v>2</v>
      </c>
      <c r="F661">
        <v>670050</v>
      </c>
      <c r="G661" t="s">
        <v>92</v>
      </c>
      <c r="H661" t="s">
        <v>95</v>
      </c>
      <c r="I661">
        <v>0</v>
      </c>
      <c r="J661" s="1">
        <v>401442.88</v>
      </c>
      <c r="K661" s="1">
        <v>280074.08199999999</v>
      </c>
      <c r="L661" s="1">
        <v>401438.85700000002</v>
      </c>
      <c r="M661" s="1">
        <v>280070.44500000001</v>
      </c>
      <c r="N661" t="s">
        <v>40</v>
      </c>
      <c r="P661" t="s">
        <v>40</v>
      </c>
      <c r="Q661">
        <v>0</v>
      </c>
      <c r="R661">
        <v>0</v>
      </c>
      <c r="S661">
        <v>0</v>
      </c>
      <c r="T661">
        <v>6</v>
      </c>
      <c r="U661">
        <v>6</v>
      </c>
      <c r="V661">
        <v>1</v>
      </c>
      <c r="W661">
        <v>1</v>
      </c>
      <c r="X661" t="s">
        <v>40</v>
      </c>
      <c r="Y661">
        <v>3</v>
      </c>
      <c r="Z661">
        <v>92</v>
      </c>
      <c r="AA661">
        <v>1</v>
      </c>
      <c r="AB661">
        <v>0</v>
      </c>
      <c r="AC661">
        <v>7.2789999999999999</v>
      </c>
      <c r="AD661">
        <v>5059</v>
      </c>
      <c r="AH661">
        <v>0</v>
      </c>
      <c r="AI661">
        <v>0</v>
      </c>
      <c r="AL661" t="s">
        <v>40</v>
      </c>
      <c r="AM661" t="str">
        <f t="shared" si="51"/>
        <v>92 1</v>
      </c>
      <c r="AN661" t="str">
        <f t="shared" si="52"/>
        <v>401442.88,280074.082</v>
      </c>
      <c r="AO661" t="str">
        <f t="shared" si="53"/>
        <v>401438.857,280070.445</v>
      </c>
      <c r="AQ661" t="s">
        <v>2511</v>
      </c>
      <c r="AR661" t="s">
        <v>775</v>
      </c>
    </row>
    <row r="662" spans="1:44" x14ac:dyDescent="0.3">
      <c r="A662">
        <v>3869</v>
      </c>
      <c r="B662">
        <v>4</v>
      </c>
      <c r="C662">
        <v>4021206</v>
      </c>
      <c r="D662">
        <v>124</v>
      </c>
      <c r="E662">
        <v>2</v>
      </c>
      <c r="F662">
        <v>670050</v>
      </c>
      <c r="G662" t="s">
        <v>92</v>
      </c>
      <c r="H662" t="s">
        <v>95</v>
      </c>
      <c r="I662">
        <v>0</v>
      </c>
      <c r="J662" s="1">
        <v>401795.44400000002</v>
      </c>
      <c r="K662" s="1">
        <v>280000</v>
      </c>
      <c r="L662" s="1">
        <v>401660.80699999997</v>
      </c>
      <c r="M662" s="1">
        <v>280095.64299999998</v>
      </c>
      <c r="N662" t="s">
        <v>40</v>
      </c>
      <c r="P662" t="s">
        <v>40</v>
      </c>
      <c r="Q662">
        <v>0</v>
      </c>
      <c r="R662">
        <v>0</v>
      </c>
      <c r="S662">
        <v>199811</v>
      </c>
      <c r="T662">
        <v>6</v>
      </c>
      <c r="U662">
        <v>6</v>
      </c>
      <c r="V662">
        <v>1</v>
      </c>
      <c r="W662">
        <v>1</v>
      </c>
      <c r="X662" t="s">
        <v>40</v>
      </c>
      <c r="Y662">
        <v>3</v>
      </c>
      <c r="Z662">
        <v>5024</v>
      </c>
      <c r="AA662">
        <v>1</v>
      </c>
      <c r="AB662">
        <v>0</v>
      </c>
      <c r="AC662">
        <v>231.04300000000001</v>
      </c>
      <c r="AD662">
        <v>5059</v>
      </c>
      <c r="AH662">
        <v>0</v>
      </c>
      <c r="AI662">
        <v>0</v>
      </c>
      <c r="AL662" t="s">
        <v>40</v>
      </c>
      <c r="AM662" t="str">
        <f t="shared" si="51"/>
        <v>5024 1</v>
      </c>
      <c r="AN662" s="6" t="s">
        <v>1728</v>
      </c>
      <c r="AO662" s="6" t="s">
        <v>473</v>
      </c>
      <c r="AQ662" t="s">
        <v>2512</v>
      </c>
      <c r="AR662" t="s">
        <v>773</v>
      </c>
    </row>
    <row r="663" spans="1:44" x14ac:dyDescent="0.3">
      <c r="A663">
        <v>3869</v>
      </c>
      <c r="B663">
        <v>4</v>
      </c>
      <c r="C663">
        <v>4028028</v>
      </c>
      <c r="D663">
        <v>91298</v>
      </c>
      <c r="E663">
        <v>2</v>
      </c>
      <c r="F663">
        <v>670050</v>
      </c>
      <c r="G663" t="s">
        <v>92</v>
      </c>
      <c r="H663" t="s">
        <v>93</v>
      </c>
      <c r="I663">
        <v>0</v>
      </c>
      <c r="J663" s="1">
        <v>401616.451</v>
      </c>
      <c r="K663" s="1">
        <v>279764.07500000001</v>
      </c>
      <c r="L663" s="1">
        <v>401617.93099999998</v>
      </c>
      <c r="M663" s="1">
        <v>279765.42099999997</v>
      </c>
      <c r="N663" t="s">
        <v>40</v>
      </c>
      <c r="P663" t="s">
        <v>40</v>
      </c>
      <c r="Q663">
        <v>0</v>
      </c>
      <c r="R663">
        <v>0</v>
      </c>
      <c r="S663">
        <v>0</v>
      </c>
      <c r="T663">
        <v>6</v>
      </c>
      <c r="U663">
        <v>6</v>
      </c>
      <c r="V663">
        <v>1</v>
      </c>
      <c r="W663">
        <v>2</v>
      </c>
      <c r="X663" t="s">
        <v>40</v>
      </c>
      <c r="Y663">
        <v>3</v>
      </c>
      <c r="Z663">
        <v>5030</v>
      </c>
      <c r="AA663">
        <v>1</v>
      </c>
      <c r="AB663">
        <v>0</v>
      </c>
      <c r="AC663">
        <v>8.4640000000000004</v>
      </c>
      <c r="AD663">
        <v>5059</v>
      </c>
      <c r="AH663">
        <v>0</v>
      </c>
      <c r="AI663">
        <v>0</v>
      </c>
      <c r="AL663" t="s">
        <v>40</v>
      </c>
      <c r="AM663" t="str">
        <f t="shared" si="51"/>
        <v>5030 1</v>
      </c>
      <c r="AN663" t="str">
        <f t="shared" si="52"/>
        <v>401616.451,279764.075</v>
      </c>
      <c r="AO663" t="str">
        <f t="shared" si="53"/>
        <v>401617.931,279765.421</v>
      </c>
      <c r="AQ663" t="s">
        <v>2513</v>
      </c>
      <c r="AR663" t="s">
        <v>1877</v>
      </c>
    </row>
    <row r="664" spans="1:44" x14ac:dyDescent="0.3">
      <c r="A664">
        <v>3869</v>
      </c>
      <c r="B664">
        <v>4</v>
      </c>
      <c r="C664">
        <v>4021220</v>
      </c>
      <c r="D664">
        <v>17321</v>
      </c>
      <c r="E664">
        <v>2</v>
      </c>
      <c r="F664">
        <v>670050</v>
      </c>
      <c r="G664" t="s">
        <v>92</v>
      </c>
      <c r="H664" t="s">
        <v>95</v>
      </c>
      <c r="I664">
        <v>0</v>
      </c>
      <c r="J664" s="1">
        <v>401617.41100000002</v>
      </c>
      <c r="K664" s="1">
        <v>280138.72200000001</v>
      </c>
      <c r="L664" s="1">
        <v>401660.80699999997</v>
      </c>
      <c r="M664" s="1">
        <v>280095.64299999998</v>
      </c>
      <c r="N664" t="s">
        <v>40</v>
      </c>
      <c r="P664" t="s">
        <v>40</v>
      </c>
      <c r="Q664">
        <v>0</v>
      </c>
      <c r="R664">
        <v>0</v>
      </c>
      <c r="S664">
        <v>0</v>
      </c>
      <c r="T664">
        <v>6</v>
      </c>
      <c r="U664">
        <v>6</v>
      </c>
      <c r="V664">
        <v>1</v>
      </c>
      <c r="W664">
        <v>1</v>
      </c>
      <c r="X664" t="s">
        <v>40</v>
      </c>
      <c r="Y664">
        <v>3</v>
      </c>
      <c r="Z664">
        <v>52</v>
      </c>
      <c r="AA664">
        <v>1</v>
      </c>
      <c r="AB664">
        <v>0</v>
      </c>
      <c r="AC664">
        <v>253.36799999999999</v>
      </c>
      <c r="AD664">
        <v>5059</v>
      </c>
      <c r="AH664">
        <v>0</v>
      </c>
      <c r="AI664">
        <v>0</v>
      </c>
      <c r="AL664" t="s">
        <v>40</v>
      </c>
      <c r="AM664" t="str">
        <f t="shared" si="51"/>
        <v>52 1</v>
      </c>
      <c r="AN664" s="6" t="s">
        <v>1728</v>
      </c>
      <c r="AO664" s="6" t="s">
        <v>1301</v>
      </c>
      <c r="AQ664" t="s">
        <v>2512</v>
      </c>
      <c r="AR664" t="s">
        <v>2509</v>
      </c>
    </row>
    <row r="665" spans="1:44" x14ac:dyDescent="0.3">
      <c r="A665">
        <v>3869</v>
      </c>
      <c r="B665">
        <v>4</v>
      </c>
      <c r="C665">
        <v>4019176</v>
      </c>
      <c r="D665">
        <v>39709</v>
      </c>
      <c r="E665">
        <v>2</v>
      </c>
      <c r="F665">
        <v>670050</v>
      </c>
      <c r="G665" t="s">
        <v>92</v>
      </c>
      <c r="H665" t="s">
        <v>58</v>
      </c>
      <c r="I665">
        <v>0</v>
      </c>
      <c r="J665" s="1">
        <v>404207.32900000003</v>
      </c>
      <c r="K665" s="1">
        <v>280807.15000000002</v>
      </c>
      <c r="L665" s="1">
        <v>404205.02600000001</v>
      </c>
      <c r="M665" s="1">
        <v>280806.36800000002</v>
      </c>
      <c r="N665" t="s">
        <v>40</v>
      </c>
      <c r="P665" t="s">
        <v>40</v>
      </c>
      <c r="Q665">
        <v>0</v>
      </c>
      <c r="R665">
        <v>0</v>
      </c>
      <c r="S665">
        <v>0</v>
      </c>
      <c r="T665">
        <v>6</v>
      </c>
      <c r="U665">
        <v>6</v>
      </c>
      <c r="V665">
        <v>1</v>
      </c>
      <c r="W665">
        <v>1</v>
      </c>
      <c r="X665" t="s">
        <v>40</v>
      </c>
      <c r="Y665">
        <v>3</v>
      </c>
      <c r="Z665">
        <v>5024</v>
      </c>
      <c r="AA665">
        <v>1</v>
      </c>
      <c r="AB665">
        <v>0</v>
      </c>
      <c r="AC665">
        <v>2.9710000000000001</v>
      </c>
      <c r="AD665">
        <v>5059</v>
      </c>
      <c r="AH665">
        <v>0</v>
      </c>
      <c r="AI665">
        <v>0</v>
      </c>
      <c r="AL665" t="s">
        <v>40</v>
      </c>
      <c r="AM665" t="str">
        <f t="shared" si="51"/>
        <v>5024 1</v>
      </c>
      <c r="AN665" t="str">
        <f t="shared" si="52"/>
        <v>404207.329,280807.15</v>
      </c>
      <c r="AO665" t="str">
        <f t="shared" si="53"/>
        <v>404205.026,280806.368</v>
      </c>
      <c r="AQ665" t="s">
        <v>2514</v>
      </c>
      <c r="AR665" t="s">
        <v>775</v>
      </c>
    </row>
    <row r="666" spans="1:44" x14ac:dyDescent="0.3">
      <c r="A666">
        <v>3869</v>
      </c>
      <c r="B666">
        <v>7</v>
      </c>
      <c r="C666">
        <v>4029079</v>
      </c>
      <c r="D666">
        <v>155781</v>
      </c>
      <c r="E666">
        <v>2</v>
      </c>
      <c r="F666">
        <v>670050</v>
      </c>
      <c r="G666" t="s">
        <v>92</v>
      </c>
      <c r="H666" t="s">
        <v>93</v>
      </c>
      <c r="I666">
        <v>0</v>
      </c>
      <c r="J666" s="1">
        <v>401195.45</v>
      </c>
      <c r="K666" s="1">
        <v>279531.04300000001</v>
      </c>
      <c r="L666" s="1">
        <v>401198.93</v>
      </c>
      <c r="M666" s="1">
        <v>279531.42700000003</v>
      </c>
      <c r="N666" t="s">
        <v>40</v>
      </c>
      <c r="P666" t="s">
        <v>40</v>
      </c>
      <c r="Q666">
        <v>0</v>
      </c>
      <c r="R666">
        <v>0</v>
      </c>
      <c r="S666">
        <v>201303</v>
      </c>
      <c r="T666">
        <v>6</v>
      </c>
      <c r="U666">
        <v>6</v>
      </c>
      <c r="V666">
        <v>1</v>
      </c>
      <c r="W666">
        <v>2</v>
      </c>
      <c r="X666" t="s">
        <v>40</v>
      </c>
      <c r="Y666">
        <v>3</v>
      </c>
      <c r="Z666">
        <v>5028</v>
      </c>
      <c r="AA666">
        <v>1</v>
      </c>
      <c r="AB666">
        <v>0</v>
      </c>
      <c r="AC666">
        <v>3.5</v>
      </c>
      <c r="AD666">
        <v>8022</v>
      </c>
      <c r="AE666" t="s">
        <v>46</v>
      </c>
      <c r="AH666">
        <v>0</v>
      </c>
      <c r="AI666">
        <v>2</v>
      </c>
      <c r="AL666" t="s">
        <v>40</v>
      </c>
      <c r="AM666" t="str">
        <f t="shared" si="51"/>
        <v>5028 1</v>
      </c>
      <c r="AN666" t="str">
        <f t="shared" si="52"/>
        <v>401195.45,279531.043</v>
      </c>
      <c r="AO666" t="str">
        <f t="shared" si="53"/>
        <v>401198.93,279531.427</v>
      </c>
      <c r="AQ666" t="s">
        <v>2498</v>
      </c>
      <c r="AR666" t="s">
        <v>2515</v>
      </c>
    </row>
    <row r="667" spans="1:44" x14ac:dyDescent="0.3">
      <c r="A667">
        <v>3869</v>
      </c>
      <c r="B667">
        <v>4</v>
      </c>
      <c r="C667">
        <v>4015630</v>
      </c>
      <c r="D667">
        <v>13121</v>
      </c>
      <c r="E667">
        <v>2</v>
      </c>
      <c r="F667">
        <v>670050</v>
      </c>
      <c r="G667" t="s">
        <v>92</v>
      </c>
      <c r="H667" t="s">
        <v>96</v>
      </c>
      <c r="I667">
        <v>0</v>
      </c>
      <c r="J667" s="1">
        <v>402555.12199999997</v>
      </c>
      <c r="K667" s="1">
        <v>280196.90999999997</v>
      </c>
      <c r="L667" s="1">
        <v>402509.10700000002</v>
      </c>
      <c r="M667" s="1">
        <v>280150.77</v>
      </c>
      <c r="N667" t="s">
        <v>40</v>
      </c>
      <c r="P667" t="s">
        <v>40</v>
      </c>
      <c r="Q667">
        <v>0</v>
      </c>
      <c r="R667">
        <v>0</v>
      </c>
      <c r="S667">
        <v>0</v>
      </c>
      <c r="T667">
        <v>6</v>
      </c>
      <c r="U667">
        <v>6</v>
      </c>
      <c r="V667">
        <v>1</v>
      </c>
      <c r="W667">
        <v>1</v>
      </c>
      <c r="X667" t="s">
        <v>40</v>
      </c>
      <c r="Y667">
        <v>3</v>
      </c>
      <c r="Z667">
        <v>89</v>
      </c>
      <c r="AA667">
        <v>1</v>
      </c>
      <c r="AB667">
        <v>0</v>
      </c>
      <c r="AC667">
        <v>127.905</v>
      </c>
      <c r="AD667">
        <v>5059</v>
      </c>
      <c r="AH667">
        <v>0</v>
      </c>
      <c r="AI667">
        <v>0</v>
      </c>
      <c r="AL667" t="s">
        <v>40</v>
      </c>
      <c r="AM667" t="str">
        <f t="shared" si="51"/>
        <v>89 1</v>
      </c>
      <c r="AN667" s="6" t="s">
        <v>1307</v>
      </c>
      <c r="AO667" s="6" t="s">
        <v>1310</v>
      </c>
      <c r="AQ667" t="s">
        <v>2516</v>
      </c>
      <c r="AR667" t="s">
        <v>2517</v>
      </c>
    </row>
    <row r="668" spans="1:44" x14ac:dyDescent="0.3">
      <c r="A668">
        <v>3869</v>
      </c>
      <c r="B668">
        <v>4</v>
      </c>
      <c r="C668">
        <v>4015640</v>
      </c>
      <c r="D668">
        <v>40298</v>
      </c>
      <c r="E668">
        <v>2</v>
      </c>
      <c r="F668">
        <v>670050</v>
      </c>
      <c r="G668" t="s">
        <v>92</v>
      </c>
      <c r="H668" t="s">
        <v>96</v>
      </c>
      <c r="I668">
        <v>0</v>
      </c>
      <c r="J668" s="1">
        <v>402509.10700000002</v>
      </c>
      <c r="K668" s="1">
        <v>280150.77</v>
      </c>
      <c r="L668" s="1">
        <v>402510.37300000002</v>
      </c>
      <c r="M668" s="1">
        <v>280146.98300000001</v>
      </c>
      <c r="N668" t="s">
        <v>40</v>
      </c>
      <c r="P668" t="s">
        <v>40</v>
      </c>
      <c r="Q668">
        <v>0</v>
      </c>
      <c r="R668">
        <v>0</v>
      </c>
      <c r="S668">
        <v>0</v>
      </c>
      <c r="T668">
        <v>6</v>
      </c>
      <c r="U668">
        <v>6</v>
      </c>
      <c r="V668">
        <v>1</v>
      </c>
      <c r="W668">
        <v>1</v>
      </c>
      <c r="X668" t="s">
        <v>40</v>
      </c>
      <c r="Y668">
        <v>3</v>
      </c>
      <c r="Z668">
        <v>52</v>
      </c>
      <c r="AA668">
        <v>1</v>
      </c>
      <c r="AB668">
        <v>0</v>
      </c>
      <c r="AC668">
        <v>5.3860000000000001</v>
      </c>
      <c r="AD668">
        <v>5059</v>
      </c>
      <c r="AH668">
        <v>0</v>
      </c>
      <c r="AI668">
        <v>0</v>
      </c>
      <c r="AL668" t="s">
        <v>40</v>
      </c>
      <c r="AM668" t="str">
        <f t="shared" si="51"/>
        <v>52 1</v>
      </c>
      <c r="AN668" t="str">
        <f t="shared" si="52"/>
        <v>402509.107,280150.77</v>
      </c>
      <c r="AO668" t="str">
        <f t="shared" si="53"/>
        <v>402510.373,280146.983</v>
      </c>
      <c r="AQ668" t="s">
        <v>2516</v>
      </c>
      <c r="AR668" t="s">
        <v>778</v>
      </c>
    </row>
    <row r="669" spans="1:44" x14ac:dyDescent="0.3">
      <c r="A669">
        <v>3869</v>
      </c>
      <c r="B669">
        <v>4</v>
      </c>
      <c r="C669">
        <v>4015656</v>
      </c>
      <c r="D669">
        <v>13079</v>
      </c>
      <c r="E669">
        <v>2</v>
      </c>
      <c r="F669">
        <v>670050</v>
      </c>
      <c r="G669" t="s">
        <v>92</v>
      </c>
      <c r="H669" t="s">
        <v>96</v>
      </c>
      <c r="I669">
        <v>0</v>
      </c>
      <c r="J669" s="1">
        <v>402510.57199999999</v>
      </c>
      <c r="K669" s="1">
        <v>280146.45799999998</v>
      </c>
      <c r="L669" s="1">
        <v>402511.77100000001</v>
      </c>
      <c r="M669" s="1">
        <v>280146.74599999998</v>
      </c>
      <c r="N669" t="s">
        <v>40</v>
      </c>
      <c r="P669" t="s">
        <v>40</v>
      </c>
      <c r="Q669">
        <v>0</v>
      </c>
      <c r="R669">
        <v>0</v>
      </c>
      <c r="S669">
        <v>0</v>
      </c>
      <c r="T669">
        <v>6</v>
      </c>
      <c r="U669">
        <v>6</v>
      </c>
      <c r="V669">
        <v>1</v>
      </c>
      <c r="W669">
        <v>3</v>
      </c>
      <c r="X669" t="s">
        <v>40</v>
      </c>
      <c r="Y669">
        <v>3</v>
      </c>
      <c r="Z669">
        <v>36</v>
      </c>
      <c r="AA669">
        <v>5001</v>
      </c>
      <c r="AB669">
        <v>0</v>
      </c>
      <c r="AC669">
        <v>2.524</v>
      </c>
      <c r="AD669">
        <v>5059</v>
      </c>
      <c r="AH669">
        <v>0</v>
      </c>
      <c r="AI669">
        <v>0</v>
      </c>
      <c r="AL669" t="s">
        <v>40</v>
      </c>
      <c r="AM669" t="str">
        <f t="shared" si="51"/>
        <v>36 5001</v>
      </c>
      <c r="AN669" s="6" t="s">
        <v>1730</v>
      </c>
      <c r="AO669" s="6" t="s">
        <v>487</v>
      </c>
      <c r="AQ669" t="s">
        <v>2518</v>
      </c>
      <c r="AR669" t="s">
        <v>778</v>
      </c>
    </row>
    <row r="670" spans="1:44" x14ac:dyDescent="0.3">
      <c r="A670">
        <v>3869</v>
      </c>
      <c r="B670">
        <v>4</v>
      </c>
      <c r="C670">
        <v>4015658</v>
      </c>
      <c r="D670">
        <v>40299</v>
      </c>
      <c r="E670">
        <v>2</v>
      </c>
      <c r="F670">
        <v>670050</v>
      </c>
      <c r="G670" t="s">
        <v>92</v>
      </c>
      <c r="H670" t="s">
        <v>96</v>
      </c>
      <c r="I670">
        <v>0</v>
      </c>
      <c r="J670" s="1">
        <v>402500.92700000003</v>
      </c>
      <c r="K670" s="1">
        <v>280143.35399999999</v>
      </c>
      <c r="L670" s="1">
        <v>402510.03600000002</v>
      </c>
      <c r="M670" s="1">
        <v>280146.58</v>
      </c>
      <c r="N670" t="s">
        <v>40</v>
      </c>
      <c r="P670" t="s">
        <v>40</v>
      </c>
      <c r="Q670">
        <v>0</v>
      </c>
      <c r="R670">
        <v>0</v>
      </c>
      <c r="S670">
        <v>0</v>
      </c>
      <c r="T670">
        <v>6</v>
      </c>
      <c r="U670">
        <v>6</v>
      </c>
      <c r="V670">
        <v>1</v>
      </c>
      <c r="W670">
        <v>1</v>
      </c>
      <c r="X670" t="s">
        <v>40</v>
      </c>
      <c r="Y670">
        <v>3</v>
      </c>
      <c r="Z670">
        <v>52</v>
      </c>
      <c r="AA670">
        <v>1</v>
      </c>
      <c r="AB670">
        <v>0</v>
      </c>
      <c r="AC670">
        <v>11.409000000000001</v>
      </c>
      <c r="AD670">
        <v>5059</v>
      </c>
      <c r="AH670">
        <v>0</v>
      </c>
      <c r="AI670">
        <v>0</v>
      </c>
      <c r="AL670" t="s">
        <v>40</v>
      </c>
      <c r="AM670" t="str">
        <f t="shared" si="51"/>
        <v>52 1</v>
      </c>
      <c r="AN670" t="str">
        <f t="shared" si="52"/>
        <v>402500.927,280143.354</v>
      </c>
      <c r="AO670" t="str">
        <f t="shared" si="53"/>
        <v>402510.036,280146.58</v>
      </c>
      <c r="AQ670" t="s">
        <v>2508</v>
      </c>
      <c r="AR670" t="s">
        <v>778</v>
      </c>
    </row>
    <row r="671" spans="1:44" x14ac:dyDescent="0.3">
      <c r="A671">
        <v>3869</v>
      </c>
      <c r="B671">
        <v>4</v>
      </c>
      <c r="C671">
        <v>4019159</v>
      </c>
      <c r="D671">
        <v>39710</v>
      </c>
      <c r="E671">
        <v>2</v>
      </c>
      <c r="F671">
        <v>670050</v>
      </c>
      <c r="G671" t="s">
        <v>92</v>
      </c>
      <c r="H671" t="s">
        <v>58</v>
      </c>
      <c r="I671">
        <v>0</v>
      </c>
      <c r="J671" s="1">
        <v>404206.91100000002</v>
      </c>
      <c r="K671" s="1">
        <v>280808.038</v>
      </c>
      <c r="L671" s="1">
        <v>404204.96</v>
      </c>
      <c r="M671" s="1">
        <v>280806.79100000003</v>
      </c>
      <c r="N671" t="s">
        <v>40</v>
      </c>
      <c r="P671" t="s">
        <v>40</v>
      </c>
      <c r="Q671">
        <v>0</v>
      </c>
      <c r="R671">
        <v>0</v>
      </c>
      <c r="S671">
        <v>0</v>
      </c>
      <c r="T671">
        <v>6</v>
      </c>
      <c r="U671">
        <v>6</v>
      </c>
      <c r="V671">
        <v>1</v>
      </c>
      <c r="W671">
        <v>1</v>
      </c>
      <c r="X671" t="s">
        <v>40</v>
      </c>
      <c r="Y671">
        <v>3</v>
      </c>
      <c r="Z671">
        <v>5024</v>
      </c>
      <c r="AA671">
        <v>1</v>
      </c>
      <c r="AB671">
        <v>0</v>
      </c>
      <c r="AC671">
        <v>2.7810000000000001</v>
      </c>
      <c r="AD671">
        <v>5059</v>
      </c>
      <c r="AH671">
        <v>0</v>
      </c>
      <c r="AI671">
        <v>0</v>
      </c>
      <c r="AL671" t="s">
        <v>40</v>
      </c>
      <c r="AM671" t="str">
        <f t="shared" si="51"/>
        <v>5024 1</v>
      </c>
      <c r="AN671" t="str">
        <f t="shared" si="52"/>
        <v>404206.911,280808.038</v>
      </c>
      <c r="AO671" t="str">
        <f t="shared" si="53"/>
        <v>404204.96,280806.791</v>
      </c>
      <c r="AQ671" t="s">
        <v>2488</v>
      </c>
      <c r="AR671" t="s">
        <v>776</v>
      </c>
    </row>
    <row r="672" spans="1:44" x14ac:dyDescent="0.3">
      <c r="A672">
        <v>3869</v>
      </c>
      <c r="B672">
        <v>4</v>
      </c>
      <c r="C672">
        <v>4019177</v>
      </c>
      <c r="D672">
        <v>19034</v>
      </c>
      <c r="E672">
        <v>2</v>
      </c>
      <c r="F672">
        <v>670050</v>
      </c>
      <c r="G672" t="s">
        <v>92</v>
      </c>
      <c r="H672" t="s">
        <v>58</v>
      </c>
      <c r="I672">
        <v>0</v>
      </c>
      <c r="J672" s="1">
        <v>404211.61499999999</v>
      </c>
      <c r="K672" s="1">
        <v>280729.70199999999</v>
      </c>
      <c r="L672" s="1">
        <v>404207.32900000003</v>
      </c>
      <c r="M672" s="1">
        <v>280807.15000000002</v>
      </c>
      <c r="N672" t="s">
        <v>40</v>
      </c>
      <c r="P672" t="s">
        <v>40</v>
      </c>
      <c r="Q672">
        <v>0</v>
      </c>
      <c r="R672">
        <v>0</v>
      </c>
      <c r="S672">
        <v>0</v>
      </c>
      <c r="T672">
        <v>6</v>
      </c>
      <c r="U672">
        <v>6</v>
      </c>
      <c r="V672">
        <v>1</v>
      </c>
      <c r="W672">
        <v>1</v>
      </c>
      <c r="X672" t="s">
        <v>40</v>
      </c>
      <c r="Y672">
        <v>3</v>
      </c>
      <c r="Z672">
        <v>52</v>
      </c>
      <c r="AA672">
        <v>1</v>
      </c>
      <c r="AB672">
        <v>0</v>
      </c>
      <c r="AC672">
        <v>96.733000000000004</v>
      </c>
      <c r="AD672">
        <v>5059</v>
      </c>
      <c r="AH672">
        <v>0</v>
      </c>
      <c r="AI672">
        <v>0</v>
      </c>
      <c r="AL672" t="s">
        <v>40</v>
      </c>
      <c r="AM672" t="str">
        <f t="shared" ref="AM672:AM705" si="54">_xlfn.CONCAT(Z672, " ",AA672)</f>
        <v>52 1</v>
      </c>
      <c r="AN672" t="str">
        <f t="shared" si="52"/>
        <v>404211.615,280729.702</v>
      </c>
      <c r="AO672" t="str">
        <f t="shared" si="53"/>
        <v>404207.329,280807.15</v>
      </c>
      <c r="AQ672" t="s">
        <v>2505</v>
      </c>
      <c r="AR672" t="s">
        <v>2514</v>
      </c>
    </row>
    <row r="673" spans="1:44" x14ac:dyDescent="0.3">
      <c r="A673">
        <v>3869</v>
      </c>
      <c r="B673">
        <v>4</v>
      </c>
      <c r="C673">
        <v>4027927</v>
      </c>
      <c r="D673">
        <v>91281</v>
      </c>
      <c r="E673">
        <v>2</v>
      </c>
      <c r="F673">
        <v>670050</v>
      </c>
      <c r="G673" t="s">
        <v>92</v>
      </c>
      <c r="H673" t="s">
        <v>93</v>
      </c>
      <c r="I673">
        <v>0</v>
      </c>
      <c r="J673" s="1">
        <v>401575.79300000001</v>
      </c>
      <c r="K673" s="1">
        <v>279384.54800000001</v>
      </c>
      <c r="L673" s="1">
        <v>401573.88900000002</v>
      </c>
      <c r="M673" s="1">
        <v>279382.14199999999</v>
      </c>
      <c r="N673" t="s">
        <v>40</v>
      </c>
      <c r="P673" t="s">
        <v>40</v>
      </c>
      <c r="Q673">
        <v>0</v>
      </c>
      <c r="R673">
        <v>0</v>
      </c>
      <c r="S673">
        <v>0</v>
      </c>
      <c r="T673">
        <v>6</v>
      </c>
      <c r="U673">
        <v>6</v>
      </c>
      <c r="V673">
        <v>1</v>
      </c>
      <c r="W673">
        <v>3</v>
      </c>
      <c r="X673" t="s">
        <v>40</v>
      </c>
      <c r="Y673">
        <v>3</v>
      </c>
      <c r="Z673">
        <v>36</v>
      </c>
      <c r="AA673">
        <v>5001</v>
      </c>
      <c r="AB673">
        <v>0</v>
      </c>
      <c r="AC673">
        <v>4.1360000000000001</v>
      </c>
      <c r="AD673">
        <v>5059</v>
      </c>
      <c r="AH673">
        <v>0</v>
      </c>
      <c r="AI673">
        <v>0</v>
      </c>
      <c r="AL673" t="s">
        <v>40</v>
      </c>
      <c r="AM673" t="str">
        <f t="shared" si="54"/>
        <v>36 5001</v>
      </c>
      <c r="AN673" t="str">
        <f t="shared" ref="AN673:AN707" si="55">ROUND(J673,3)&amp;","&amp;ROUND(K673,3)</f>
        <v>401575.793,279384.548</v>
      </c>
      <c r="AO673" t="str">
        <f t="shared" ref="AO673:AO707" si="56">ROUND(L673,3)&amp;","&amp;ROUND(M673,3)</f>
        <v>401573.889,279382.142</v>
      </c>
      <c r="AQ673" t="s">
        <v>2519</v>
      </c>
      <c r="AR673" t="s">
        <v>772</v>
      </c>
    </row>
    <row r="674" spans="1:44" x14ac:dyDescent="0.3">
      <c r="A674">
        <v>3869</v>
      </c>
      <c r="B674">
        <v>4</v>
      </c>
      <c r="C674">
        <v>4012840</v>
      </c>
      <c r="D674">
        <v>11400</v>
      </c>
      <c r="E674">
        <v>2</v>
      </c>
      <c r="F674">
        <v>670050</v>
      </c>
      <c r="G674" t="s">
        <v>92</v>
      </c>
      <c r="H674" t="s">
        <v>65</v>
      </c>
      <c r="I674">
        <v>0</v>
      </c>
      <c r="J674" s="1">
        <v>403261.47200000001</v>
      </c>
      <c r="K674" s="1">
        <v>281000</v>
      </c>
      <c r="L674" s="1">
        <v>403400.62099999998</v>
      </c>
      <c r="M674" s="1">
        <v>281221.25900000002</v>
      </c>
      <c r="N674" t="s">
        <v>40</v>
      </c>
      <c r="P674" t="s">
        <v>40</v>
      </c>
      <c r="Q674">
        <v>0</v>
      </c>
      <c r="R674">
        <v>0</v>
      </c>
      <c r="S674">
        <v>0</v>
      </c>
      <c r="T674">
        <v>6</v>
      </c>
      <c r="U674">
        <v>6</v>
      </c>
      <c r="V674">
        <v>1</v>
      </c>
      <c r="W674">
        <v>1</v>
      </c>
      <c r="X674" t="s">
        <v>40</v>
      </c>
      <c r="Y674">
        <v>3</v>
      </c>
      <c r="Z674">
        <v>89</v>
      </c>
      <c r="AA674">
        <v>1</v>
      </c>
      <c r="AB674">
        <v>0</v>
      </c>
      <c r="AC674">
        <v>546.76400000000001</v>
      </c>
      <c r="AD674">
        <v>5059</v>
      </c>
      <c r="AH674">
        <v>0</v>
      </c>
      <c r="AI674">
        <v>0</v>
      </c>
      <c r="AL674" t="s">
        <v>40</v>
      </c>
      <c r="AM674" t="str">
        <f t="shared" si="54"/>
        <v>89 1</v>
      </c>
      <c r="AN674" s="6" t="s">
        <v>1312</v>
      </c>
      <c r="AO674" s="6" t="s">
        <v>1326</v>
      </c>
      <c r="AQ674" t="s">
        <v>2520</v>
      </c>
      <c r="AR674" t="s">
        <v>2510</v>
      </c>
    </row>
    <row r="675" spans="1:44" x14ac:dyDescent="0.3">
      <c r="A675">
        <v>3869</v>
      </c>
      <c r="B675">
        <v>4</v>
      </c>
      <c r="C675">
        <v>4012832</v>
      </c>
      <c r="D675">
        <v>12156</v>
      </c>
      <c r="E675">
        <v>2</v>
      </c>
      <c r="F675">
        <v>670050</v>
      </c>
      <c r="G675" t="s">
        <v>92</v>
      </c>
      <c r="H675" t="s">
        <v>65</v>
      </c>
      <c r="I675">
        <v>0</v>
      </c>
      <c r="J675" s="1">
        <v>403400.62099999998</v>
      </c>
      <c r="K675" s="1">
        <v>281221.25900000002</v>
      </c>
      <c r="L675" s="1">
        <v>403457.13199999998</v>
      </c>
      <c r="M675" s="1">
        <v>281310.69199999998</v>
      </c>
      <c r="N675" t="s">
        <v>40</v>
      </c>
      <c r="P675" t="s">
        <v>40</v>
      </c>
      <c r="Q675">
        <v>0</v>
      </c>
      <c r="R675">
        <v>0</v>
      </c>
      <c r="S675">
        <v>0</v>
      </c>
      <c r="T675">
        <v>6</v>
      </c>
      <c r="U675">
        <v>6</v>
      </c>
      <c r="V675">
        <v>1</v>
      </c>
      <c r="W675">
        <v>1</v>
      </c>
      <c r="X675" t="s">
        <v>40</v>
      </c>
      <c r="Y675">
        <v>3</v>
      </c>
      <c r="Z675">
        <v>92</v>
      </c>
      <c r="AA675">
        <v>1</v>
      </c>
      <c r="AB675">
        <v>0</v>
      </c>
      <c r="AC675">
        <v>105.864</v>
      </c>
      <c r="AD675">
        <v>5059</v>
      </c>
      <c r="AH675">
        <v>0</v>
      </c>
      <c r="AI675">
        <v>0</v>
      </c>
      <c r="AL675" t="s">
        <v>40</v>
      </c>
      <c r="AM675" t="str">
        <f t="shared" si="54"/>
        <v>92 1</v>
      </c>
      <c r="AN675" t="str">
        <f t="shared" si="55"/>
        <v>403400.621,281221.259</v>
      </c>
      <c r="AO675" t="str">
        <f t="shared" si="56"/>
        <v>403457.132,281310.692</v>
      </c>
      <c r="AQ675" t="s">
        <v>2520</v>
      </c>
      <c r="AR675" t="s">
        <v>2521</v>
      </c>
    </row>
    <row r="676" spans="1:44" x14ac:dyDescent="0.3">
      <c r="A676">
        <v>3869</v>
      </c>
      <c r="B676">
        <v>4</v>
      </c>
      <c r="C676">
        <v>4012831</v>
      </c>
      <c r="D676">
        <v>12044</v>
      </c>
      <c r="E676">
        <v>2</v>
      </c>
      <c r="F676">
        <v>670050</v>
      </c>
      <c r="G676" t="s">
        <v>92</v>
      </c>
      <c r="H676" t="s">
        <v>65</v>
      </c>
      <c r="I676">
        <v>0</v>
      </c>
      <c r="J676" s="1">
        <v>403458.636</v>
      </c>
      <c r="K676" s="1">
        <v>281311.152</v>
      </c>
      <c r="L676" s="1">
        <v>403457.13199999998</v>
      </c>
      <c r="M676" s="1">
        <v>281310.69199999998</v>
      </c>
      <c r="N676" t="s">
        <v>40</v>
      </c>
      <c r="P676" t="s">
        <v>40</v>
      </c>
      <c r="Q676">
        <v>0</v>
      </c>
      <c r="R676">
        <v>0</v>
      </c>
      <c r="S676">
        <v>0</v>
      </c>
      <c r="T676">
        <v>6</v>
      </c>
      <c r="U676">
        <v>6</v>
      </c>
      <c r="V676">
        <v>1</v>
      </c>
      <c r="W676">
        <v>1</v>
      </c>
      <c r="X676" t="s">
        <v>40</v>
      </c>
      <c r="Y676">
        <v>3</v>
      </c>
      <c r="Z676">
        <v>91</v>
      </c>
      <c r="AA676">
        <v>1</v>
      </c>
      <c r="AB676">
        <v>0</v>
      </c>
      <c r="AC676">
        <v>1.573</v>
      </c>
      <c r="AD676">
        <v>5059</v>
      </c>
      <c r="AH676">
        <v>0</v>
      </c>
      <c r="AI676">
        <v>0</v>
      </c>
      <c r="AL676" t="s">
        <v>40</v>
      </c>
      <c r="AM676" t="str">
        <f t="shared" si="54"/>
        <v>91 1</v>
      </c>
      <c r="AN676" t="str">
        <f t="shared" si="55"/>
        <v>403458.636,281311.152</v>
      </c>
      <c r="AO676" t="str">
        <f t="shared" si="56"/>
        <v>403457.132,281310.692</v>
      </c>
      <c r="AQ676" t="s">
        <v>2522</v>
      </c>
      <c r="AR676" t="s">
        <v>2521</v>
      </c>
    </row>
    <row r="677" spans="1:44" x14ac:dyDescent="0.3">
      <c r="A677">
        <v>3869</v>
      </c>
      <c r="B677">
        <v>4</v>
      </c>
      <c r="C677">
        <v>4015597</v>
      </c>
      <c r="D677">
        <v>13323</v>
      </c>
      <c r="E677">
        <v>2</v>
      </c>
      <c r="F677">
        <v>670050</v>
      </c>
      <c r="G677" t="s">
        <v>92</v>
      </c>
      <c r="H677" t="s">
        <v>96</v>
      </c>
      <c r="I677">
        <v>0</v>
      </c>
      <c r="J677" s="1">
        <v>402707.35700000002</v>
      </c>
      <c r="K677" s="1">
        <v>280346.62199999997</v>
      </c>
      <c r="L677" s="1">
        <v>402649.48700000002</v>
      </c>
      <c r="M677" s="1">
        <v>280367.73700000002</v>
      </c>
      <c r="N677" t="s">
        <v>40</v>
      </c>
      <c r="P677" t="s">
        <v>40</v>
      </c>
      <c r="Q677">
        <v>0</v>
      </c>
      <c r="R677">
        <v>0</v>
      </c>
      <c r="S677">
        <v>0</v>
      </c>
      <c r="T677">
        <v>6</v>
      </c>
      <c r="U677">
        <v>6</v>
      </c>
      <c r="V677">
        <v>1</v>
      </c>
      <c r="W677">
        <v>1</v>
      </c>
      <c r="X677" t="s">
        <v>40</v>
      </c>
      <c r="Y677">
        <v>3</v>
      </c>
      <c r="Z677">
        <v>52</v>
      </c>
      <c r="AA677">
        <v>1</v>
      </c>
      <c r="AB677">
        <v>0</v>
      </c>
      <c r="AC677">
        <v>256.81200000000001</v>
      </c>
      <c r="AD677">
        <v>5059</v>
      </c>
      <c r="AH677">
        <v>0</v>
      </c>
      <c r="AI677">
        <v>0</v>
      </c>
      <c r="AL677" t="s">
        <v>40</v>
      </c>
      <c r="AM677" t="str">
        <f t="shared" si="54"/>
        <v>52 1</v>
      </c>
      <c r="AN677" s="6" t="s">
        <v>482</v>
      </c>
      <c r="AO677" s="6" t="s">
        <v>1314</v>
      </c>
      <c r="AQ677" t="s">
        <v>776</v>
      </c>
      <c r="AR677" t="s">
        <v>2523</v>
      </c>
    </row>
    <row r="678" spans="1:44" x14ac:dyDescent="0.3">
      <c r="A678">
        <v>3869</v>
      </c>
      <c r="B678">
        <v>4</v>
      </c>
      <c r="C678">
        <v>4015617</v>
      </c>
      <c r="D678">
        <v>13234</v>
      </c>
      <c r="E678">
        <v>2</v>
      </c>
      <c r="F678">
        <v>670050</v>
      </c>
      <c r="G678" t="s">
        <v>92</v>
      </c>
      <c r="H678" t="s">
        <v>96</v>
      </c>
      <c r="I678">
        <v>0</v>
      </c>
      <c r="J678" s="1">
        <v>402611.66600000003</v>
      </c>
      <c r="K678" s="1">
        <v>280252.19500000001</v>
      </c>
      <c r="L678" s="1">
        <v>402599.85399999999</v>
      </c>
      <c r="M678" s="1">
        <v>280240.66600000003</v>
      </c>
      <c r="N678" t="s">
        <v>40</v>
      </c>
      <c r="P678" t="s">
        <v>40</v>
      </c>
      <c r="Q678">
        <v>0</v>
      </c>
      <c r="R678">
        <v>0</v>
      </c>
      <c r="S678">
        <v>200404</v>
      </c>
      <c r="T678">
        <v>6</v>
      </c>
      <c r="U678">
        <v>6</v>
      </c>
      <c r="V678">
        <v>1</v>
      </c>
      <c r="W678">
        <v>1</v>
      </c>
      <c r="X678" t="s">
        <v>40</v>
      </c>
      <c r="Y678">
        <v>3</v>
      </c>
      <c r="Z678">
        <v>5024</v>
      </c>
      <c r="AA678">
        <v>1</v>
      </c>
      <c r="AB678">
        <v>0</v>
      </c>
      <c r="AC678">
        <v>16.506</v>
      </c>
      <c r="AD678">
        <v>5059</v>
      </c>
      <c r="AH678">
        <v>0</v>
      </c>
      <c r="AI678">
        <v>0</v>
      </c>
      <c r="AL678" t="s">
        <v>40</v>
      </c>
      <c r="AM678" t="str">
        <f t="shared" si="54"/>
        <v>5024 1</v>
      </c>
      <c r="AN678" t="str">
        <f t="shared" si="55"/>
        <v>402611.666,280252.195</v>
      </c>
      <c r="AO678" t="str">
        <f t="shared" si="56"/>
        <v>402599.854,280240.666</v>
      </c>
      <c r="AQ678" t="s">
        <v>2523</v>
      </c>
      <c r="AR678" t="s">
        <v>2517</v>
      </c>
    </row>
    <row r="679" spans="1:44" x14ac:dyDescent="0.3">
      <c r="A679">
        <v>3869</v>
      </c>
      <c r="B679">
        <v>4</v>
      </c>
      <c r="C679">
        <v>4023315</v>
      </c>
      <c r="D679">
        <v>21431</v>
      </c>
      <c r="E679">
        <v>2</v>
      </c>
      <c r="F679">
        <v>670050</v>
      </c>
      <c r="G679" t="s">
        <v>92</v>
      </c>
      <c r="H679" t="s">
        <v>94</v>
      </c>
      <c r="I679">
        <v>0</v>
      </c>
      <c r="J679" s="1">
        <v>402157.86499999999</v>
      </c>
      <c r="K679" s="1">
        <v>279852.91600000003</v>
      </c>
      <c r="L679" s="1">
        <v>402000</v>
      </c>
      <c r="M679" s="1">
        <v>279573.38799999998</v>
      </c>
      <c r="N679" t="s">
        <v>40</v>
      </c>
      <c r="P679" t="s">
        <v>40</v>
      </c>
      <c r="Q679">
        <v>0</v>
      </c>
      <c r="R679">
        <v>0</v>
      </c>
      <c r="S679">
        <v>0</v>
      </c>
      <c r="T679">
        <v>6</v>
      </c>
      <c r="U679">
        <v>6</v>
      </c>
      <c r="V679">
        <v>1</v>
      </c>
      <c r="W679">
        <v>2</v>
      </c>
      <c r="X679" t="s">
        <v>40</v>
      </c>
      <c r="Y679">
        <v>3</v>
      </c>
      <c r="Z679">
        <v>86</v>
      </c>
      <c r="AA679">
        <v>1</v>
      </c>
      <c r="AB679">
        <v>0</v>
      </c>
      <c r="AC679">
        <v>520.553</v>
      </c>
      <c r="AD679">
        <v>5059</v>
      </c>
      <c r="AH679">
        <v>0</v>
      </c>
      <c r="AI679">
        <v>0</v>
      </c>
      <c r="AL679" t="s">
        <v>40</v>
      </c>
      <c r="AM679" t="str">
        <f t="shared" si="54"/>
        <v>86 1</v>
      </c>
      <c r="AN679" s="6" t="s">
        <v>1323</v>
      </c>
      <c r="AO679" s="6" t="s">
        <v>1332</v>
      </c>
      <c r="AQ679" t="s">
        <v>2524</v>
      </c>
      <c r="AR679" t="s">
        <v>2525</v>
      </c>
    </row>
    <row r="680" spans="1:44" x14ac:dyDescent="0.3">
      <c r="A680">
        <v>3869</v>
      </c>
      <c r="B680">
        <v>4</v>
      </c>
      <c r="C680">
        <v>4027951</v>
      </c>
      <c r="D680">
        <v>25270</v>
      </c>
      <c r="E680">
        <v>2</v>
      </c>
      <c r="F680">
        <v>670050</v>
      </c>
      <c r="G680" t="s">
        <v>92</v>
      </c>
      <c r="H680" t="s">
        <v>93</v>
      </c>
      <c r="I680">
        <v>0</v>
      </c>
      <c r="J680" s="1">
        <v>401576.07</v>
      </c>
      <c r="K680" s="1">
        <v>279381.28100000002</v>
      </c>
      <c r="L680" s="1">
        <v>401577.41</v>
      </c>
      <c r="M680" s="1">
        <v>279380.37</v>
      </c>
      <c r="N680" t="s">
        <v>40</v>
      </c>
      <c r="P680" t="s">
        <v>40</v>
      </c>
      <c r="Q680">
        <v>0</v>
      </c>
      <c r="R680">
        <v>0</v>
      </c>
      <c r="S680">
        <v>0</v>
      </c>
      <c r="T680">
        <v>6</v>
      </c>
      <c r="U680">
        <v>6</v>
      </c>
      <c r="V680">
        <v>1</v>
      </c>
      <c r="W680">
        <v>2</v>
      </c>
      <c r="X680" t="s">
        <v>40</v>
      </c>
      <c r="Y680">
        <v>3</v>
      </c>
      <c r="Z680">
        <v>90</v>
      </c>
      <c r="AA680">
        <v>1</v>
      </c>
      <c r="AB680">
        <v>0</v>
      </c>
      <c r="AC680">
        <v>1.6259999999999999</v>
      </c>
      <c r="AD680">
        <v>5059</v>
      </c>
      <c r="AH680">
        <v>0</v>
      </c>
      <c r="AI680">
        <v>0</v>
      </c>
      <c r="AL680" t="s">
        <v>40</v>
      </c>
      <c r="AM680" t="str">
        <f t="shared" si="54"/>
        <v>90 1</v>
      </c>
      <c r="AN680" t="str">
        <f t="shared" si="55"/>
        <v>401576.07,279381.281</v>
      </c>
      <c r="AO680" t="str">
        <f t="shared" si="56"/>
        <v>401577.41,279380.37</v>
      </c>
      <c r="AQ680" t="s">
        <v>2526</v>
      </c>
      <c r="AR680" t="s">
        <v>2527</v>
      </c>
    </row>
    <row r="681" spans="1:44" x14ac:dyDescent="0.3">
      <c r="A681">
        <v>3869</v>
      </c>
      <c r="B681">
        <v>4</v>
      </c>
      <c r="C681">
        <v>4023288</v>
      </c>
      <c r="D681">
        <v>75011</v>
      </c>
      <c r="E681">
        <v>2</v>
      </c>
      <c r="F681">
        <v>670050</v>
      </c>
      <c r="G681" t="s">
        <v>92</v>
      </c>
      <c r="H681" t="s">
        <v>94</v>
      </c>
      <c r="I681">
        <v>0</v>
      </c>
      <c r="J681" s="1">
        <v>402219.15</v>
      </c>
      <c r="K681" s="1">
        <v>279890.07400000002</v>
      </c>
      <c r="L681" s="1">
        <v>402191.62</v>
      </c>
      <c r="M681" s="1">
        <v>279908.614</v>
      </c>
      <c r="N681" t="s">
        <v>40</v>
      </c>
      <c r="P681" t="s">
        <v>40</v>
      </c>
      <c r="Q681">
        <v>0</v>
      </c>
      <c r="R681">
        <v>0</v>
      </c>
      <c r="S681">
        <v>0</v>
      </c>
      <c r="T681">
        <v>6</v>
      </c>
      <c r="U681">
        <v>6</v>
      </c>
      <c r="V681">
        <v>1</v>
      </c>
      <c r="W681">
        <v>1</v>
      </c>
      <c r="X681" t="s">
        <v>40</v>
      </c>
      <c r="Y681">
        <v>3</v>
      </c>
      <c r="Z681">
        <v>95</v>
      </c>
      <c r="AA681">
        <v>1</v>
      </c>
      <c r="AB681">
        <v>0</v>
      </c>
      <c r="AC681">
        <v>40.149000000000001</v>
      </c>
      <c r="AD681">
        <v>5059</v>
      </c>
      <c r="AH681">
        <v>0</v>
      </c>
      <c r="AI681">
        <v>0</v>
      </c>
      <c r="AL681" t="s">
        <v>40</v>
      </c>
      <c r="AM681" t="str">
        <f t="shared" si="54"/>
        <v>95 1</v>
      </c>
      <c r="AN681" t="str">
        <f t="shared" si="55"/>
        <v>402219.15,279890.074</v>
      </c>
      <c r="AO681" t="str">
        <f t="shared" si="56"/>
        <v>402191.62,279908.614</v>
      </c>
      <c r="AQ681" t="s">
        <v>2503</v>
      </c>
      <c r="AR681" t="s">
        <v>770</v>
      </c>
    </row>
    <row r="682" spans="1:44" x14ac:dyDescent="0.3">
      <c r="A682">
        <v>3869</v>
      </c>
      <c r="B682">
        <v>4</v>
      </c>
      <c r="C682">
        <v>4023348</v>
      </c>
      <c r="D682">
        <v>23043</v>
      </c>
      <c r="E682">
        <v>2</v>
      </c>
      <c r="F682">
        <v>670050</v>
      </c>
      <c r="G682" t="s">
        <v>92</v>
      </c>
      <c r="H682" t="s">
        <v>43</v>
      </c>
      <c r="I682">
        <v>0</v>
      </c>
      <c r="J682" s="1">
        <v>405084.98</v>
      </c>
      <c r="K682" s="1">
        <v>280962.07900000003</v>
      </c>
      <c r="L682" s="1">
        <v>405123.38900000002</v>
      </c>
      <c r="M682" s="1">
        <v>280974.73499999999</v>
      </c>
      <c r="N682" t="s">
        <v>40</v>
      </c>
      <c r="P682" t="s">
        <v>40</v>
      </c>
      <c r="Q682">
        <v>0</v>
      </c>
      <c r="R682">
        <v>0</v>
      </c>
      <c r="S682">
        <v>0</v>
      </c>
      <c r="T682">
        <v>7</v>
      </c>
      <c r="U682">
        <v>6</v>
      </c>
      <c r="V682">
        <v>1</v>
      </c>
      <c r="W682">
        <v>1</v>
      </c>
      <c r="X682" t="s">
        <v>40</v>
      </c>
      <c r="Y682">
        <v>3</v>
      </c>
      <c r="Z682">
        <v>256</v>
      </c>
      <c r="AA682">
        <v>99</v>
      </c>
      <c r="AB682">
        <v>0</v>
      </c>
      <c r="AC682">
        <v>41.6</v>
      </c>
      <c r="AD682">
        <v>5059</v>
      </c>
      <c r="AH682">
        <v>0</v>
      </c>
      <c r="AI682">
        <v>0</v>
      </c>
      <c r="AL682" t="s">
        <v>40</v>
      </c>
      <c r="AM682" t="str">
        <f t="shared" si="54"/>
        <v>256 99</v>
      </c>
      <c r="AN682" t="str">
        <f t="shared" si="55"/>
        <v>405084.98,280962.079</v>
      </c>
      <c r="AO682" t="str">
        <f t="shared" si="56"/>
        <v>405123.389,280974.735</v>
      </c>
      <c r="AQ682" t="s">
        <v>2494</v>
      </c>
      <c r="AR682" t="s">
        <v>2528</v>
      </c>
    </row>
    <row r="683" spans="1:44" x14ac:dyDescent="0.3">
      <c r="A683">
        <v>3869</v>
      </c>
      <c r="B683">
        <v>4</v>
      </c>
      <c r="C683">
        <v>4027952</v>
      </c>
      <c r="D683">
        <v>25340</v>
      </c>
      <c r="E683">
        <v>2</v>
      </c>
      <c r="F683">
        <v>670050</v>
      </c>
      <c r="G683" t="s">
        <v>92</v>
      </c>
      <c r="H683" t="s">
        <v>93</v>
      </c>
      <c r="I683">
        <v>0</v>
      </c>
      <c r="J683" s="1">
        <v>401577.41</v>
      </c>
      <c r="K683" s="1">
        <v>279380.37</v>
      </c>
      <c r="L683" s="1">
        <v>401655.234</v>
      </c>
      <c r="M683" s="1">
        <v>279296.94699999999</v>
      </c>
      <c r="N683" t="s">
        <v>40</v>
      </c>
      <c r="P683" t="s">
        <v>40</v>
      </c>
      <c r="Q683">
        <v>0</v>
      </c>
      <c r="R683">
        <v>0</v>
      </c>
      <c r="S683">
        <v>0</v>
      </c>
      <c r="T683">
        <v>6</v>
      </c>
      <c r="U683">
        <v>6</v>
      </c>
      <c r="V683">
        <v>1</v>
      </c>
      <c r="W683">
        <v>2</v>
      </c>
      <c r="X683" t="s">
        <v>40</v>
      </c>
      <c r="Y683">
        <v>3</v>
      </c>
      <c r="Z683">
        <v>52</v>
      </c>
      <c r="AA683">
        <v>1</v>
      </c>
      <c r="AB683">
        <v>0</v>
      </c>
      <c r="AC683">
        <v>154.023</v>
      </c>
      <c r="AD683">
        <v>5059</v>
      </c>
      <c r="AH683">
        <v>0</v>
      </c>
      <c r="AI683">
        <v>0</v>
      </c>
      <c r="AL683" t="s">
        <v>40</v>
      </c>
      <c r="AM683" t="str">
        <f t="shared" si="54"/>
        <v>52 1</v>
      </c>
      <c r="AN683" t="str">
        <f t="shared" si="55"/>
        <v>401577.41,279380.37</v>
      </c>
      <c r="AO683" t="str">
        <f t="shared" si="56"/>
        <v>401655.234,279296.947</v>
      </c>
      <c r="AQ683" t="s">
        <v>2527</v>
      </c>
      <c r="AR683" t="s">
        <v>2529</v>
      </c>
    </row>
    <row r="684" spans="1:44" x14ac:dyDescent="0.3">
      <c r="A684">
        <v>3869</v>
      </c>
      <c r="B684">
        <v>4</v>
      </c>
      <c r="C684">
        <v>4028038</v>
      </c>
      <c r="D684">
        <v>27222</v>
      </c>
      <c r="E684">
        <v>2</v>
      </c>
      <c r="F684">
        <v>670050</v>
      </c>
      <c r="G684" t="s">
        <v>92</v>
      </c>
      <c r="H684" t="s">
        <v>93</v>
      </c>
      <c r="I684">
        <v>0</v>
      </c>
      <c r="J684" s="1">
        <v>401959.33</v>
      </c>
      <c r="K684" s="1">
        <v>279921.90999999997</v>
      </c>
      <c r="L684" s="1">
        <v>402000</v>
      </c>
      <c r="M684" s="1">
        <v>279895.37900000002</v>
      </c>
      <c r="N684" t="s">
        <v>40</v>
      </c>
      <c r="P684" t="s">
        <v>40</v>
      </c>
      <c r="Q684">
        <v>0</v>
      </c>
      <c r="R684">
        <v>0</v>
      </c>
      <c r="S684">
        <v>0</v>
      </c>
      <c r="T684">
        <v>6</v>
      </c>
      <c r="U684">
        <v>6</v>
      </c>
      <c r="V684">
        <v>1</v>
      </c>
      <c r="W684">
        <v>1</v>
      </c>
      <c r="X684" t="s">
        <v>40</v>
      </c>
      <c r="Y684">
        <v>3</v>
      </c>
      <c r="Z684">
        <v>86</v>
      </c>
      <c r="AA684">
        <v>1</v>
      </c>
      <c r="AB684">
        <v>0</v>
      </c>
      <c r="AC684">
        <v>105.262</v>
      </c>
      <c r="AD684">
        <v>5059</v>
      </c>
      <c r="AH684">
        <v>0</v>
      </c>
      <c r="AI684">
        <v>0</v>
      </c>
      <c r="AL684" t="s">
        <v>40</v>
      </c>
      <c r="AM684" t="str">
        <f t="shared" si="54"/>
        <v>86 1</v>
      </c>
      <c r="AN684" s="6" t="s">
        <v>1321</v>
      </c>
      <c r="AO684" s="6" t="s">
        <v>1327</v>
      </c>
      <c r="AQ684" t="s">
        <v>2530</v>
      </c>
      <c r="AR684" t="s">
        <v>2531</v>
      </c>
    </row>
    <row r="685" spans="1:44" x14ac:dyDescent="0.3">
      <c r="A685">
        <v>3869</v>
      </c>
      <c r="B685">
        <v>4</v>
      </c>
      <c r="C685">
        <v>4015563</v>
      </c>
      <c r="D685">
        <v>12721</v>
      </c>
      <c r="E685">
        <v>2</v>
      </c>
      <c r="F685">
        <v>670050</v>
      </c>
      <c r="G685" t="s">
        <v>92</v>
      </c>
      <c r="H685" t="s">
        <v>96</v>
      </c>
      <c r="I685">
        <v>0</v>
      </c>
      <c r="J685" s="1">
        <v>402708.033</v>
      </c>
      <c r="K685" s="1">
        <v>280347.09100000001</v>
      </c>
      <c r="L685" s="1">
        <v>403000</v>
      </c>
      <c r="M685" s="1">
        <v>280632.96399999998</v>
      </c>
      <c r="N685" t="s">
        <v>40</v>
      </c>
      <c r="P685" t="s">
        <v>40</v>
      </c>
      <c r="Q685">
        <v>0</v>
      </c>
      <c r="R685">
        <v>0</v>
      </c>
      <c r="S685">
        <v>0</v>
      </c>
      <c r="T685">
        <v>6</v>
      </c>
      <c r="U685">
        <v>6</v>
      </c>
      <c r="V685">
        <v>1</v>
      </c>
      <c r="W685">
        <v>1</v>
      </c>
      <c r="X685" t="s">
        <v>40</v>
      </c>
      <c r="Y685">
        <v>3</v>
      </c>
      <c r="Z685">
        <v>89</v>
      </c>
      <c r="AA685">
        <v>1</v>
      </c>
      <c r="AB685">
        <v>0</v>
      </c>
      <c r="AC685">
        <v>572.09799999999996</v>
      </c>
      <c r="AD685">
        <v>5059</v>
      </c>
      <c r="AH685">
        <v>0</v>
      </c>
      <c r="AI685">
        <v>0</v>
      </c>
      <c r="AL685" t="s">
        <v>40</v>
      </c>
      <c r="AM685" t="str">
        <f t="shared" si="54"/>
        <v>89 1</v>
      </c>
      <c r="AN685" s="6" t="s">
        <v>1726</v>
      </c>
      <c r="AO685" s="6" t="s">
        <v>1320</v>
      </c>
      <c r="AQ685" t="s">
        <v>2502</v>
      </c>
      <c r="AR685" t="s">
        <v>2532</v>
      </c>
    </row>
    <row r="686" spans="1:44" x14ac:dyDescent="0.3">
      <c r="A686">
        <v>3869</v>
      </c>
      <c r="B686">
        <v>4</v>
      </c>
      <c r="C686">
        <v>4028026</v>
      </c>
      <c r="D686">
        <v>25715</v>
      </c>
      <c r="E686">
        <v>2</v>
      </c>
      <c r="F686">
        <v>670050</v>
      </c>
      <c r="G686" t="s">
        <v>92</v>
      </c>
      <c r="H686" t="s">
        <v>93</v>
      </c>
      <c r="I686">
        <v>0</v>
      </c>
      <c r="J686" s="1">
        <v>401610.92200000002</v>
      </c>
      <c r="K686" s="1">
        <v>279757.35700000002</v>
      </c>
      <c r="L686" s="1">
        <v>401616.451</v>
      </c>
      <c r="M686" s="1">
        <v>279764.07500000001</v>
      </c>
      <c r="N686" t="s">
        <v>40</v>
      </c>
      <c r="P686" t="s">
        <v>40</v>
      </c>
      <c r="Q686">
        <v>0</v>
      </c>
      <c r="R686">
        <v>0</v>
      </c>
      <c r="S686">
        <v>0</v>
      </c>
      <c r="T686">
        <v>6</v>
      </c>
      <c r="U686">
        <v>6</v>
      </c>
      <c r="V686">
        <v>1</v>
      </c>
      <c r="W686">
        <v>2</v>
      </c>
      <c r="X686" t="s">
        <v>40</v>
      </c>
      <c r="Y686">
        <v>3</v>
      </c>
      <c r="Z686">
        <v>92</v>
      </c>
      <c r="AA686">
        <v>1</v>
      </c>
      <c r="AB686">
        <v>0</v>
      </c>
      <c r="AC686">
        <v>9.8520000000000003</v>
      </c>
      <c r="AD686">
        <v>5059</v>
      </c>
      <c r="AH686">
        <v>0</v>
      </c>
      <c r="AI686">
        <v>0</v>
      </c>
      <c r="AL686" t="s">
        <v>40</v>
      </c>
      <c r="AM686" t="str">
        <f t="shared" si="54"/>
        <v>92 1</v>
      </c>
      <c r="AN686" t="str">
        <f t="shared" si="55"/>
        <v>401610.922,279757.357</v>
      </c>
      <c r="AO686" t="str">
        <f t="shared" si="56"/>
        <v>401616.451,279764.075</v>
      </c>
      <c r="AQ686" t="s">
        <v>2533</v>
      </c>
      <c r="AR686" t="s">
        <v>2513</v>
      </c>
    </row>
    <row r="687" spans="1:44" x14ac:dyDescent="0.3">
      <c r="A687">
        <v>3869</v>
      </c>
      <c r="B687">
        <v>4</v>
      </c>
      <c r="C687">
        <v>4028012</v>
      </c>
      <c r="D687">
        <v>26563</v>
      </c>
      <c r="E687">
        <v>2</v>
      </c>
      <c r="F687">
        <v>670050</v>
      </c>
      <c r="G687" t="s">
        <v>92</v>
      </c>
      <c r="H687" t="s">
        <v>93</v>
      </c>
      <c r="I687">
        <v>0</v>
      </c>
      <c r="J687" s="1">
        <v>401413.304</v>
      </c>
      <c r="K687" s="1">
        <v>279606.00799999997</v>
      </c>
      <c r="L687" s="1">
        <v>401540.92800000001</v>
      </c>
      <c r="M687" s="1">
        <v>279761.033</v>
      </c>
      <c r="N687" t="s">
        <v>40</v>
      </c>
      <c r="P687" t="s">
        <v>40</v>
      </c>
      <c r="Q687">
        <v>0</v>
      </c>
      <c r="R687">
        <v>0</v>
      </c>
      <c r="S687">
        <v>0</v>
      </c>
      <c r="T687">
        <v>6</v>
      </c>
      <c r="U687">
        <v>6</v>
      </c>
      <c r="V687">
        <v>1</v>
      </c>
      <c r="W687">
        <v>2</v>
      </c>
      <c r="X687" t="s">
        <v>40</v>
      </c>
      <c r="Y687">
        <v>3</v>
      </c>
      <c r="Z687">
        <v>52</v>
      </c>
      <c r="AA687">
        <v>1</v>
      </c>
      <c r="AB687">
        <v>0</v>
      </c>
      <c r="AC687">
        <v>531.53</v>
      </c>
      <c r="AD687">
        <v>5059</v>
      </c>
      <c r="AH687">
        <v>0</v>
      </c>
      <c r="AI687">
        <v>0</v>
      </c>
      <c r="AL687" t="s">
        <v>40</v>
      </c>
      <c r="AM687" t="str">
        <f t="shared" si="54"/>
        <v>52 1</v>
      </c>
      <c r="AN687" s="6" t="s">
        <v>1322</v>
      </c>
      <c r="AO687" s="6" t="s">
        <v>1304</v>
      </c>
      <c r="AQ687" t="s">
        <v>2533</v>
      </c>
      <c r="AR687" t="s">
        <v>2515</v>
      </c>
    </row>
    <row r="688" spans="1:44" x14ac:dyDescent="0.3">
      <c r="A688">
        <v>3869</v>
      </c>
      <c r="B688">
        <v>4</v>
      </c>
      <c r="C688">
        <v>4027865</v>
      </c>
      <c r="D688">
        <v>91254</v>
      </c>
      <c r="E688">
        <v>2</v>
      </c>
      <c r="F688">
        <v>670050</v>
      </c>
      <c r="G688" t="s">
        <v>92</v>
      </c>
      <c r="H688" t="s">
        <v>93</v>
      </c>
      <c r="I688">
        <v>0</v>
      </c>
      <c r="J688" s="1">
        <v>401811.59299999999</v>
      </c>
      <c r="K688" s="1">
        <v>279349.364</v>
      </c>
      <c r="L688" s="1">
        <v>401802.571</v>
      </c>
      <c r="M688" s="1">
        <v>279362.88</v>
      </c>
      <c r="N688" t="s">
        <v>40</v>
      </c>
      <c r="P688" t="s">
        <v>40</v>
      </c>
      <c r="Q688">
        <v>0</v>
      </c>
      <c r="R688">
        <v>0</v>
      </c>
      <c r="S688">
        <v>200203</v>
      </c>
      <c r="T688">
        <v>6</v>
      </c>
      <c r="U688">
        <v>6</v>
      </c>
      <c r="V688">
        <v>1</v>
      </c>
      <c r="W688">
        <v>2</v>
      </c>
      <c r="X688" t="s">
        <v>40</v>
      </c>
      <c r="Y688">
        <v>3</v>
      </c>
      <c r="Z688">
        <v>5024</v>
      </c>
      <c r="AA688">
        <v>1</v>
      </c>
      <c r="AB688">
        <v>0</v>
      </c>
      <c r="AC688">
        <v>52.230000000000004</v>
      </c>
      <c r="AD688">
        <v>5059</v>
      </c>
      <c r="AH688">
        <v>0</v>
      </c>
      <c r="AI688">
        <v>0</v>
      </c>
      <c r="AL688" t="s">
        <v>40</v>
      </c>
      <c r="AM688" t="str">
        <f t="shared" si="54"/>
        <v>5024 1</v>
      </c>
      <c r="AN688" s="6" t="s">
        <v>471</v>
      </c>
      <c r="AO688" s="6" t="s">
        <v>1325</v>
      </c>
      <c r="AQ688" t="s">
        <v>773</v>
      </c>
      <c r="AR688" t="s">
        <v>2534</v>
      </c>
    </row>
    <row r="689" spans="1:44" x14ac:dyDescent="0.3">
      <c r="A689">
        <v>3869</v>
      </c>
      <c r="B689">
        <v>4</v>
      </c>
      <c r="C689">
        <v>4027860</v>
      </c>
      <c r="D689">
        <v>26846</v>
      </c>
      <c r="E689">
        <v>2</v>
      </c>
      <c r="F689">
        <v>670050</v>
      </c>
      <c r="G689" t="s">
        <v>92</v>
      </c>
      <c r="H689" t="s">
        <v>93</v>
      </c>
      <c r="I689">
        <v>0</v>
      </c>
      <c r="J689" s="1">
        <v>401944.83100000001</v>
      </c>
      <c r="K689" s="1">
        <v>279421.19</v>
      </c>
      <c r="L689" s="1">
        <v>401946.05300000001</v>
      </c>
      <c r="M689" s="1">
        <v>279425.66700000002</v>
      </c>
      <c r="N689" t="s">
        <v>40</v>
      </c>
      <c r="P689" t="s">
        <v>40</v>
      </c>
      <c r="Q689">
        <v>0</v>
      </c>
      <c r="R689">
        <v>0</v>
      </c>
      <c r="S689">
        <v>0</v>
      </c>
      <c r="T689">
        <v>6</v>
      </c>
      <c r="U689">
        <v>6</v>
      </c>
      <c r="V689">
        <v>1</v>
      </c>
      <c r="W689">
        <v>2</v>
      </c>
      <c r="X689" t="s">
        <v>40</v>
      </c>
      <c r="Y689">
        <v>3</v>
      </c>
      <c r="Z689">
        <v>36</v>
      </c>
      <c r="AA689">
        <v>1</v>
      </c>
      <c r="AB689">
        <v>0</v>
      </c>
      <c r="AC689">
        <v>5.351</v>
      </c>
      <c r="AD689">
        <v>5059</v>
      </c>
      <c r="AH689">
        <v>0</v>
      </c>
      <c r="AI689">
        <v>0</v>
      </c>
      <c r="AL689" t="s">
        <v>40</v>
      </c>
      <c r="AM689" t="str">
        <f t="shared" si="54"/>
        <v>36 1</v>
      </c>
      <c r="AN689" t="str">
        <f t="shared" si="55"/>
        <v>401944.831,279421.19</v>
      </c>
      <c r="AO689" t="str">
        <f t="shared" si="56"/>
        <v>401946.053,279425.667</v>
      </c>
      <c r="AQ689" t="s">
        <v>2535</v>
      </c>
      <c r="AR689" t="s">
        <v>2524</v>
      </c>
    </row>
    <row r="690" spans="1:44" x14ac:dyDescent="0.3">
      <c r="A690">
        <v>3869</v>
      </c>
      <c r="B690">
        <v>4</v>
      </c>
      <c r="C690">
        <v>4027856</v>
      </c>
      <c r="D690">
        <v>26757</v>
      </c>
      <c r="E690">
        <v>2</v>
      </c>
      <c r="F690">
        <v>670050</v>
      </c>
      <c r="G690" t="s">
        <v>92</v>
      </c>
      <c r="H690" t="s">
        <v>93</v>
      </c>
      <c r="I690">
        <v>0</v>
      </c>
      <c r="J690" s="1">
        <v>401838.73200000002</v>
      </c>
      <c r="K690" s="1">
        <v>279350.85200000001</v>
      </c>
      <c r="L690" s="1">
        <v>401944.83100000001</v>
      </c>
      <c r="M690" s="1">
        <v>279421.19</v>
      </c>
      <c r="N690" t="s">
        <v>40</v>
      </c>
      <c r="P690" t="s">
        <v>40</v>
      </c>
      <c r="Q690">
        <v>0</v>
      </c>
      <c r="R690">
        <v>0</v>
      </c>
      <c r="S690">
        <v>0</v>
      </c>
      <c r="T690">
        <v>6</v>
      </c>
      <c r="U690">
        <v>6</v>
      </c>
      <c r="V690">
        <v>1</v>
      </c>
      <c r="W690">
        <v>2</v>
      </c>
      <c r="X690" t="s">
        <v>40</v>
      </c>
      <c r="Y690">
        <v>3</v>
      </c>
      <c r="Z690">
        <v>5015</v>
      </c>
      <c r="AA690">
        <v>1</v>
      </c>
      <c r="AB690">
        <v>0</v>
      </c>
      <c r="AC690">
        <v>129.41900000000001</v>
      </c>
      <c r="AD690">
        <v>5059</v>
      </c>
      <c r="AH690">
        <v>0</v>
      </c>
      <c r="AI690">
        <v>0</v>
      </c>
      <c r="AL690" t="s">
        <v>40</v>
      </c>
      <c r="AM690" t="str">
        <f t="shared" si="54"/>
        <v>5015 1</v>
      </c>
      <c r="AN690" t="str">
        <f t="shared" si="55"/>
        <v>401838.732,279350.852</v>
      </c>
      <c r="AO690" t="str">
        <f t="shared" si="56"/>
        <v>401944.831,279421.19</v>
      </c>
      <c r="AQ690" t="s">
        <v>2534</v>
      </c>
      <c r="AR690" t="s">
        <v>2535</v>
      </c>
    </row>
    <row r="691" spans="1:44" x14ac:dyDescent="0.3">
      <c r="A691">
        <v>3869</v>
      </c>
      <c r="B691">
        <v>4</v>
      </c>
      <c r="C691">
        <v>4015568</v>
      </c>
      <c r="D691">
        <v>40277</v>
      </c>
      <c r="E691">
        <v>2</v>
      </c>
      <c r="F691">
        <v>670050</v>
      </c>
      <c r="G691" t="s">
        <v>92</v>
      </c>
      <c r="H691" t="s">
        <v>96</v>
      </c>
      <c r="I691">
        <v>0</v>
      </c>
      <c r="J691" s="1">
        <v>402708.033</v>
      </c>
      <c r="K691" s="1">
        <v>280347.09100000001</v>
      </c>
      <c r="L691" s="1">
        <v>402609.522</v>
      </c>
      <c r="M691" s="1">
        <v>280370.21799999999</v>
      </c>
      <c r="N691" t="s">
        <v>40</v>
      </c>
      <c r="P691" t="s">
        <v>40</v>
      </c>
      <c r="Q691">
        <v>0</v>
      </c>
      <c r="R691">
        <v>0</v>
      </c>
      <c r="S691">
        <v>0</v>
      </c>
      <c r="T691">
        <v>6</v>
      </c>
      <c r="U691">
        <v>6</v>
      </c>
      <c r="V691">
        <v>1</v>
      </c>
      <c r="W691">
        <v>1</v>
      </c>
      <c r="X691" t="s">
        <v>40</v>
      </c>
      <c r="Y691">
        <v>3</v>
      </c>
      <c r="Z691">
        <v>52</v>
      </c>
      <c r="AA691">
        <v>1</v>
      </c>
      <c r="AB691">
        <v>0</v>
      </c>
      <c r="AC691">
        <v>123.28100000000001</v>
      </c>
      <c r="AD691">
        <v>5059</v>
      </c>
      <c r="AH691">
        <v>0</v>
      </c>
      <c r="AI691">
        <v>0</v>
      </c>
      <c r="AL691" t="s">
        <v>40</v>
      </c>
      <c r="AM691" t="str">
        <f t="shared" si="54"/>
        <v>52 1</v>
      </c>
      <c r="AN691" t="str">
        <f t="shared" si="55"/>
        <v>402708.033,280347.091</v>
      </c>
      <c r="AO691" t="str">
        <f t="shared" si="56"/>
        <v>402609.522,280370.218</v>
      </c>
      <c r="AQ691" t="s">
        <v>2532</v>
      </c>
      <c r="AR691" t="s">
        <v>777</v>
      </c>
    </row>
    <row r="692" spans="1:44" x14ac:dyDescent="0.3">
      <c r="A692">
        <v>3869</v>
      </c>
      <c r="B692">
        <v>4</v>
      </c>
      <c r="C692">
        <v>4023320</v>
      </c>
      <c r="D692">
        <v>21308</v>
      </c>
      <c r="E692">
        <v>2</v>
      </c>
      <c r="F692">
        <v>670050</v>
      </c>
      <c r="G692" t="s">
        <v>92</v>
      </c>
      <c r="H692" t="s">
        <v>94</v>
      </c>
      <c r="I692">
        <v>0</v>
      </c>
      <c r="J692" s="1">
        <v>402084.48200000002</v>
      </c>
      <c r="K692" s="1">
        <v>279875.636</v>
      </c>
      <c r="L692" s="1">
        <v>402105.10700000002</v>
      </c>
      <c r="M692" s="1">
        <v>279864.20899999997</v>
      </c>
      <c r="N692" t="s">
        <v>40</v>
      </c>
      <c r="P692" t="s">
        <v>40</v>
      </c>
      <c r="Q692">
        <v>0</v>
      </c>
      <c r="R692">
        <v>0</v>
      </c>
      <c r="S692">
        <v>200601</v>
      </c>
      <c r="T692">
        <v>6</v>
      </c>
      <c r="U692">
        <v>6</v>
      </c>
      <c r="V692">
        <v>1</v>
      </c>
      <c r="W692">
        <v>1</v>
      </c>
      <c r="X692" t="s">
        <v>40</v>
      </c>
      <c r="Y692">
        <v>3</v>
      </c>
      <c r="Z692">
        <v>5015</v>
      </c>
      <c r="AA692">
        <v>1</v>
      </c>
      <c r="AB692">
        <v>0</v>
      </c>
      <c r="AC692">
        <v>216.11099999999999</v>
      </c>
      <c r="AD692">
        <v>5059</v>
      </c>
      <c r="AH692">
        <v>0</v>
      </c>
      <c r="AI692">
        <v>0</v>
      </c>
      <c r="AL692" t="s">
        <v>40</v>
      </c>
      <c r="AM692" t="str">
        <f t="shared" si="54"/>
        <v>5015 1</v>
      </c>
      <c r="AN692" s="6" t="s">
        <v>1331</v>
      </c>
      <c r="AO692" s="6" t="s">
        <v>1327</v>
      </c>
      <c r="AQ692" t="s">
        <v>2536</v>
      </c>
      <c r="AR692" t="s">
        <v>2531</v>
      </c>
    </row>
    <row r="693" spans="1:44" x14ac:dyDescent="0.3">
      <c r="A693">
        <v>3869</v>
      </c>
      <c r="B693">
        <v>4</v>
      </c>
      <c r="C693">
        <v>4012813</v>
      </c>
      <c r="D693">
        <v>12064</v>
      </c>
      <c r="E693">
        <v>2</v>
      </c>
      <c r="F693">
        <v>670050</v>
      </c>
      <c r="G693" t="s">
        <v>92</v>
      </c>
      <c r="H693" t="s">
        <v>65</v>
      </c>
      <c r="I693">
        <v>0</v>
      </c>
      <c r="J693" s="1">
        <v>403530.16700000002</v>
      </c>
      <c r="K693" s="1">
        <v>281286.19900000002</v>
      </c>
      <c r="L693" s="1">
        <v>403483.402</v>
      </c>
      <c r="M693" s="1">
        <v>281312.217</v>
      </c>
      <c r="N693" t="s">
        <v>40</v>
      </c>
      <c r="P693" t="s">
        <v>40</v>
      </c>
      <c r="Q693">
        <v>0</v>
      </c>
      <c r="R693">
        <v>0</v>
      </c>
      <c r="S693">
        <v>0</v>
      </c>
      <c r="T693">
        <v>7</v>
      </c>
      <c r="U693">
        <v>6</v>
      </c>
      <c r="V693">
        <v>1</v>
      </c>
      <c r="W693">
        <v>1</v>
      </c>
      <c r="X693" t="s">
        <v>40</v>
      </c>
      <c r="Y693">
        <v>3</v>
      </c>
      <c r="Z693">
        <v>256</v>
      </c>
      <c r="AA693">
        <v>18</v>
      </c>
      <c r="AB693">
        <v>0</v>
      </c>
      <c r="AC693">
        <v>478.89599999999996</v>
      </c>
      <c r="AD693">
        <v>5059</v>
      </c>
      <c r="AH693">
        <v>0</v>
      </c>
      <c r="AI693">
        <v>0</v>
      </c>
      <c r="AL693" t="s">
        <v>40</v>
      </c>
      <c r="AM693" t="str">
        <f t="shared" si="54"/>
        <v>256 18</v>
      </c>
      <c r="AN693" s="6" t="s">
        <v>1313</v>
      </c>
      <c r="AO693" s="6" t="s">
        <v>1329</v>
      </c>
      <c r="AQ693" t="s">
        <v>2522</v>
      </c>
      <c r="AR693" t="s">
        <v>2480</v>
      </c>
    </row>
    <row r="694" spans="1:44" x14ac:dyDescent="0.3">
      <c r="A694">
        <v>3869</v>
      </c>
      <c r="B694">
        <v>4</v>
      </c>
      <c r="C694">
        <v>4027950</v>
      </c>
      <c r="D694">
        <v>91280</v>
      </c>
      <c r="E694">
        <v>2</v>
      </c>
      <c r="F694">
        <v>670050</v>
      </c>
      <c r="G694" t="s">
        <v>92</v>
      </c>
      <c r="H694" t="s">
        <v>93</v>
      </c>
      <c r="I694">
        <v>0</v>
      </c>
      <c r="J694" s="1">
        <v>401576.07</v>
      </c>
      <c r="K694" s="1">
        <v>279381.28100000002</v>
      </c>
      <c r="L694" s="1">
        <v>401574.13900000002</v>
      </c>
      <c r="M694" s="1">
        <v>279382.43900000001</v>
      </c>
      <c r="N694" t="s">
        <v>40</v>
      </c>
      <c r="P694" t="s">
        <v>40</v>
      </c>
      <c r="Q694">
        <v>0</v>
      </c>
      <c r="R694">
        <v>0</v>
      </c>
      <c r="S694">
        <v>0</v>
      </c>
      <c r="T694">
        <v>6</v>
      </c>
      <c r="U694">
        <v>6</v>
      </c>
      <c r="V694">
        <v>1</v>
      </c>
      <c r="W694">
        <v>2</v>
      </c>
      <c r="X694" t="s">
        <v>40</v>
      </c>
      <c r="Y694">
        <v>3</v>
      </c>
      <c r="Z694">
        <v>38</v>
      </c>
      <c r="AA694">
        <v>5001</v>
      </c>
      <c r="AB694">
        <v>0</v>
      </c>
      <c r="AC694">
        <v>2.2519999999999998</v>
      </c>
      <c r="AD694">
        <v>5059</v>
      </c>
      <c r="AH694">
        <v>0</v>
      </c>
      <c r="AI694">
        <v>0</v>
      </c>
      <c r="AL694" t="s">
        <v>40</v>
      </c>
      <c r="AM694" t="str">
        <f t="shared" si="54"/>
        <v>38 5001</v>
      </c>
      <c r="AN694" t="str">
        <f t="shared" si="55"/>
        <v>401576.07,279381.281</v>
      </c>
      <c r="AO694" t="str">
        <f t="shared" si="56"/>
        <v>401574.139,279382.439</v>
      </c>
      <c r="AQ694" t="s">
        <v>2526</v>
      </c>
      <c r="AR694" t="s">
        <v>771</v>
      </c>
    </row>
    <row r="695" spans="1:44" x14ac:dyDescent="0.3">
      <c r="A695">
        <v>3869</v>
      </c>
      <c r="B695">
        <v>4</v>
      </c>
      <c r="C695">
        <v>4027995</v>
      </c>
      <c r="D695">
        <v>25095</v>
      </c>
      <c r="E695">
        <v>2</v>
      </c>
      <c r="F695">
        <v>670050</v>
      </c>
      <c r="G695" t="s">
        <v>92</v>
      </c>
      <c r="H695" t="s">
        <v>93</v>
      </c>
      <c r="I695">
        <v>0</v>
      </c>
      <c r="J695" s="1">
        <v>401309.08600000001</v>
      </c>
      <c r="K695" s="1">
        <v>279467.35100000002</v>
      </c>
      <c r="L695" s="1">
        <v>401269.47600000002</v>
      </c>
      <c r="M695" s="1">
        <v>279547.076</v>
      </c>
      <c r="N695" t="s">
        <v>40</v>
      </c>
      <c r="P695" t="s">
        <v>40</v>
      </c>
      <c r="Q695">
        <v>0</v>
      </c>
      <c r="R695">
        <v>0</v>
      </c>
      <c r="S695">
        <v>0</v>
      </c>
      <c r="T695">
        <v>6</v>
      </c>
      <c r="U695">
        <v>6</v>
      </c>
      <c r="V695">
        <v>1</v>
      </c>
      <c r="W695">
        <v>2</v>
      </c>
      <c r="X695" t="s">
        <v>40</v>
      </c>
      <c r="Y695">
        <v>3</v>
      </c>
      <c r="Z695">
        <v>86</v>
      </c>
      <c r="AA695">
        <v>1</v>
      </c>
      <c r="AB695">
        <v>0</v>
      </c>
      <c r="AC695">
        <v>579.73099999999999</v>
      </c>
      <c r="AD695">
        <v>5059</v>
      </c>
      <c r="AH695">
        <v>0</v>
      </c>
      <c r="AI695">
        <v>0</v>
      </c>
      <c r="AL695" t="s">
        <v>40</v>
      </c>
      <c r="AM695" t="str">
        <f t="shared" si="54"/>
        <v>86 1</v>
      </c>
      <c r="AN695" s="6" t="s">
        <v>1328</v>
      </c>
      <c r="AO695" s="6" t="s">
        <v>1721</v>
      </c>
      <c r="AQ695" t="s">
        <v>2537</v>
      </c>
      <c r="AR695" t="s">
        <v>2529</v>
      </c>
    </row>
    <row r="696" spans="1:44" x14ac:dyDescent="0.3">
      <c r="A696">
        <v>3869</v>
      </c>
      <c r="B696">
        <v>4</v>
      </c>
      <c r="C696">
        <v>4028053</v>
      </c>
      <c r="D696">
        <v>27324</v>
      </c>
      <c r="E696">
        <v>2</v>
      </c>
      <c r="F696">
        <v>670050</v>
      </c>
      <c r="G696" t="s">
        <v>92</v>
      </c>
      <c r="H696" t="s">
        <v>93</v>
      </c>
      <c r="I696">
        <v>0</v>
      </c>
      <c r="J696" s="1">
        <v>401940.17700000003</v>
      </c>
      <c r="K696" s="1">
        <v>279934.60700000002</v>
      </c>
      <c r="L696" s="1">
        <v>401890.05800000002</v>
      </c>
      <c r="M696" s="1">
        <v>279970.55300000001</v>
      </c>
      <c r="N696" t="s">
        <v>40</v>
      </c>
      <c r="P696" t="s">
        <v>40</v>
      </c>
      <c r="Q696">
        <v>0</v>
      </c>
      <c r="R696">
        <v>0</v>
      </c>
      <c r="S696">
        <v>200111</v>
      </c>
      <c r="T696">
        <v>6</v>
      </c>
      <c r="U696">
        <v>6</v>
      </c>
      <c r="V696">
        <v>1</v>
      </c>
      <c r="W696">
        <v>1</v>
      </c>
      <c r="X696" t="s">
        <v>40</v>
      </c>
      <c r="Y696">
        <v>3</v>
      </c>
      <c r="Z696">
        <v>5024</v>
      </c>
      <c r="AA696">
        <v>1</v>
      </c>
      <c r="AB696">
        <v>0</v>
      </c>
      <c r="AC696">
        <v>108.125</v>
      </c>
      <c r="AD696">
        <v>5059</v>
      </c>
      <c r="AH696">
        <v>0</v>
      </c>
      <c r="AI696">
        <v>0</v>
      </c>
      <c r="AL696" t="s">
        <v>40</v>
      </c>
      <c r="AM696" t="str">
        <f t="shared" si="54"/>
        <v>5024 1</v>
      </c>
      <c r="AN696" s="6" t="s">
        <v>1330</v>
      </c>
      <c r="AO696" s="6" t="s">
        <v>1321</v>
      </c>
      <c r="AQ696" t="s">
        <v>2506</v>
      </c>
      <c r="AR696" t="s">
        <v>2530</v>
      </c>
    </row>
    <row r="697" spans="1:44" x14ac:dyDescent="0.3">
      <c r="A697">
        <v>3869</v>
      </c>
      <c r="B697">
        <v>4</v>
      </c>
      <c r="C697">
        <v>4023319</v>
      </c>
      <c r="D697">
        <v>21310</v>
      </c>
      <c r="E697">
        <v>2</v>
      </c>
      <c r="F697">
        <v>670050</v>
      </c>
      <c r="G697" t="s">
        <v>92</v>
      </c>
      <c r="H697" t="s">
        <v>94</v>
      </c>
      <c r="I697">
        <v>0</v>
      </c>
      <c r="J697" s="1">
        <v>402105.10700000002</v>
      </c>
      <c r="K697" s="1">
        <v>279864.20899999997</v>
      </c>
      <c r="L697" s="1">
        <v>402130.04200000002</v>
      </c>
      <c r="M697" s="1">
        <v>279856.23499999999</v>
      </c>
      <c r="N697" t="s">
        <v>40</v>
      </c>
      <c r="P697" t="s">
        <v>40</v>
      </c>
      <c r="Q697">
        <v>0</v>
      </c>
      <c r="R697">
        <v>0</v>
      </c>
      <c r="S697">
        <v>200601</v>
      </c>
      <c r="T697">
        <v>6</v>
      </c>
      <c r="U697">
        <v>6</v>
      </c>
      <c r="V697">
        <v>1</v>
      </c>
      <c r="W697">
        <v>1</v>
      </c>
      <c r="X697" t="s">
        <v>40</v>
      </c>
      <c r="Y697">
        <v>3</v>
      </c>
      <c r="Z697">
        <v>36</v>
      </c>
      <c r="AA697">
        <v>1</v>
      </c>
      <c r="AB697">
        <v>0</v>
      </c>
      <c r="AC697">
        <v>27.911999999999999</v>
      </c>
      <c r="AD697">
        <v>5059</v>
      </c>
      <c r="AH697">
        <v>0</v>
      </c>
      <c r="AI697">
        <v>0</v>
      </c>
      <c r="AL697" t="s">
        <v>40</v>
      </c>
      <c r="AM697" t="str">
        <f t="shared" si="54"/>
        <v>36 1</v>
      </c>
      <c r="AN697" t="str">
        <f t="shared" si="55"/>
        <v>402105.107,279864.209</v>
      </c>
      <c r="AO697" t="str">
        <f t="shared" si="56"/>
        <v>402130.042,279856.235</v>
      </c>
      <c r="AQ697" t="s">
        <v>2536</v>
      </c>
      <c r="AR697" t="s">
        <v>2525</v>
      </c>
    </row>
    <row r="698" spans="1:44" x14ac:dyDescent="0.3">
      <c r="A698">
        <v>3869</v>
      </c>
      <c r="B698">
        <v>4</v>
      </c>
      <c r="C698">
        <v>4023314</v>
      </c>
      <c r="D698">
        <v>75012</v>
      </c>
      <c r="E698">
        <v>2</v>
      </c>
      <c r="F698">
        <v>670050</v>
      </c>
      <c r="G698" t="s">
        <v>92</v>
      </c>
      <c r="H698" t="s">
        <v>94</v>
      </c>
      <c r="I698">
        <v>0</v>
      </c>
      <c r="J698" s="1">
        <v>402157.86499999999</v>
      </c>
      <c r="K698" s="1">
        <v>279852.91600000003</v>
      </c>
      <c r="L698" s="1">
        <v>402192.10700000002</v>
      </c>
      <c r="M698" s="1">
        <v>279909.07500000001</v>
      </c>
      <c r="N698" t="s">
        <v>40</v>
      </c>
      <c r="P698" t="s">
        <v>40</v>
      </c>
      <c r="Q698">
        <v>0</v>
      </c>
      <c r="R698">
        <v>0</v>
      </c>
      <c r="S698">
        <v>0</v>
      </c>
      <c r="T698">
        <v>6</v>
      </c>
      <c r="U698">
        <v>6</v>
      </c>
      <c r="V698">
        <v>1</v>
      </c>
      <c r="W698">
        <v>1</v>
      </c>
      <c r="X698" t="s">
        <v>40</v>
      </c>
      <c r="Y698">
        <v>3</v>
      </c>
      <c r="Z698">
        <v>88</v>
      </c>
      <c r="AA698">
        <v>1</v>
      </c>
      <c r="AB698">
        <v>0</v>
      </c>
      <c r="AC698">
        <v>82.111000000000004</v>
      </c>
      <c r="AD698">
        <v>5059</v>
      </c>
      <c r="AH698">
        <v>0</v>
      </c>
      <c r="AI698">
        <v>0</v>
      </c>
      <c r="AL698" t="s">
        <v>40</v>
      </c>
      <c r="AM698" t="str">
        <f t="shared" si="54"/>
        <v>88 1</v>
      </c>
      <c r="AN698" t="str">
        <f t="shared" si="55"/>
        <v>402157.865,279852.916</v>
      </c>
      <c r="AO698" t="str">
        <f t="shared" si="56"/>
        <v>402192.107,279909.075</v>
      </c>
      <c r="AQ698" t="s">
        <v>1878</v>
      </c>
      <c r="AR698" t="s">
        <v>770</v>
      </c>
    </row>
    <row r="699" spans="1:44" x14ac:dyDescent="0.3">
      <c r="A699">
        <v>3869</v>
      </c>
      <c r="B699">
        <v>4</v>
      </c>
      <c r="C699">
        <v>4021262</v>
      </c>
      <c r="D699">
        <v>17496</v>
      </c>
      <c r="E699">
        <v>2</v>
      </c>
      <c r="F699">
        <v>670050</v>
      </c>
      <c r="G699" t="s">
        <v>92</v>
      </c>
      <c r="H699" t="s">
        <v>95</v>
      </c>
      <c r="I699">
        <v>0</v>
      </c>
      <c r="J699" s="1">
        <v>401600.66399999999</v>
      </c>
      <c r="K699" s="1">
        <v>280181.99699999997</v>
      </c>
      <c r="L699" s="1">
        <v>401442.88</v>
      </c>
      <c r="M699" s="1">
        <v>280074.08199999999</v>
      </c>
      <c r="N699" t="s">
        <v>40</v>
      </c>
      <c r="P699" t="s">
        <v>40</v>
      </c>
      <c r="Q699">
        <v>0</v>
      </c>
      <c r="R699">
        <v>0</v>
      </c>
      <c r="S699">
        <v>0</v>
      </c>
      <c r="T699">
        <v>6</v>
      </c>
      <c r="U699">
        <v>6</v>
      </c>
      <c r="V699">
        <v>1</v>
      </c>
      <c r="W699">
        <v>1</v>
      </c>
      <c r="X699" t="s">
        <v>40</v>
      </c>
      <c r="Y699">
        <v>3</v>
      </c>
      <c r="Z699">
        <v>52</v>
      </c>
      <c r="AA699">
        <v>1</v>
      </c>
      <c r="AB699">
        <v>0</v>
      </c>
      <c r="AC699">
        <v>842.68399999999997</v>
      </c>
      <c r="AD699">
        <v>5059</v>
      </c>
      <c r="AH699">
        <v>0</v>
      </c>
      <c r="AI699">
        <v>0</v>
      </c>
      <c r="AL699" t="s">
        <v>40</v>
      </c>
      <c r="AM699" t="str">
        <f t="shared" si="54"/>
        <v>52 1</v>
      </c>
      <c r="AN699" s="6" t="s">
        <v>1303</v>
      </c>
      <c r="AO699" s="6" t="s">
        <v>488</v>
      </c>
      <c r="AQ699" t="s">
        <v>2511</v>
      </c>
      <c r="AR699" t="s">
        <v>779</v>
      </c>
    </row>
    <row r="700" spans="1:44" x14ac:dyDescent="0.3">
      <c r="A700">
        <v>3869</v>
      </c>
      <c r="B700">
        <v>4</v>
      </c>
      <c r="C700">
        <v>4016315</v>
      </c>
      <c r="D700">
        <v>17073</v>
      </c>
      <c r="E700">
        <v>2</v>
      </c>
      <c r="F700">
        <v>670050</v>
      </c>
      <c r="G700" t="s">
        <v>97</v>
      </c>
      <c r="H700" t="s">
        <v>83</v>
      </c>
      <c r="I700">
        <v>0</v>
      </c>
      <c r="J700" s="1">
        <v>404786.88699999999</v>
      </c>
      <c r="K700" s="1">
        <v>279571.39600000001</v>
      </c>
      <c r="L700" s="1">
        <v>404894.27</v>
      </c>
      <c r="M700" s="1">
        <v>279474.26299999998</v>
      </c>
      <c r="N700" t="s">
        <v>40</v>
      </c>
      <c r="P700" t="s">
        <v>40</v>
      </c>
      <c r="Q700">
        <v>0</v>
      </c>
      <c r="R700">
        <v>0</v>
      </c>
      <c r="S700">
        <v>0</v>
      </c>
      <c r="T700">
        <v>6</v>
      </c>
      <c r="U700">
        <v>6</v>
      </c>
      <c r="V700">
        <v>1</v>
      </c>
      <c r="W700">
        <v>1</v>
      </c>
      <c r="X700" t="s">
        <v>40</v>
      </c>
      <c r="Y700">
        <v>3</v>
      </c>
      <c r="Z700">
        <v>54</v>
      </c>
      <c r="AA700">
        <v>1</v>
      </c>
      <c r="AB700">
        <v>0</v>
      </c>
      <c r="AC700">
        <v>223.04</v>
      </c>
      <c r="AD700">
        <v>5059</v>
      </c>
      <c r="AH700">
        <v>0</v>
      </c>
      <c r="AI700">
        <v>0</v>
      </c>
      <c r="AL700" t="s">
        <v>40</v>
      </c>
      <c r="AM700" t="str">
        <f t="shared" si="54"/>
        <v>54 1</v>
      </c>
      <c r="AN700" t="str">
        <f t="shared" si="55"/>
        <v>404786.887,279571.396</v>
      </c>
      <c r="AO700" t="str">
        <f t="shared" si="56"/>
        <v>404894.27,279474.263</v>
      </c>
      <c r="AQ700" t="s">
        <v>2538</v>
      </c>
      <c r="AR700" t="s">
        <v>2539</v>
      </c>
    </row>
    <row r="701" spans="1:44" x14ac:dyDescent="0.3">
      <c r="A701">
        <v>3869</v>
      </c>
      <c r="B701">
        <v>4</v>
      </c>
      <c r="C701">
        <v>4023489</v>
      </c>
      <c r="D701">
        <v>22867</v>
      </c>
      <c r="E701">
        <v>2</v>
      </c>
      <c r="F701">
        <v>670050</v>
      </c>
      <c r="G701" t="s">
        <v>97</v>
      </c>
      <c r="H701" t="s">
        <v>43</v>
      </c>
      <c r="I701">
        <v>0</v>
      </c>
      <c r="J701" s="1">
        <v>405026.56300000002</v>
      </c>
      <c r="K701" s="1">
        <v>280922.82500000001</v>
      </c>
      <c r="L701" s="1">
        <v>405000</v>
      </c>
      <c r="M701" s="1">
        <v>280905.70600000001</v>
      </c>
      <c r="N701" t="s">
        <v>40</v>
      </c>
      <c r="P701" t="s">
        <v>40</v>
      </c>
      <c r="Q701">
        <v>0</v>
      </c>
      <c r="R701">
        <v>0</v>
      </c>
      <c r="S701">
        <v>0</v>
      </c>
      <c r="T701">
        <v>6</v>
      </c>
      <c r="U701">
        <v>6</v>
      </c>
      <c r="V701">
        <v>1</v>
      </c>
      <c r="W701">
        <v>1</v>
      </c>
      <c r="X701" t="s">
        <v>40</v>
      </c>
      <c r="Y701">
        <v>3</v>
      </c>
      <c r="Z701">
        <v>95</v>
      </c>
      <c r="AA701">
        <v>1</v>
      </c>
      <c r="AB701">
        <v>0</v>
      </c>
      <c r="AC701">
        <v>112.777</v>
      </c>
      <c r="AD701">
        <v>5059</v>
      </c>
      <c r="AH701">
        <v>0</v>
      </c>
      <c r="AI701">
        <v>0</v>
      </c>
      <c r="AL701" t="s">
        <v>40</v>
      </c>
      <c r="AM701" t="str">
        <f t="shared" si="54"/>
        <v>95 1</v>
      </c>
      <c r="AN701" s="6" t="s">
        <v>1733</v>
      </c>
      <c r="AO701" s="6" t="s">
        <v>1334</v>
      </c>
      <c r="AQ701" t="s">
        <v>2540</v>
      </c>
      <c r="AR701" t="s">
        <v>2541</v>
      </c>
    </row>
    <row r="702" spans="1:44" x14ac:dyDescent="0.3">
      <c r="A702">
        <v>3869</v>
      </c>
      <c r="B702">
        <v>4</v>
      </c>
      <c r="C702">
        <v>4016271</v>
      </c>
      <c r="D702">
        <v>17056</v>
      </c>
      <c r="E702">
        <v>2</v>
      </c>
      <c r="F702">
        <v>670050</v>
      </c>
      <c r="G702" t="s">
        <v>97</v>
      </c>
      <c r="H702" t="s">
        <v>83</v>
      </c>
      <c r="I702">
        <v>0</v>
      </c>
      <c r="J702" s="1">
        <v>404814.853</v>
      </c>
      <c r="K702" s="1">
        <v>279798.61700000003</v>
      </c>
      <c r="L702" s="1">
        <v>404752.53100000002</v>
      </c>
      <c r="M702" s="1">
        <v>280000</v>
      </c>
      <c r="N702" t="s">
        <v>40</v>
      </c>
      <c r="P702" t="s">
        <v>40</v>
      </c>
      <c r="Q702">
        <v>0</v>
      </c>
      <c r="R702">
        <v>0</v>
      </c>
      <c r="S702">
        <v>0</v>
      </c>
      <c r="T702">
        <v>6</v>
      </c>
      <c r="U702">
        <v>6</v>
      </c>
      <c r="V702">
        <v>1</v>
      </c>
      <c r="W702">
        <v>1</v>
      </c>
      <c r="X702" t="s">
        <v>40</v>
      </c>
      <c r="Y702">
        <v>3</v>
      </c>
      <c r="Z702">
        <v>54</v>
      </c>
      <c r="AA702">
        <v>1</v>
      </c>
      <c r="AB702">
        <v>0</v>
      </c>
      <c r="AC702">
        <v>303.16699999999997</v>
      </c>
      <c r="AD702">
        <v>5059</v>
      </c>
      <c r="AH702">
        <v>0</v>
      </c>
      <c r="AI702">
        <v>0</v>
      </c>
      <c r="AL702" t="s">
        <v>40</v>
      </c>
      <c r="AM702" t="str">
        <f t="shared" si="54"/>
        <v>54 1</v>
      </c>
      <c r="AN702" s="6" t="s">
        <v>1338</v>
      </c>
      <c r="AO702" s="6" t="s">
        <v>1734</v>
      </c>
      <c r="AQ702" t="s">
        <v>2542</v>
      </c>
      <c r="AR702" t="s">
        <v>2543</v>
      </c>
    </row>
    <row r="703" spans="1:44" x14ac:dyDescent="0.3">
      <c r="A703">
        <v>3869</v>
      </c>
      <c r="B703">
        <v>4</v>
      </c>
      <c r="C703">
        <v>4016304</v>
      </c>
      <c r="D703">
        <v>15888</v>
      </c>
      <c r="E703">
        <v>2</v>
      </c>
      <c r="F703">
        <v>670050</v>
      </c>
      <c r="G703" t="s">
        <v>97</v>
      </c>
      <c r="H703" t="s">
        <v>83</v>
      </c>
      <c r="I703">
        <v>0</v>
      </c>
      <c r="J703" s="1">
        <v>404788.495</v>
      </c>
      <c r="K703" s="1">
        <v>279699.5</v>
      </c>
      <c r="L703" s="1">
        <v>404786.88699999999</v>
      </c>
      <c r="M703" s="1">
        <v>279571.39600000001</v>
      </c>
      <c r="N703" t="s">
        <v>40</v>
      </c>
      <c r="P703" t="s">
        <v>40</v>
      </c>
      <c r="Q703">
        <v>0</v>
      </c>
      <c r="R703">
        <v>0</v>
      </c>
      <c r="S703">
        <v>0</v>
      </c>
      <c r="T703">
        <v>6</v>
      </c>
      <c r="U703">
        <v>6</v>
      </c>
      <c r="V703">
        <v>1</v>
      </c>
      <c r="W703">
        <v>1</v>
      </c>
      <c r="X703" t="s">
        <v>40</v>
      </c>
      <c r="Y703">
        <v>3</v>
      </c>
      <c r="Z703">
        <v>92</v>
      </c>
      <c r="AA703">
        <v>1</v>
      </c>
      <c r="AB703">
        <v>0</v>
      </c>
      <c r="AC703">
        <v>182.32800000000003</v>
      </c>
      <c r="AD703">
        <v>5059</v>
      </c>
      <c r="AH703">
        <v>0</v>
      </c>
      <c r="AI703">
        <v>0</v>
      </c>
      <c r="AL703" t="s">
        <v>40</v>
      </c>
      <c r="AM703" t="str">
        <f t="shared" si="54"/>
        <v>92 1</v>
      </c>
      <c r="AN703" s="6" t="s">
        <v>1333</v>
      </c>
      <c r="AO703" s="6" t="s">
        <v>1336</v>
      </c>
      <c r="AQ703" t="s">
        <v>2538</v>
      </c>
      <c r="AR703" t="s">
        <v>2544</v>
      </c>
    </row>
    <row r="704" spans="1:44" x14ac:dyDescent="0.3">
      <c r="A704">
        <v>3869</v>
      </c>
      <c r="B704">
        <v>4</v>
      </c>
      <c r="C704">
        <v>4019266</v>
      </c>
      <c r="D704">
        <v>17584</v>
      </c>
      <c r="E704">
        <v>2</v>
      </c>
      <c r="F704">
        <v>670050</v>
      </c>
      <c r="G704" t="s">
        <v>97</v>
      </c>
      <c r="H704" t="s">
        <v>58</v>
      </c>
      <c r="I704">
        <v>0</v>
      </c>
      <c r="J704" s="1">
        <v>404876.20500000002</v>
      </c>
      <c r="K704" s="1">
        <v>280445.348</v>
      </c>
      <c r="L704" s="1">
        <v>404861.902</v>
      </c>
      <c r="M704" s="1">
        <v>280414.07799999998</v>
      </c>
      <c r="N704" t="s">
        <v>40</v>
      </c>
      <c r="P704" t="s">
        <v>40</v>
      </c>
      <c r="Q704">
        <v>0</v>
      </c>
      <c r="R704">
        <v>0</v>
      </c>
      <c r="S704">
        <v>0</v>
      </c>
      <c r="T704">
        <v>6</v>
      </c>
      <c r="U704">
        <v>6</v>
      </c>
      <c r="V704">
        <v>1</v>
      </c>
      <c r="W704">
        <v>1</v>
      </c>
      <c r="X704" t="s">
        <v>40</v>
      </c>
      <c r="Y704">
        <v>3</v>
      </c>
      <c r="Z704">
        <v>54</v>
      </c>
      <c r="AA704">
        <v>1</v>
      </c>
      <c r="AB704">
        <v>0</v>
      </c>
      <c r="AC704">
        <v>659.53</v>
      </c>
      <c r="AD704">
        <v>5059</v>
      </c>
      <c r="AH704">
        <v>0</v>
      </c>
      <c r="AI704">
        <v>0</v>
      </c>
      <c r="AL704" t="s">
        <v>40</v>
      </c>
      <c r="AM704" t="str">
        <f t="shared" si="54"/>
        <v>54 1</v>
      </c>
      <c r="AN704" s="6" t="s">
        <v>1341</v>
      </c>
      <c r="AO704" s="6" t="s">
        <v>1337</v>
      </c>
      <c r="AQ704" t="s">
        <v>2545</v>
      </c>
      <c r="AR704" t="s">
        <v>2546</v>
      </c>
    </row>
    <row r="705" spans="1:44" x14ac:dyDescent="0.3">
      <c r="A705">
        <v>3869</v>
      </c>
      <c r="B705">
        <v>4</v>
      </c>
      <c r="C705">
        <v>4016328</v>
      </c>
      <c r="D705">
        <v>37253</v>
      </c>
      <c r="E705">
        <v>2</v>
      </c>
      <c r="F705">
        <v>670050</v>
      </c>
      <c r="G705" t="s">
        <v>97</v>
      </c>
      <c r="H705" t="s">
        <v>83</v>
      </c>
      <c r="I705">
        <v>0</v>
      </c>
      <c r="J705" s="1">
        <v>404894.27</v>
      </c>
      <c r="K705" s="1">
        <v>279474.26299999998</v>
      </c>
      <c r="L705" s="1">
        <v>404899.49300000002</v>
      </c>
      <c r="M705" s="1">
        <v>279475.43199999997</v>
      </c>
      <c r="N705" t="s">
        <v>40</v>
      </c>
      <c r="P705" t="s">
        <v>40</v>
      </c>
      <c r="Q705">
        <v>0</v>
      </c>
      <c r="R705">
        <v>0</v>
      </c>
      <c r="S705">
        <v>0</v>
      </c>
      <c r="T705">
        <v>6</v>
      </c>
      <c r="U705">
        <v>6</v>
      </c>
      <c r="V705">
        <v>1</v>
      </c>
      <c r="W705">
        <v>1</v>
      </c>
      <c r="X705" t="s">
        <v>40</v>
      </c>
      <c r="Y705">
        <v>3</v>
      </c>
      <c r="Z705">
        <v>92</v>
      </c>
      <c r="AA705">
        <v>1</v>
      </c>
      <c r="AB705">
        <v>0</v>
      </c>
      <c r="AC705">
        <v>5.3659999999999997</v>
      </c>
      <c r="AD705">
        <v>5059</v>
      </c>
      <c r="AH705">
        <v>0</v>
      </c>
      <c r="AI705">
        <v>0</v>
      </c>
      <c r="AL705" t="s">
        <v>40</v>
      </c>
      <c r="AM705" t="str">
        <f t="shared" si="54"/>
        <v>92 1</v>
      </c>
      <c r="AN705" t="str">
        <f t="shared" si="55"/>
        <v>404894.27,279474.263</v>
      </c>
      <c r="AO705" t="str">
        <f t="shared" si="56"/>
        <v>404899.493,279475.432</v>
      </c>
      <c r="AQ705" t="s">
        <v>2539</v>
      </c>
      <c r="AR705" t="s">
        <v>670</v>
      </c>
    </row>
    <row r="706" spans="1:44" x14ac:dyDescent="0.3">
      <c r="A706">
        <v>3869</v>
      </c>
      <c r="B706">
        <v>4</v>
      </c>
      <c r="C706">
        <v>4016288</v>
      </c>
      <c r="D706">
        <v>16790</v>
      </c>
      <c r="E706">
        <v>2</v>
      </c>
      <c r="F706">
        <v>670050</v>
      </c>
      <c r="G706" t="s">
        <v>97</v>
      </c>
      <c r="H706" t="s">
        <v>83</v>
      </c>
      <c r="I706">
        <v>0</v>
      </c>
      <c r="J706" s="1">
        <v>404786.68699999998</v>
      </c>
      <c r="K706" s="1">
        <v>279740.25900000002</v>
      </c>
      <c r="L706" s="1">
        <v>404795.64399999997</v>
      </c>
      <c r="M706" s="1">
        <v>279754.27899999998</v>
      </c>
      <c r="N706" t="s">
        <v>40</v>
      </c>
      <c r="P706" t="s">
        <v>40</v>
      </c>
      <c r="Q706">
        <v>0</v>
      </c>
      <c r="R706">
        <v>0</v>
      </c>
      <c r="S706">
        <v>0</v>
      </c>
      <c r="T706">
        <v>6</v>
      </c>
      <c r="U706">
        <v>6</v>
      </c>
      <c r="V706">
        <v>1</v>
      </c>
      <c r="W706">
        <v>1</v>
      </c>
      <c r="X706" t="s">
        <v>40</v>
      </c>
      <c r="Y706">
        <v>3</v>
      </c>
      <c r="Z706">
        <v>40</v>
      </c>
      <c r="AA706">
        <v>1</v>
      </c>
      <c r="AB706">
        <v>0</v>
      </c>
      <c r="AC706">
        <v>17.427</v>
      </c>
      <c r="AD706">
        <v>5059</v>
      </c>
      <c r="AH706">
        <v>0</v>
      </c>
      <c r="AI706">
        <v>0</v>
      </c>
      <c r="AL706" t="s">
        <v>40</v>
      </c>
      <c r="AM706" t="str">
        <f t="shared" ref="AM706:AM744" si="57">_xlfn.CONCAT(Z706, " ",AA706)</f>
        <v>40 1</v>
      </c>
      <c r="AN706" t="str">
        <f t="shared" si="55"/>
        <v>404786.687,279740.259</v>
      </c>
      <c r="AO706" t="str">
        <f t="shared" si="56"/>
        <v>404795.644,279754.279</v>
      </c>
      <c r="AQ706" t="s">
        <v>2544</v>
      </c>
      <c r="AR706" t="s">
        <v>2542</v>
      </c>
    </row>
    <row r="707" spans="1:44" x14ac:dyDescent="0.3">
      <c r="A707">
        <v>3869</v>
      </c>
      <c r="B707">
        <v>4</v>
      </c>
      <c r="C707">
        <v>4019252</v>
      </c>
      <c r="D707">
        <v>17664</v>
      </c>
      <c r="E707">
        <v>2</v>
      </c>
      <c r="F707">
        <v>670050</v>
      </c>
      <c r="G707" t="s">
        <v>97</v>
      </c>
      <c r="H707" t="s">
        <v>58</v>
      </c>
      <c r="I707">
        <v>0</v>
      </c>
      <c r="J707" s="1">
        <v>404915.01799999998</v>
      </c>
      <c r="K707" s="1">
        <v>280604.03200000001</v>
      </c>
      <c r="L707" s="1">
        <v>404918.04599999997</v>
      </c>
      <c r="M707" s="1">
        <v>280629.978</v>
      </c>
      <c r="N707" t="s">
        <v>40</v>
      </c>
      <c r="P707" t="s">
        <v>40</v>
      </c>
      <c r="Q707">
        <v>0</v>
      </c>
      <c r="R707">
        <v>0</v>
      </c>
      <c r="S707">
        <v>0</v>
      </c>
      <c r="T707">
        <v>6</v>
      </c>
      <c r="U707">
        <v>6</v>
      </c>
      <c r="V707">
        <v>1</v>
      </c>
      <c r="W707">
        <v>1</v>
      </c>
      <c r="X707" t="s">
        <v>40</v>
      </c>
      <c r="Y707">
        <v>3</v>
      </c>
      <c r="Z707">
        <v>40</v>
      </c>
      <c r="AA707">
        <v>5001</v>
      </c>
      <c r="AB707">
        <v>0</v>
      </c>
      <c r="AC707">
        <v>26.122</v>
      </c>
      <c r="AD707">
        <v>5059</v>
      </c>
      <c r="AH707">
        <v>0</v>
      </c>
      <c r="AI707">
        <v>0</v>
      </c>
      <c r="AL707" t="s">
        <v>40</v>
      </c>
      <c r="AM707" t="str">
        <f t="shared" si="57"/>
        <v>40 5001</v>
      </c>
      <c r="AN707" t="str">
        <f t="shared" si="55"/>
        <v>404915.018,280604.032</v>
      </c>
      <c r="AO707" t="str">
        <f t="shared" si="56"/>
        <v>404918.046,280629.978</v>
      </c>
      <c r="AQ707" t="s">
        <v>2546</v>
      </c>
      <c r="AR707" t="s">
        <v>2547</v>
      </c>
    </row>
    <row r="708" spans="1:44" x14ac:dyDescent="0.3">
      <c r="A708">
        <v>3869</v>
      </c>
      <c r="B708">
        <v>4</v>
      </c>
      <c r="C708">
        <v>4019251</v>
      </c>
      <c r="D708">
        <v>17851</v>
      </c>
      <c r="E708">
        <v>2</v>
      </c>
      <c r="F708">
        <v>670050</v>
      </c>
      <c r="G708" t="s">
        <v>97</v>
      </c>
      <c r="H708" t="s">
        <v>58</v>
      </c>
      <c r="I708">
        <v>0</v>
      </c>
      <c r="J708" s="1">
        <v>404918.04599999997</v>
      </c>
      <c r="K708" s="1">
        <v>280629.978</v>
      </c>
      <c r="L708" s="1">
        <v>404944.88099999999</v>
      </c>
      <c r="M708" s="1">
        <v>280854.84499999997</v>
      </c>
      <c r="N708" t="s">
        <v>40</v>
      </c>
      <c r="P708" t="s">
        <v>40</v>
      </c>
      <c r="Q708">
        <v>0</v>
      </c>
      <c r="R708">
        <v>0</v>
      </c>
      <c r="S708">
        <v>0</v>
      </c>
      <c r="T708">
        <v>6</v>
      </c>
      <c r="U708">
        <v>6</v>
      </c>
      <c r="V708">
        <v>1</v>
      </c>
      <c r="W708">
        <v>1</v>
      </c>
      <c r="X708" t="s">
        <v>40</v>
      </c>
      <c r="Y708">
        <v>3</v>
      </c>
      <c r="Z708">
        <v>54</v>
      </c>
      <c r="AA708">
        <v>1</v>
      </c>
      <c r="AB708">
        <v>0</v>
      </c>
      <c r="AC708">
        <v>226.56800000000001</v>
      </c>
      <c r="AD708">
        <v>5059</v>
      </c>
      <c r="AH708">
        <v>0</v>
      </c>
      <c r="AI708">
        <v>0</v>
      </c>
      <c r="AL708" t="s">
        <v>40</v>
      </c>
      <c r="AM708" t="str">
        <f t="shared" si="57"/>
        <v>54 1</v>
      </c>
      <c r="AN708" t="str">
        <f t="shared" ref="AN708:AN745" si="58">ROUND(J708,3)&amp;","&amp;ROUND(K708,3)</f>
        <v>404918.046,280629.978</v>
      </c>
      <c r="AO708" t="str">
        <f t="shared" ref="AO708:AO745" si="59">ROUND(L708,3)&amp;","&amp;ROUND(M708,3)</f>
        <v>404944.881,280854.845</v>
      </c>
      <c r="AQ708" t="s">
        <v>2547</v>
      </c>
      <c r="AR708" t="s">
        <v>2540</v>
      </c>
    </row>
    <row r="709" spans="1:44" x14ac:dyDescent="0.3">
      <c r="A709">
        <v>3869</v>
      </c>
      <c r="B709">
        <v>4</v>
      </c>
      <c r="C709">
        <v>4023480</v>
      </c>
      <c r="D709">
        <v>23040</v>
      </c>
      <c r="E709">
        <v>2</v>
      </c>
      <c r="F709">
        <v>670050</v>
      </c>
      <c r="G709" t="s">
        <v>97</v>
      </c>
      <c r="H709" t="s">
        <v>43</v>
      </c>
      <c r="I709">
        <v>0</v>
      </c>
      <c r="J709" s="1">
        <v>405125.223</v>
      </c>
      <c r="K709" s="1">
        <v>280974.141</v>
      </c>
      <c r="L709" s="1">
        <v>405026.56300000002</v>
      </c>
      <c r="M709" s="1">
        <v>280922.82500000001</v>
      </c>
      <c r="N709" t="s">
        <v>40</v>
      </c>
      <c r="P709" t="s">
        <v>40</v>
      </c>
      <c r="Q709">
        <v>0</v>
      </c>
      <c r="R709">
        <v>0</v>
      </c>
      <c r="S709">
        <v>0</v>
      </c>
      <c r="T709">
        <v>6</v>
      </c>
      <c r="U709">
        <v>6</v>
      </c>
      <c r="V709">
        <v>1</v>
      </c>
      <c r="W709">
        <v>1</v>
      </c>
      <c r="X709" t="s">
        <v>40</v>
      </c>
      <c r="Y709">
        <v>3</v>
      </c>
      <c r="Z709">
        <v>95</v>
      </c>
      <c r="AA709">
        <v>99</v>
      </c>
      <c r="AB709">
        <v>0</v>
      </c>
      <c r="AC709">
        <v>117.773</v>
      </c>
      <c r="AD709">
        <v>5059</v>
      </c>
      <c r="AH709">
        <v>0</v>
      </c>
      <c r="AI709">
        <v>0</v>
      </c>
      <c r="AL709" t="s">
        <v>40</v>
      </c>
      <c r="AM709" t="str">
        <f t="shared" si="57"/>
        <v>95 99</v>
      </c>
      <c r="AN709" t="str">
        <f t="shared" si="58"/>
        <v>405125.223,280974.141</v>
      </c>
      <c r="AO709" t="str">
        <f t="shared" si="59"/>
        <v>405026.563,280922.825</v>
      </c>
      <c r="AQ709" t="s">
        <v>2548</v>
      </c>
      <c r="AR709" t="s">
        <v>2541</v>
      </c>
    </row>
    <row r="710" spans="1:44" x14ac:dyDescent="0.3">
      <c r="A710">
        <v>3869</v>
      </c>
      <c r="B710">
        <v>4</v>
      </c>
      <c r="C710">
        <v>4019291</v>
      </c>
      <c r="D710">
        <v>16871</v>
      </c>
      <c r="E710">
        <v>2</v>
      </c>
      <c r="F710">
        <v>670050</v>
      </c>
      <c r="G710" t="s">
        <v>97</v>
      </c>
      <c r="H710" t="s">
        <v>58</v>
      </c>
      <c r="I710">
        <v>0</v>
      </c>
      <c r="J710" s="1">
        <v>404738.56599999999</v>
      </c>
      <c r="K710" s="1">
        <v>280043.12</v>
      </c>
      <c r="L710" s="1">
        <v>404740.30099999998</v>
      </c>
      <c r="M710" s="1">
        <v>280037.76400000002</v>
      </c>
      <c r="N710" t="s">
        <v>40</v>
      </c>
      <c r="P710" t="s">
        <v>40</v>
      </c>
      <c r="Q710">
        <v>0</v>
      </c>
      <c r="R710">
        <v>0</v>
      </c>
      <c r="S710">
        <v>0</v>
      </c>
      <c r="T710">
        <v>6</v>
      </c>
      <c r="U710">
        <v>6</v>
      </c>
      <c r="V710">
        <v>1</v>
      </c>
      <c r="W710">
        <v>1</v>
      </c>
      <c r="X710" t="s">
        <v>40</v>
      </c>
      <c r="Y710">
        <v>3</v>
      </c>
      <c r="Z710">
        <v>40</v>
      </c>
      <c r="AA710">
        <v>1</v>
      </c>
      <c r="AB710">
        <v>0</v>
      </c>
      <c r="AC710">
        <v>5.63</v>
      </c>
      <c r="AD710">
        <v>5059</v>
      </c>
      <c r="AH710">
        <v>0</v>
      </c>
      <c r="AI710">
        <v>0</v>
      </c>
      <c r="AL710" t="s">
        <v>40</v>
      </c>
      <c r="AM710" t="str">
        <f t="shared" si="57"/>
        <v>40 1</v>
      </c>
      <c r="AN710" t="str">
        <f t="shared" si="58"/>
        <v>404738.566,280043.12</v>
      </c>
      <c r="AO710" t="str">
        <f t="shared" si="59"/>
        <v>404740.301,280037.764</v>
      </c>
      <c r="AQ710" t="s">
        <v>2545</v>
      </c>
      <c r="AR710" t="s">
        <v>2543</v>
      </c>
    </row>
    <row r="711" spans="1:44" x14ac:dyDescent="0.3">
      <c r="A711">
        <v>3869</v>
      </c>
      <c r="B711">
        <v>4</v>
      </c>
      <c r="C711">
        <v>4016345</v>
      </c>
      <c r="D711">
        <v>16879</v>
      </c>
      <c r="E711">
        <v>2</v>
      </c>
      <c r="F711">
        <v>670050</v>
      </c>
      <c r="G711" t="s">
        <v>98</v>
      </c>
      <c r="H711" t="s">
        <v>83</v>
      </c>
      <c r="I711">
        <v>0</v>
      </c>
      <c r="J711" s="1">
        <v>404793.76400000002</v>
      </c>
      <c r="K711" s="1">
        <v>279900.5</v>
      </c>
      <c r="L711" s="1">
        <v>404794.77399999998</v>
      </c>
      <c r="M711" s="1">
        <v>279898.06199999998</v>
      </c>
      <c r="N711" t="s">
        <v>40</v>
      </c>
      <c r="P711" t="s">
        <v>40</v>
      </c>
      <c r="Q711">
        <v>0</v>
      </c>
      <c r="R711">
        <v>0</v>
      </c>
      <c r="S711">
        <v>0</v>
      </c>
      <c r="T711">
        <v>6</v>
      </c>
      <c r="U711">
        <v>6</v>
      </c>
      <c r="V711">
        <v>1</v>
      </c>
      <c r="W711">
        <v>1</v>
      </c>
      <c r="X711" t="s">
        <v>40</v>
      </c>
      <c r="Y711">
        <v>3</v>
      </c>
      <c r="Z711">
        <v>38</v>
      </c>
      <c r="AA711">
        <v>1</v>
      </c>
      <c r="AB711">
        <v>0</v>
      </c>
      <c r="AC711">
        <v>2.6389999999999998</v>
      </c>
      <c r="AD711">
        <v>5059</v>
      </c>
      <c r="AH711">
        <v>0</v>
      </c>
      <c r="AI711">
        <v>0</v>
      </c>
      <c r="AL711" t="s">
        <v>40</v>
      </c>
      <c r="AM711" t="str">
        <f t="shared" si="57"/>
        <v>38 1</v>
      </c>
      <c r="AN711" t="str">
        <f t="shared" si="58"/>
        <v>404793.764,279900.5</v>
      </c>
      <c r="AO711" t="str">
        <f t="shared" si="59"/>
        <v>404794.774,279898.062</v>
      </c>
      <c r="AQ711" t="s">
        <v>2549</v>
      </c>
      <c r="AR711" t="s">
        <v>2550</v>
      </c>
    </row>
    <row r="712" spans="1:44" x14ac:dyDescent="0.3">
      <c r="A712">
        <v>3869</v>
      </c>
      <c r="B712">
        <v>4</v>
      </c>
      <c r="C712">
        <v>4019368</v>
      </c>
      <c r="D712">
        <v>17634</v>
      </c>
      <c r="E712">
        <v>2</v>
      </c>
      <c r="F712">
        <v>670050</v>
      </c>
      <c r="G712" t="s">
        <v>98</v>
      </c>
      <c r="H712" t="s">
        <v>58</v>
      </c>
      <c r="I712">
        <v>0</v>
      </c>
      <c r="J712" s="1">
        <v>404859.38699999999</v>
      </c>
      <c r="K712" s="1">
        <v>280408.29100000003</v>
      </c>
      <c r="L712" s="1">
        <v>404917.72899999999</v>
      </c>
      <c r="M712" s="1">
        <v>280623.76</v>
      </c>
      <c r="N712" t="s">
        <v>40</v>
      </c>
      <c r="P712" t="s">
        <v>40</v>
      </c>
      <c r="Q712">
        <v>0</v>
      </c>
      <c r="R712">
        <v>0</v>
      </c>
      <c r="S712">
        <v>0</v>
      </c>
      <c r="T712">
        <v>6</v>
      </c>
      <c r="U712">
        <v>6</v>
      </c>
      <c r="V712">
        <v>1</v>
      </c>
      <c r="W712">
        <v>1</v>
      </c>
      <c r="X712" t="s">
        <v>40</v>
      </c>
      <c r="Y712">
        <v>3</v>
      </c>
      <c r="Z712">
        <v>54</v>
      </c>
      <c r="AA712">
        <v>1</v>
      </c>
      <c r="AB712">
        <v>0</v>
      </c>
      <c r="AC712">
        <v>455.16199999999998</v>
      </c>
      <c r="AD712">
        <v>5059</v>
      </c>
      <c r="AH712">
        <v>0</v>
      </c>
      <c r="AI712">
        <v>0</v>
      </c>
      <c r="AL712" t="s">
        <v>40</v>
      </c>
      <c r="AM712" t="str">
        <f t="shared" si="57"/>
        <v>54 1</v>
      </c>
      <c r="AN712" s="6" t="s">
        <v>1745</v>
      </c>
      <c r="AO712" s="6" t="s">
        <v>1344</v>
      </c>
      <c r="AQ712" t="s">
        <v>2551</v>
      </c>
      <c r="AR712" t="s">
        <v>2552</v>
      </c>
    </row>
    <row r="713" spans="1:44" x14ac:dyDescent="0.3">
      <c r="A713">
        <v>3869</v>
      </c>
      <c r="B713">
        <v>4</v>
      </c>
      <c r="C713">
        <v>4019369</v>
      </c>
      <c r="D713">
        <v>17560</v>
      </c>
      <c r="E713">
        <v>2</v>
      </c>
      <c r="F713">
        <v>670050</v>
      </c>
      <c r="G713" t="s">
        <v>98</v>
      </c>
      <c r="H713" t="s">
        <v>58</v>
      </c>
      <c r="I713">
        <v>0</v>
      </c>
      <c r="J713" s="1">
        <v>404856.77799999999</v>
      </c>
      <c r="K713" s="1">
        <v>280403.49699999997</v>
      </c>
      <c r="L713" s="1">
        <v>404859.38699999999</v>
      </c>
      <c r="M713" s="1">
        <v>280408.29100000003</v>
      </c>
      <c r="N713" t="s">
        <v>40</v>
      </c>
      <c r="P713" t="s">
        <v>40</v>
      </c>
      <c r="Q713">
        <v>0</v>
      </c>
      <c r="R713">
        <v>0</v>
      </c>
      <c r="S713">
        <v>0</v>
      </c>
      <c r="T713">
        <v>6</v>
      </c>
      <c r="U713">
        <v>6</v>
      </c>
      <c r="V713">
        <v>1</v>
      </c>
      <c r="W713">
        <v>1</v>
      </c>
      <c r="X713" t="s">
        <v>40</v>
      </c>
      <c r="Y713">
        <v>3</v>
      </c>
      <c r="Z713">
        <v>40</v>
      </c>
      <c r="AA713">
        <v>5001</v>
      </c>
      <c r="AB713">
        <v>0</v>
      </c>
      <c r="AC713">
        <v>5.4580000000000002</v>
      </c>
      <c r="AD713">
        <v>5059</v>
      </c>
      <c r="AH713">
        <v>0</v>
      </c>
      <c r="AI713">
        <v>0</v>
      </c>
      <c r="AL713" t="s">
        <v>40</v>
      </c>
      <c r="AM713" t="str">
        <f t="shared" si="57"/>
        <v>40 5001</v>
      </c>
      <c r="AN713" t="str">
        <f t="shared" si="58"/>
        <v>404856.778,280403.497</v>
      </c>
      <c r="AO713" t="str">
        <f t="shared" si="59"/>
        <v>404859.387,280408.291</v>
      </c>
      <c r="AQ713" t="s">
        <v>2553</v>
      </c>
      <c r="AR713" t="s">
        <v>2552</v>
      </c>
    </row>
    <row r="714" spans="1:44" x14ac:dyDescent="0.3">
      <c r="A714">
        <v>3869</v>
      </c>
      <c r="B714">
        <v>4</v>
      </c>
      <c r="C714">
        <v>4019370</v>
      </c>
      <c r="D714">
        <v>19345</v>
      </c>
      <c r="E714">
        <v>2</v>
      </c>
      <c r="F714">
        <v>670050</v>
      </c>
      <c r="G714" t="s">
        <v>98</v>
      </c>
      <c r="H714" t="s">
        <v>58</v>
      </c>
      <c r="I714">
        <v>0</v>
      </c>
      <c r="J714" s="1">
        <v>404738.63900000002</v>
      </c>
      <c r="K714" s="1">
        <v>280045.49</v>
      </c>
      <c r="L714" s="1">
        <v>404856.77799999999</v>
      </c>
      <c r="M714" s="1">
        <v>280403.49699999997</v>
      </c>
      <c r="N714" t="s">
        <v>40</v>
      </c>
      <c r="P714" t="s">
        <v>40</v>
      </c>
      <c r="Q714">
        <v>0</v>
      </c>
      <c r="R714">
        <v>0</v>
      </c>
      <c r="S714">
        <v>0</v>
      </c>
      <c r="T714">
        <v>6</v>
      </c>
      <c r="U714">
        <v>6</v>
      </c>
      <c r="V714">
        <v>1</v>
      </c>
      <c r="W714">
        <v>1</v>
      </c>
      <c r="X714" t="s">
        <v>40</v>
      </c>
      <c r="Y714">
        <v>3</v>
      </c>
      <c r="Z714">
        <v>54</v>
      </c>
      <c r="AA714">
        <v>1</v>
      </c>
      <c r="AB714">
        <v>0</v>
      </c>
      <c r="AC714">
        <v>446.33100000000002</v>
      </c>
      <c r="AD714">
        <v>5059</v>
      </c>
      <c r="AH714">
        <v>0</v>
      </c>
      <c r="AI714">
        <v>0</v>
      </c>
      <c r="AL714" t="s">
        <v>40</v>
      </c>
      <c r="AM714" t="str">
        <f t="shared" si="57"/>
        <v>54 1</v>
      </c>
      <c r="AN714" t="str">
        <f t="shared" si="58"/>
        <v>404738.639,280045.49</v>
      </c>
      <c r="AO714" t="str">
        <f t="shared" si="59"/>
        <v>404856.778,280403.497</v>
      </c>
      <c r="AQ714" t="s">
        <v>2554</v>
      </c>
      <c r="AR714" t="s">
        <v>2553</v>
      </c>
    </row>
    <row r="715" spans="1:44" x14ac:dyDescent="0.3">
      <c r="A715">
        <v>3869</v>
      </c>
      <c r="B715">
        <v>4</v>
      </c>
      <c r="C715">
        <v>4023658</v>
      </c>
      <c r="D715">
        <v>21663</v>
      </c>
      <c r="E715">
        <v>2</v>
      </c>
      <c r="F715">
        <v>670050</v>
      </c>
      <c r="G715" t="s">
        <v>98</v>
      </c>
      <c r="H715" t="s">
        <v>43</v>
      </c>
      <c r="I715">
        <v>0</v>
      </c>
      <c r="J715" s="1">
        <v>405435.777</v>
      </c>
      <c r="K715" s="1">
        <v>280290.97899999999</v>
      </c>
      <c r="L715" s="1">
        <v>405450.663</v>
      </c>
      <c r="M715" s="1">
        <v>280313.38900000002</v>
      </c>
      <c r="N715" t="s">
        <v>40</v>
      </c>
      <c r="P715" t="s">
        <v>40</v>
      </c>
      <c r="Q715">
        <v>0</v>
      </c>
      <c r="R715">
        <v>0</v>
      </c>
      <c r="S715">
        <v>0</v>
      </c>
      <c r="T715">
        <v>6</v>
      </c>
      <c r="U715">
        <v>6</v>
      </c>
      <c r="V715">
        <v>1</v>
      </c>
      <c r="W715">
        <v>1</v>
      </c>
      <c r="X715" t="s">
        <v>40</v>
      </c>
      <c r="Y715">
        <v>3</v>
      </c>
      <c r="Z715">
        <v>38</v>
      </c>
      <c r="AA715">
        <v>5001</v>
      </c>
      <c r="AB715">
        <v>0</v>
      </c>
      <c r="AC715">
        <v>28.026</v>
      </c>
      <c r="AD715">
        <v>5059</v>
      </c>
      <c r="AH715">
        <v>0</v>
      </c>
      <c r="AI715">
        <v>0</v>
      </c>
      <c r="AL715" t="s">
        <v>40</v>
      </c>
      <c r="AM715" t="str">
        <f t="shared" si="57"/>
        <v>38 5001</v>
      </c>
      <c r="AN715" t="str">
        <f t="shared" si="58"/>
        <v>405435.777,280290.979</v>
      </c>
      <c r="AO715" t="str">
        <f t="shared" si="59"/>
        <v>405450.663,280313.389</v>
      </c>
      <c r="AQ715" t="s">
        <v>2555</v>
      </c>
      <c r="AR715" t="s">
        <v>2556</v>
      </c>
    </row>
    <row r="716" spans="1:44" x14ac:dyDescent="0.3">
      <c r="A716">
        <v>3869</v>
      </c>
      <c r="B716">
        <v>4</v>
      </c>
      <c r="C716">
        <v>4016346</v>
      </c>
      <c r="D716">
        <v>16923</v>
      </c>
      <c r="E716">
        <v>2</v>
      </c>
      <c r="F716">
        <v>670050</v>
      </c>
      <c r="G716" t="s">
        <v>98</v>
      </c>
      <c r="H716" t="s">
        <v>83</v>
      </c>
      <c r="I716">
        <v>0</v>
      </c>
      <c r="J716" s="1">
        <v>404811.69699999999</v>
      </c>
      <c r="K716" s="1">
        <v>279824.587</v>
      </c>
      <c r="L716" s="1">
        <v>404794.77399999998</v>
      </c>
      <c r="M716" s="1">
        <v>279898.06199999998</v>
      </c>
      <c r="N716" t="s">
        <v>40</v>
      </c>
      <c r="P716" t="s">
        <v>40</v>
      </c>
      <c r="Q716">
        <v>0</v>
      </c>
      <c r="R716">
        <v>0</v>
      </c>
      <c r="S716">
        <v>0</v>
      </c>
      <c r="T716">
        <v>6</v>
      </c>
      <c r="U716">
        <v>6</v>
      </c>
      <c r="V716">
        <v>1</v>
      </c>
      <c r="W716">
        <v>1</v>
      </c>
      <c r="X716" t="s">
        <v>40</v>
      </c>
      <c r="Y716">
        <v>3</v>
      </c>
      <c r="Z716">
        <v>54</v>
      </c>
      <c r="AA716">
        <v>1</v>
      </c>
      <c r="AB716">
        <v>0</v>
      </c>
      <c r="AC716">
        <v>76.245000000000005</v>
      </c>
      <c r="AD716">
        <v>5059</v>
      </c>
      <c r="AH716">
        <v>0</v>
      </c>
      <c r="AI716">
        <v>0</v>
      </c>
      <c r="AL716" t="s">
        <v>40</v>
      </c>
      <c r="AM716" t="str">
        <f t="shared" si="57"/>
        <v>54 1</v>
      </c>
      <c r="AN716" t="str">
        <f t="shared" si="58"/>
        <v>404811.697,279824.587</v>
      </c>
      <c r="AO716" t="str">
        <f t="shared" si="59"/>
        <v>404794.774,279898.062</v>
      </c>
      <c r="AQ716" t="s">
        <v>2557</v>
      </c>
      <c r="AR716" t="s">
        <v>2550</v>
      </c>
    </row>
    <row r="717" spans="1:44" x14ac:dyDescent="0.3">
      <c r="A717">
        <v>3869</v>
      </c>
      <c r="B717">
        <v>4</v>
      </c>
      <c r="C717">
        <v>4023629</v>
      </c>
      <c r="D717">
        <v>19776</v>
      </c>
      <c r="E717">
        <v>2</v>
      </c>
      <c r="F717">
        <v>670050</v>
      </c>
      <c r="G717" t="s">
        <v>98</v>
      </c>
      <c r="H717" t="s">
        <v>43</v>
      </c>
      <c r="I717">
        <v>0</v>
      </c>
      <c r="J717" s="1">
        <v>405495.315</v>
      </c>
      <c r="K717" s="1">
        <v>280033.60100000002</v>
      </c>
      <c r="L717" s="1">
        <v>405480.685</v>
      </c>
      <c r="M717" s="1">
        <v>280208.98300000001</v>
      </c>
      <c r="N717" t="s">
        <v>40</v>
      </c>
      <c r="P717" t="s">
        <v>40</v>
      </c>
      <c r="Q717">
        <v>0</v>
      </c>
      <c r="R717">
        <v>0</v>
      </c>
      <c r="S717">
        <v>0</v>
      </c>
      <c r="T717">
        <v>6</v>
      </c>
      <c r="U717">
        <v>6</v>
      </c>
      <c r="V717">
        <v>1</v>
      </c>
      <c r="W717">
        <v>1</v>
      </c>
      <c r="X717" t="s">
        <v>40</v>
      </c>
      <c r="Y717">
        <v>3</v>
      </c>
      <c r="Z717">
        <v>89</v>
      </c>
      <c r="AA717">
        <v>1</v>
      </c>
      <c r="AB717">
        <v>0</v>
      </c>
      <c r="AC717">
        <v>276.36</v>
      </c>
      <c r="AD717">
        <v>5059</v>
      </c>
      <c r="AH717">
        <v>0</v>
      </c>
      <c r="AI717">
        <v>0</v>
      </c>
      <c r="AL717" t="s">
        <v>40</v>
      </c>
      <c r="AM717" t="str">
        <f t="shared" si="57"/>
        <v>89 1</v>
      </c>
      <c r="AN717" s="6" t="s">
        <v>1353</v>
      </c>
      <c r="AO717" s="6" t="s">
        <v>1342</v>
      </c>
      <c r="AQ717" t="s">
        <v>2558</v>
      </c>
      <c r="AR717" t="s">
        <v>2555</v>
      </c>
    </row>
    <row r="718" spans="1:44" x14ac:dyDescent="0.3">
      <c r="A718">
        <v>3869</v>
      </c>
      <c r="B718">
        <v>4</v>
      </c>
      <c r="C718">
        <v>4019383</v>
      </c>
      <c r="D718">
        <v>16870</v>
      </c>
      <c r="E718">
        <v>2</v>
      </c>
      <c r="F718">
        <v>670050</v>
      </c>
      <c r="G718" t="s">
        <v>98</v>
      </c>
      <c r="H718" t="s">
        <v>58</v>
      </c>
      <c r="I718">
        <v>0</v>
      </c>
      <c r="J718" s="1">
        <v>404738.63900000002</v>
      </c>
      <c r="K718" s="1">
        <v>280045.49</v>
      </c>
      <c r="L718" s="1">
        <v>404741.04399999999</v>
      </c>
      <c r="M718" s="1">
        <v>280038.065</v>
      </c>
      <c r="N718" t="s">
        <v>40</v>
      </c>
      <c r="P718" t="s">
        <v>40</v>
      </c>
      <c r="Q718">
        <v>0</v>
      </c>
      <c r="R718">
        <v>0</v>
      </c>
      <c r="S718">
        <v>0</v>
      </c>
      <c r="T718">
        <v>6</v>
      </c>
      <c r="U718">
        <v>6</v>
      </c>
      <c r="V718">
        <v>1</v>
      </c>
      <c r="W718">
        <v>1</v>
      </c>
      <c r="X718" t="s">
        <v>40</v>
      </c>
      <c r="Y718">
        <v>3</v>
      </c>
      <c r="Z718">
        <v>40</v>
      </c>
      <c r="AA718">
        <v>1</v>
      </c>
      <c r="AB718">
        <v>0</v>
      </c>
      <c r="AC718">
        <v>7.8049999999999997</v>
      </c>
      <c r="AD718">
        <v>5059</v>
      </c>
      <c r="AH718">
        <v>0</v>
      </c>
      <c r="AI718">
        <v>0</v>
      </c>
      <c r="AL718" t="s">
        <v>40</v>
      </c>
      <c r="AM718" t="str">
        <f t="shared" si="57"/>
        <v>40 1</v>
      </c>
      <c r="AN718" t="str">
        <f t="shared" si="58"/>
        <v>404738.639,280045.49</v>
      </c>
      <c r="AO718" t="str">
        <f t="shared" si="59"/>
        <v>404741.044,280038.065</v>
      </c>
      <c r="AQ718" t="s">
        <v>2554</v>
      </c>
      <c r="AR718" t="s">
        <v>2559</v>
      </c>
    </row>
    <row r="719" spans="1:44" x14ac:dyDescent="0.3">
      <c r="A719">
        <v>3869</v>
      </c>
      <c r="B719">
        <v>4</v>
      </c>
      <c r="C719">
        <v>4016342</v>
      </c>
      <c r="D719">
        <v>17053</v>
      </c>
      <c r="E719">
        <v>2</v>
      </c>
      <c r="F719">
        <v>670050</v>
      </c>
      <c r="G719" t="s">
        <v>98</v>
      </c>
      <c r="H719" t="s">
        <v>83</v>
      </c>
      <c r="I719">
        <v>0</v>
      </c>
      <c r="J719" s="1">
        <v>404793.76400000002</v>
      </c>
      <c r="K719" s="1">
        <v>279900.5</v>
      </c>
      <c r="L719" s="1">
        <v>404753.37400000001</v>
      </c>
      <c r="M719" s="1">
        <v>280000</v>
      </c>
      <c r="N719" t="s">
        <v>40</v>
      </c>
      <c r="P719" t="s">
        <v>40</v>
      </c>
      <c r="Q719">
        <v>0</v>
      </c>
      <c r="R719">
        <v>0</v>
      </c>
      <c r="S719">
        <v>0</v>
      </c>
      <c r="T719">
        <v>6</v>
      </c>
      <c r="U719">
        <v>6</v>
      </c>
      <c r="V719">
        <v>1</v>
      </c>
      <c r="W719">
        <v>1</v>
      </c>
      <c r="X719" t="s">
        <v>40</v>
      </c>
      <c r="Y719">
        <v>3</v>
      </c>
      <c r="Z719">
        <v>54</v>
      </c>
      <c r="AA719">
        <v>1</v>
      </c>
      <c r="AB719">
        <v>0</v>
      </c>
      <c r="AC719">
        <v>148.88800000000001</v>
      </c>
      <c r="AD719">
        <v>5059</v>
      </c>
      <c r="AH719">
        <v>0</v>
      </c>
      <c r="AI719">
        <v>0</v>
      </c>
      <c r="AL719" t="s">
        <v>40</v>
      </c>
      <c r="AM719" t="str">
        <f t="shared" si="57"/>
        <v>54 1</v>
      </c>
      <c r="AN719" s="6" t="s">
        <v>1736</v>
      </c>
      <c r="AO719" s="6" t="s">
        <v>1343</v>
      </c>
      <c r="AQ719" t="s">
        <v>2559</v>
      </c>
      <c r="AR719" t="s">
        <v>2549</v>
      </c>
    </row>
    <row r="720" spans="1:44" x14ac:dyDescent="0.3">
      <c r="A720">
        <v>3869</v>
      </c>
      <c r="B720">
        <v>4</v>
      </c>
      <c r="C720">
        <v>4016381</v>
      </c>
      <c r="D720">
        <v>15855</v>
      </c>
      <c r="E720">
        <v>2</v>
      </c>
      <c r="F720">
        <v>670050</v>
      </c>
      <c r="G720" t="s">
        <v>98</v>
      </c>
      <c r="H720" t="s">
        <v>83</v>
      </c>
      <c r="I720">
        <v>0</v>
      </c>
      <c r="J720" s="1">
        <v>404766.56099999999</v>
      </c>
      <c r="K720" s="1">
        <v>279575.62199999997</v>
      </c>
      <c r="L720" s="1">
        <v>404811.08299999998</v>
      </c>
      <c r="M720" s="1">
        <v>279585.95799999998</v>
      </c>
      <c r="N720" t="s">
        <v>40</v>
      </c>
      <c r="P720" t="s">
        <v>40</v>
      </c>
      <c r="Q720">
        <v>0</v>
      </c>
      <c r="R720">
        <v>0</v>
      </c>
      <c r="S720">
        <v>0</v>
      </c>
      <c r="T720">
        <v>6</v>
      </c>
      <c r="U720">
        <v>6</v>
      </c>
      <c r="V720">
        <v>1</v>
      </c>
      <c r="W720">
        <v>1</v>
      </c>
      <c r="X720" t="s">
        <v>40</v>
      </c>
      <c r="Y720">
        <v>3</v>
      </c>
      <c r="Z720">
        <v>92</v>
      </c>
      <c r="AA720">
        <v>1</v>
      </c>
      <c r="AB720">
        <v>0</v>
      </c>
      <c r="AC720">
        <v>505.27799999999996</v>
      </c>
      <c r="AD720">
        <v>5059</v>
      </c>
      <c r="AH720">
        <v>0</v>
      </c>
      <c r="AI720">
        <v>0</v>
      </c>
      <c r="AL720" t="s">
        <v>40</v>
      </c>
      <c r="AM720" t="str">
        <f t="shared" si="57"/>
        <v>92 1</v>
      </c>
      <c r="AN720" s="6" t="s">
        <v>1354</v>
      </c>
      <c r="AO720" s="6" t="s">
        <v>1356</v>
      </c>
      <c r="AQ720" t="s">
        <v>2560</v>
      </c>
      <c r="AR720" t="s">
        <v>2561</v>
      </c>
    </row>
    <row r="721" spans="1:44" x14ac:dyDescent="0.3">
      <c r="A721">
        <v>3869</v>
      </c>
      <c r="B721">
        <v>4</v>
      </c>
      <c r="C721">
        <v>4016402</v>
      </c>
      <c r="D721">
        <v>14992</v>
      </c>
      <c r="E721">
        <v>2</v>
      </c>
      <c r="F721">
        <v>670050</v>
      </c>
      <c r="G721" t="s">
        <v>98</v>
      </c>
      <c r="H721" t="s">
        <v>83</v>
      </c>
      <c r="I721">
        <v>0</v>
      </c>
      <c r="J721" s="1">
        <v>404428.07900000003</v>
      </c>
      <c r="K721" s="1">
        <v>279347.46799999999</v>
      </c>
      <c r="L721" s="1">
        <v>404409.25199999998</v>
      </c>
      <c r="M721" s="1">
        <v>279337.55300000001</v>
      </c>
      <c r="N721" t="s">
        <v>40</v>
      </c>
      <c r="P721" t="s">
        <v>40</v>
      </c>
      <c r="Q721">
        <v>0</v>
      </c>
      <c r="R721">
        <v>0</v>
      </c>
      <c r="S721">
        <v>0</v>
      </c>
      <c r="T721">
        <v>6</v>
      </c>
      <c r="U721">
        <v>6</v>
      </c>
      <c r="V721">
        <v>1</v>
      </c>
      <c r="W721">
        <v>1</v>
      </c>
      <c r="X721" t="s">
        <v>40</v>
      </c>
      <c r="Y721">
        <v>3</v>
      </c>
      <c r="Z721">
        <v>5023</v>
      </c>
      <c r="AA721">
        <v>1</v>
      </c>
      <c r="AB721">
        <v>0</v>
      </c>
      <c r="AC721">
        <v>21.277999999999999</v>
      </c>
      <c r="AD721">
        <v>5059</v>
      </c>
      <c r="AH721">
        <v>0</v>
      </c>
      <c r="AI721">
        <v>0</v>
      </c>
      <c r="AL721" t="s">
        <v>40</v>
      </c>
      <c r="AM721" t="str">
        <f t="shared" si="57"/>
        <v>5023 1</v>
      </c>
      <c r="AN721" t="str">
        <f t="shared" si="58"/>
        <v>404428.079,279347.468</v>
      </c>
      <c r="AO721" t="str">
        <f t="shared" si="59"/>
        <v>404409.252,279337.553</v>
      </c>
      <c r="AQ721" t="s">
        <v>2562</v>
      </c>
      <c r="AR721" t="s">
        <v>2563</v>
      </c>
    </row>
    <row r="722" spans="1:44" x14ac:dyDescent="0.3">
      <c r="A722">
        <v>3869</v>
      </c>
      <c r="B722">
        <v>4</v>
      </c>
      <c r="C722">
        <v>4016403</v>
      </c>
      <c r="D722">
        <v>14964</v>
      </c>
      <c r="E722">
        <v>2</v>
      </c>
      <c r="F722">
        <v>670050</v>
      </c>
      <c r="G722" t="s">
        <v>98</v>
      </c>
      <c r="H722" t="s">
        <v>83</v>
      </c>
      <c r="I722">
        <v>0</v>
      </c>
      <c r="J722" s="1">
        <v>404409.25199999998</v>
      </c>
      <c r="K722" s="1">
        <v>279337.55300000001</v>
      </c>
      <c r="L722" s="1">
        <v>404387.18099999998</v>
      </c>
      <c r="M722" s="1">
        <v>279329.97499999998</v>
      </c>
      <c r="N722" t="s">
        <v>40</v>
      </c>
      <c r="P722" t="s">
        <v>40</v>
      </c>
      <c r="Q722">
        <v>0</v>
      </c>
      <c r="R722">
        <v>0</v>
      </c>
      <c r="S722">
        <v>0</v>
      </c>
      <c r="T722">
        <v>6</v>
      </c>
      <c r="U722">
        <v>6</v>
      </c>
      <c r="V722">
        <v>1</v>
      </c>
      <c r="W722">
        <v>1</v>
      </c>
      <c r="X722" t="s">
        <v>40</v>
      </c>
      <c r="Y722">
        <v>3</v>
      </c>
      <c r="Z722">
        <v>93</v>
      </c>
      <c r="AA722">
        <v>1</v>
      </c>
      <c r="AB722">
        <v>0</v>
      </c>
      <c r="AC722">
        <v>23.896000000000001</v>
      </c>
      <c r="AD722">
        <v>5059</v>
      </c>
      <c r="AH722">
        <v>0</v>
      </c>
      <c r="AI722">
        <v>0</v>
      </c>
      <c r="AL722" t="s">
        <v>40</v>
      </c>
      <c r="AM722" t="str">
        <f t="shared" si="57"/>
        <v>93 1</v>
      </c>
      <c r="AN722" t="str">
        <f t="shared" si="58"/>
        <v>404409.252,279337.553</v>
      </c>
      <c r="AO722" t="str">
        <f t="shared" si="59"/>
        <v>404387.181,279329.975</v>
      </c>
      <c r="AQ722" t="s">
        <v>2563</v>
      </c>
      <c r="AR722" t="s">
        <v>2564</v>
      </c>
    </row>
    <row r="723" spans="1:44" x14ac:dyDescent="0.3">
      <c r="A723">
        <v>3869</v>
      </c>
      <c r="B723">
        <v>4</v>
      </c>
      <c r="C723">
        <v>4016417</v>
      </c>
      <c r="D723">
        <v>15199</v>
      </c>
      <c r="E723">
        <v>2</v>
      </c>
      <c r="F723">
        <v>670050</v>
      </c>
      <c r="G723" t="s">
        <v>98</v>
      </c>
      <c r="H723" t="s">
        <v>83</v>
      </c>
      <c r="I723">
        <v>0</v>
      </c>
      <c r="J723" s="1">
        <v>404387.18099999998</v>
      </c>
      <c r="K723" s="1">
        <v>279329.97499999998</v>
      </c>
      <c r="L723" s="1">
        <v>404237.33100000001</v>
      </c>
      <c r="M723" s="1">
        <v>279302.08500000002</v>
      </c>
      <c r="N723" t="s">
        <v>40</v>
      </c>
      <c r="P723" t="s">
        <v>40</v>
      </c>
      <c r="Q723">
        <v>0</v>
      </c>
      <c r="R723">
        <v>0</v>
      </c>
      <c r="S723">
        <v>0</v>
      </c>
      <c r="T723">
        <v>6</v>
      </c>
      <c r="U723">
        <v>6</v>
      </c>
      <c r="V723">
        <v>1</v>
      </c>
      <c r="W723">
        <v>1</v>
      </c>
      <c r="X723" t="s">
        <v>40</v>
      </c>
      <c r="Y723">
        <v>3</v>
      </c>
      <c r="Z723">
        <v>92</v>
      </c>
      <c r="AA723">
        <v>1</v>
      </c>
      <c r="AB723">
        <v>0</v>
      </c>
      <c r="AC723">
        <v>160.53</v>
      </c>
      <c r="AD723">
        <v>5059</v>
      </c>
      <c r="AH723">
        <v>0</v>
      </c>
      <c r="AI723">
        <v>0</v>
      </c>
      <c r="AL723" t="s">
        <v>40</v>
      </c>
      <c r="AM723" t="str">
        <f t="shared" si="57"/>
        <v>92 1</v>
      </c>
      <c r="AN723" t="str">
        <f t="shared" si="58"/>
        <v>404387.181,279329.975</v>
      </c>
      <c r="AO723" t="str">
        <f t="shared" si="59"/>
        <v>404237.331,279302.085</v>
      </c>
      <c r="AQ723" t="s">
        <v>2564</v>
      </c>
      <c r="AR723" t="s">
        <v>2565</v>
      </c>
    </row>
    <row r="724" spans="1:44" x14ac:dyDescent="0.3">
      <c r="A724">
        <v>3869</v>
      </c>
      <c r="B724">
        <v>4</v>
      </c>
      <c r="C724">
        <v>4023627</v>
      </c>
      <c r="D724">
        <v>19748</v>
      </c>
      <c r="E724">
        <v>2</v>
      </c>
      <c r="F724">
        <v>670050</v>
      </c>
      <c r="G724" t="s">
        <v>98</v>
      </c>
      <c r="H724" t="s">
        <v>43</v>
      </c>
      <c r="I724">
        <v>0</v>
      </c>
      <c r="J724" s="1">
        <v>405494.91700000002</v>
      </c>
      <c r="K724" s="1">
        <v>280033.63699999999</v>
      </c>
      <c r="L724" s="1">
        <v>405495.076</v>
      </c>
      <c r="M724" s="1">
        <v>280031.52600000001</v>
      </c>
      <c r="N724" t="s">
        <v>40</v>
      </c>
      <c r="P724" t="s">
        <v>40</v>
      </c>
      <c r="Q724">
        <v>0</v>
      </c>
      <c r="R724">
        <v>0</v>
      </c>
      <c r="S724">
        <v>0</v>
      </c>
      <c r="T724">
        <v>6</v>
      </c>
      <c r="U724">
        <v>6</v>
      </c>
      <c r="V724">
        <v>1</v>
      </c>
      <c r="W724">
        <v>3</v>
      </c>
      <c r="X724" t="s">
        <v>40</v>
      </c>
      <c r="Y724">
        <v>3</v>
      </c>
      <c r="Z724">
        <v>36</v>
      </c>
      <c r="AA724">
        <v>5001</v>
      </c>
      <c r="AB724">
        <v>0</v>
      </c>
      <c r="AC724">
        <v>25.131999999999998</v>
      </c>
      <c r="AD724">
        <v>5059</v>
      </c>
      <c r="AH724">
        <v>0</v>
      </c>
      <c r="AI724">
        <v>0</v>
      </c>
      <c r="AL724" t="s">
        <v>40</v>
      </c>
      <c r="AM724" t="str">
        <f t="shared" si="57"/>
        <v>36 5001</v>
      </c>
      <c r="AN724" s="6" t="s">
        <v>1353</v>
      </c>
      <c r="AO724" s="6" t="s">
        <v>1352</v>
      </c>
      <c r="AQ724" t="s">
        <v>2558</v>
      </c>
      <c r="AR724" t="s">
        <v>2566</v>
      </c>
    </row>
    <row r="725" spans="1:44" x14ac:dyDescent="0.3">
      <c r="A725">
        <v>3869</v>
      </c>
      <c r="B725">
        <v>4</v>
      </c>
      <c r="C725">
        <v>4023620</v>
      </c>
      <c r="D725">
        <v>102544</v>
      </c>
      <c r="E725">
        <v>2</v>
      </c>
      <c r="F725">
        <v>670050</v>
      </c>
      <c r="G725" t="s">
        <v>98</v>
      </c>
      <c r="H725" t="s">
        <v>43</v>
      </c>
      <c r="I725">
        <v>0</v>
      </c>
      <c r="J725" s="1">
        <v>405509.76199999999</v>
      </c>
      <c r="K725" s="1">
        <v>280047.36499999999</v>
      </c>
      <c r="L725" s="1">
        <v>405548.02299999999</v>
      </c>
      <c r="M725" s="1">
        <v>280101.50599999999</v>
      </c>
      <c r="N725" t="s">
        <v>40</v>
      </c>
      <c r="P725" t="s">
        <v>40</v>
      </c>
      <c r="Q725">
        <v>0</v>
      </c>
      <c r="R725">
        <v>0</v>
      </c>
      <c r="S725">
        <v>0</v>
      </c>
      <c r="T725">
        <v>6</v>
      </c>
      <c r="U725">
        <v>6</v>
      </c>
      <c r="V725">
        <v>1</v>
      </c>
      <c r="W725">
        <v>3</v>
      </c>
      <c r="X725" t="s">
        <v>40</v>
      </c>
      <c r="Y725">
        <v>3</v>
      </c>
      <c r="Z725">
        <v>49</v>
      </c>
      <c r="AA725">
        <v>1</v>
      </c>
      <c r="AB725">
        <v>0</v>
      </c>
      <c r="AC725">
        <v>67.619</v>
      </c>
      <c r="AD725">
        <v>5059</v>
      </c>
      <c r="AH725">
        <v>0</v>
      </c>
      <c r="AI725">
        <v>0</v>
      </c>
      <c r="AL725" t="s">
        <v>40</v>
      </c>
      <c r="AM725" t="str">
        <f t="shared" si="57"/>
        <v>49 1</v>
      </c>
      <c r="AN725" t="str">
        <f t="shared" si="58"/>
        <v>405509.762,280047.365</v>
      </c>
      <c r="AO725" t="str">
        <f t="shared" si="59"/>
        <v>405548.023,280101.506</v>
      </c>
      <c r="AQ725" t="s">
        <v>2566</v>
      </c>
      <c r="AR725" t="s">
        <v>786</v>
      </c>
    </row>
    <row r="726" spans="1:44" x14ac:dyDescent="0.3">
      <c r="A726">
        <v>3869</v>
      </c>
      <c r="B726">
        <v>4</v>
      </c>
      <c r="C726">
        <v>4023612</v>
      </c>
      <c r="D726">
        <v>103</v>
      </c>
      <c r="E726">
        <v>2</v>
      </c>
      <c r="F726">
        <v>670050</v>
      </c>
      <c r="G726" t="s">
        <v>98</v>
      </c>
      <c r="H726" t="s">
        <v>43</v>
      </c>
      <c r="I726">
        <v>0</v>
      </c>
      <c r="J726" s="1">
        <v>405495.076</v>
      </c>
      <c r="K726" s="1">
        <v>280031.52600000001</v>
      </c>
      <c r="L726" s="1">
        <v>405497.45</v>
      </c>
      <c r="M726" s="1">
        <v>280000</v>
      </c>
      <c r="N726" t="s">
        <v>40</v>
      </c>
      <c r="P726" t="s">
        <v>40</v>
      </c>
      <c r="Q726">
        <v>0</v>
      </c>
      <c r="R726">
        <v>0</v>
      </c>
      <c r="S726">
        <v>0</v>
      </c>
      <c r="T726">
        <v>6</v>
      </c>
      <c r="U726">
        <v>6</v>
      </c>
      <c r="V726">
        <v>1</v>
      </c>
      <c r="W726">
        <v>1</v>
      </c>
      <c r="X726" t="s">
        <v>40</v>
      </c>
      <c r="Y726">
        <v>3</v>
      </c>
      <c r="Z726">
        <v>38</v>
      </c>
      <c r="AA726">
        <v>5001</v>
      </c>
      <c r="AB726">
        <v>0</v>
      </c>
      <c r="AC726">
        <v>200.678</v>
      </c>
      <c r="AD726">
        <v>5059</v>
      </c>
      <c r="AH726">
        <v>0</v>
      </c>
      <c r="AI726">
        <v>0</v>
      </c>
      <c r="AL726" t="s">
        <v>40</v>
      </c>
      <c r="AM726" t="str">
        <f t="shared" si="57"/>
        <v>38 5001</v>
      </c>
      <c r="AN726" s="6" t="s">
        <v>1369</v>
      </c>
      <c r="AO726" s="6" t="s">
        <v>1353</v>
      </c>
      <c r="AQ726" t="s">
        <v>2567</v>
      </c>
      <c r="AR726" t="s">
        <v>2558</v>
      </c>
    </row>
    <row r="727" spans="1:44" x14ac:dyDescent="0.3">
      <c r="A727">
        <v>3869</v>
      </c>
      <c r="B727">
        <v>4</v>
      </c>
      <c r="C727">
        <v>4016364</v>
      </c>
      <c r="D727">
        <v>16112</v>
      </c>
      <c r="E727">
        <v>2</v>
      </c>
      <c r="F727">
        <v>670050</v>
      </c>
      <c r="G727" t="s">
        <v>98</v>
      </c>
      <c r="H727" t="s">
        <v>83</v>
      </c>
      <c r="I727">
        <v>0</v>
      </c>
      <c r="J727" s="1">
        <v>404811.08299999998</v>
      </c>
      <c r="K727" s="1">
        <v>279585.95799999998</v>
      </c>
      <c r="L727" s="1">
        <v>404809.94300000003</v>
      </c>
      <c r="M727" s="1">
        <v>279646.75099999999</v>
      </c>
      <c r="N727" t="s">
        <v>40</v>
      </c>
      <c r="P727" t="s">
        <v>40</v>
      </c>
      <c r="Q727">
        <v>0</v>
      </c>
      <c r="R727">
        <v>0</v>
      </c>
      <c r="S727">
        <v>0</v>
      </c>
      <c r="T727">
        <v>6</v>
      </c>
      <c r="U727">
        <v>6</v>
      </c>
      <c r="V727">
        <v>1</v>
      </c>
      <c r="W727">
        <v>1</v>
      </c>
      <c r="X727" t="s">
        <v>40</v>
      </c>
      <c r="Y727">
        <v>3</v>
      </c>
      <c r="Z727">
        <v>40</v>
      </c>
      <c r="AA727">
        <v>1</v>
      </c>
      <c r="AB727">
        <v>0</v>
      </c>
      <c r="AC727">
        <v>60.912999999999997</v>
      </c>
      <c r="AD727">
        <v>5059</v>
      </c>
      <c r="AH727">
        <v>0</v>
      </c>
      <c r="AI727">
        <v>0</v>
      </c>
      <c r="AL727" t="s">
        <v>40</v>
      </c>
      <c r="AM727" t="str">
        <f t="shared" si="57"/>
        <v>40 1</v>
      </c>
      <c r="AN727" t="str">
        <f t="shared" si="58"/>
        <v>404811.083,279585.958</v>
      </c>
      <c r="AO727" t="str">
        <f t="shared" si="59"/>
        <v>404809.943,279646.751</v>
      </c>
      <c r="AQ727" t="s">
        <v>2560</v>
      </c>
      <c r="AR727" t="s">
        <v>2568</v>
      </c>
    </row>
    <row r="728" spans="1:44" x14ac:dyDescent="0.3">
      <c r="A728">
        <v>3869</v>
      </c>
      <c r="B728">
        <v>4</v>
      </c>
      <c r="C728">
        <v>4016361</v>
      </c>
      <c r="D728">
        <v>17069</v>
      </c>
      <c r="E728">
        <v>2</v>
      </c>
      <c r="F728">
        <v>670050</v>
      </c>
      <c r="G728" t="s">
        <v>98</v>
      </c>
      <c r="H728" t="s">
        <v>83</v>
      </c>
      <c r="I728">
        <v>0</v>
      </c>
      <c r="J728" s="1">
        <v>404811.69699999999</v>
      </c>
      <c r="K728" s="1">
        <v>279824.587</v>
      </c>
      <c r="L728" s="1">
        <v>404809.94300000003</v>
      </c>
      <c r="M728" s="1">
        <v>279646.75099999999</v>
      </c>
      <c r="N728" t="s">
        <v>40</v>
      </c>
      <c r="P728" t="s">
        <v>40</v>
      </c>
      <c r="Q728">
        <v>0</v>
      </c>
      <c r="R728">
        <v>0</v>
      </c>
      <c r="S728">
        <v>0</v>
      </c>
      <c r="T728">
        <v>6</v>
      </c>
      <c r="U728">
        <v>6</v>
      </c>
      <c r="V728">
        <v>1</v>
      </c>
      <c r="W728">
        <v>1</v>
      </c>
      <c r="X728" t="s">
        <v>40</v>
      </c>
      <c r="Y728">
        <v>3</v>
      </c>
      <c r="Z728">
        <v>89</v>
      </c>
      <c r="AA728">
        <v>1</v>
      </c>
      <c r="AB728">
        <v>0</v>
      </c>
      <c r="AC728">
        <v>220.09399999999999</v>
      </c>
      <c r="AD728">
        <v>5059</v>
      </c>
      <c r="AH728">
        <v>0</v>
      </c>
      <c r="AI728">
        <v>0</v>
      </c>
      <c r="AL728" t="s">
        <v>40</v>
      </c>
      <c r="AM728" t="str">
        <f t="shared" si="57"/>
        <v>89 1</v>
      </c>
      <c r="AN728" t="str">
        <f t="shared" si="58"/>
        <v>404811.697,279824.587</v>
      </c>
      <c r="AO728" t="str">
        <f t="shared" si="59"/>
        <v>404809.943,279646.751</v>
      </c>
      <c r="AQ728" t="s">
        <v>2557</v>
      </c>
      <c r="AR728" t="s">
        <v>2568</v>
      </c>
    </row>
    <row r="729" spans="1:44" x14ac:dyDescent="0.3">
      <c r="A729">
        <v>3869</v>
      </c>
      <c r="B729">
        <v>4</v>
      </c>
      <c r="C729">
        <v>4016401</v>
      </c>
      <c r="D729">
        <v>14988</v>
      </c>
      <c r="E729">
        <v>2</v>
      </c>
      <c r="F729">
        <v>670050</v>
      </c>
      <c r="G729" t="s">
        <v>98</v>
      </c>
      <c r="H729" t="s">
        <v>83</v>
      </c>
      <c r="I729">
        <v>0</v>
      </c>
      <c r="J729" s="1">
        <v>404450.08</v>
      </c>
      <c r="K729" s="1">
        <v>279359.35600000003</v>
      </c>
      <c r="L729" s="1">
        <v>404428.07900000003</v>
      </c>
      <c r="M729" s="1">
        <v>279347.46799999999</v>
      </c>
      <c r="N729" t="s">
        <v>40</v>
      </c>
      <c r="P729" t="s">
        <v>40</v>
      </c>
      <c r="Q729">
        <v>0</v>
      </c>
      <c r="R729">
        <v>0</v>
      </c>
      <c r="S729">
        <v>200902</v>
      </c>
      <c r="T729">
        <v>6</v>
      </c>
      <c r="U729">
        <v>6</v>
      </c>
      <c r="V729">
        <v>1</v>
      </c>
      <c r="W729">
        <v>1</v>
      </c>
      <c r="X729" t="s">
        <v>40</v>
      </c>
      <c r="Y729">
        <v>3</v>
      </c>
      <c r="Z729">
        <v>5028</v>
      </c>
      <c r="AA729">
        <v>1</v>
      </c>
      <c r="AB729">
        <v>0</v>
      </c>
      <c r="AC729">
        <v>25.007000000000001</v>
      </c>
      <c r="AD729">
        <v>5059</v>
      </c>
      <c r="AH729">
        <v>0</v>
      </c>
      <c r="AI729">
        <v>0</v>
      </c>
      <c r="AL729" t="s">
        <v>40</v>
      </c>
      <c r="AM729" t="str">
        <f t="shared" si="57"/>
        <v>5028 1</v>
      </c>
      <c r="AN729" t="str">
        <f t="shared" si="58"/>
        <v>404450.08,279359.356</v>
      </c>
      <c r="AO729" t="str">
        <f t="shared" si="59"/>
        <v>404428.079,279347.468</v>
      </c>
      <c r="AQ729" t="s">
        <v>2561</v>
      </c>
      <c r="AR729" t="s">
        <v>2562</v>
      </c>
    </row>
    <row r="730" spans="1:44" x14ac:dyDescent="0.3">
      <c r="A730">
        <v>3869</v>
      </c>
      <c r="B730">
        <v>4</v>
      </c>
      <c r="C730">
        <v>4023530</v>
      </c>
      <c r="D730">
        <v>22868</v>
      </c>
      <c r="E730">
        <v>2</v>
      </c>
      <c r="F730">
        <v>670050</v>
      </c>
      <c r="G730" t="s">
        <v>98</v>
      </c>
      <c r="H730" t="s">
        <v>43</v>
      </c>
      <c r="I730">
        <v>0</v>
      </c>
      <c r="J730" s="1">
        <v>405057.95</v>
      </c>
      <c r="K730" s="1">
        <v>280940.08199999999</v>
      </c>
      <c r="L730" s="1">
        <v>405000</v>
      </c>
      <c r="M730" s="1">
        <v>280905.29200000002</v>
      </c>
      <c r="N730" t="s">
        <v>40</v>
      </c>
      <c r="P730" t="s">
        <v>40</v>
      </c>
      <c r="Q730">
        <v>0</v>
      </c>
      <c r="R730">
        <v>0</v>
      </c>
      <c r="S730">
        <v>0</v>
      </c>
      <c r="T730">
        <v>6</v>
      </c>
      <c r="U730">
        <v>6</v>
      </c>
      <c r="V730">
        <v>1</v>
      </c>
      <c r="W730">
        <v>1</v>
      </c>
      <c r="X730" t="s">
        <v>40</v>
      </c>
      <c r="Y730">
        <v>3</v>
      </c>
      <c r="Z730">
        <v>95</v>
      </c>
      <c r="AA730">
        <v>1</v>
      </c>
      <c r="AB730">
        <v>0</v>
      </c>
      <c r="AC730">
        <v>218.94400000000002</v>
      </c>
      <c r="AD730">
        <v>5059</v>
      </c>
      <c r="AH730">
        <v>0</v>
      </c>
      <c r="AI730">
        <v>0</v>
      </c>
      <c r="AL730" t="s">
        <v>40</v>
      </c>
      <c r="AM730" t="str">
        <f t="shared" si="57"/>
        <v>95 1</v>
      </c>
      <c r="AN730" s="6" t="s">
        <v>1368</v>
      </c>
      <c r="AO730" s="6" t="s">
        <v>1745</v>
      </c>
      <c r="AQ730" t="s">
        <v>2569</v>
      </c>
      <c r="AR730" t="s">
        <v>2551</v>
      </c>
    </row>
    <row r="731" spans="1:44" x14ac:dyDescent="0.3">
      <c r="A731">
        <v>3869</v>
      </c>
      <c r="B731">
        <v>4</v>
      </c>
      <c r="C731">
        <v>4023549</v>
      </c>
      <c r="D731">
        <v>22354</v>
      </c>
      <c r="E731">
        <v>2</v>
      </c>
      <c r="F731">
        <v>670050</v>
      </c>
      <c r="G731" t="s">
        <v>98</v>
      </c>
      <c r="H731" t="s">
        <v>43</v>
      </c>
      <c r="I731">
        <v>0</v>
      </c>
      <c r="J731" s="1">
        <v>405428.81900000002</v>
      </c>
      <c r="K731" s="1">
        <v>280710.23100000003</v>
      </c>
      <c r="L731" s="1">
        <v>405430.69199999998</v>
      </c>
      <c r="M731" s="1">
        <v>280696.28499999997</v>
      </c>
      <c r="N731" t="s">
        <v>40</v>
      </c>
      <c r="P731" t="s">
        <v>40</v>
      </c>
      <c r="Q731">
        <v>0</v>
      </c>
      <c r="R731">
        <v>0</v>
      </c>
      <c r="S731">
        <v>0</v>
      </c>
      <c r="T731">
        <v>6</v>
      </c>
      <c r="U731">
        <v>6</v>
      </c>
      <c r="V731">
        <v>1</v>
      </c>
      <c r="W731">
        <v>2</v>
      </c>
      <c r="X731" t="s">
        <v>40</v>
      </c>
      <c r="Y731">
        <v>3</v>
      </c>
      <c r="Z731">
        <v>5024</v>
      </c>
      <c r="AA731">
        <v>1</v>
      </c>
      <c r="AB731">
        <v>0</v>
      </c>
      <c r="AC731">
        <v>14.074</v>
      </c>
      <c r="AD731">
        <v>5059</v>
      </c>
      <c r="AH731">
        <v>0</v>
      </c>
      <c r="AI731">
        <v>0</v>
      </c>
      <c r="AL731" t="s">
        <v>40</v>
      </c>
      <c r="AM731" t="str">
        <f t="shared" si="57"/>
        <v>5024 1</v>
      </c>
      <c r="AN731" t="str">
        <f t="shared" si="58"/>
        <v>405428.819,280710.231</v>
      </c>
      <c r="AO731" t="str">
        <f t="shared" si="59"/>
        <v>405430.692,280696.285</v>
      </c>
      <c r="AQ731" t="s">
        <v>2570</v>
      </c>
      <c r="AR731" t="s">
        <v>2571</v>
      </c>
    </row>
    <row r="732" spans="1:44" x14ac:dyDescent="0.3">
      <c r="A732">
        <v>3869</v>
      </c>
      <c r="B732">
        <v>4</v>
      </c>
      <c r="C732">
        <v>4016713</v>
      </c>
      <c r="D732">
        <v>43071</v>
      </c>
      <c r="E732">
        <v>2</v>
      </c>
      <c r="F732">
        <v>670050</v>
      </c>
      <c r="G732" t="s">
        <v>98</v>
      </c>
      <c r="H732" t="s">
        <v>83</v>
      </c>
      <c r="I732">
        <v>0</v>
      </c>
      <c r="J732" s="1">
        <v>404896.185</v>
      </c>
      <c r="K732" s="1">
        <v>279474.07500000001</v>
      </c>
      <c r="L732" s="1">
        <v>404899.84100000001</v>
      </c>
      <c r="M732" s="1">
        <v>279474.65600000002</v>
      </c>
      <c r="N732" t="s">
        <v>40</v>
      </c>
      <c r="P732" t="s">
        <v>40</v>
      </c>
      <c r="Q732">
        <v>0</v>
      </c>
      <c r="R732">
        <v>0</v>
      </c>
      <c r="S732">
        <v>0</v>
      </c>
      <c r="T732">
        <v>6</v>
      </c>
      <c r="U732">
        <v>6</v>
      </c>
      <c r="V732">
        <v>1</v>
      </c>
      <c r="W732">
        <v>1</v>
      </c>
      <c r="X732" t="s">
        <v>40</v>
      </c>
      <c r="Y732">
        <v>3</v>
      </c>
      <c r="Z732">
        <v>92</v>
      </c>
      <c r="AA732">
        <v>1</v>
      </c>
      <c r="AB732">
        <v>0</v>
      </c>
      <c r="AC732">
        <v>3.7149999999999999</v>
      </c>
      <c r="AD732">
        <v>5059</v>
      </c>
      <c r="AH732">
        <v>0</v>
      </c>
      <c r="AI732">
        <v>0</v>
      </c>
      <c r="AL732" t="s">
        <v>40</v>
      </c>
      <c r="AM732" t="str">
        <f t="shared" si="57"/>
        <v>92 1</v>
      </c>
      <c r="AN732" t="str">
        <f t="shared" si="58"/>
        <v>404896.185,279474.075</v>
      </c>
      <c r="AO732" t="str">
        <f t="shared" si="59"/>
        <v>404899.841,279474.656</v>
      </c>
      <c r="AQ732" t="s">
        <v>2572</v>
      </c>
      <c r="AR732" t="s">
        <v>782</v>
      </c>
    </row>
    <row r="733" spans="1:44" x14ac:dyDescent="0.3">
      <c r="A733">
        <v>3869</v>
      </c>
      <c r="B733">
        <v>4</v>
      </c>
      <c r="C733">
        <v>4016712</v>
      </c>
      <c r="D733">
        <v>43070</v>
      </c>
      <c r="E733">
        <v>2</v>
      </c>
      <c r="F733">
        <v>670050</v>
      </c>
      <c r="G733" t="s">
        <v>98</v>
      </c>
      <c r="H733" t="s">
        <v>83</v>
      </c>
      <c r="I733">
        <v>0</v>
      </c>
      <c r="J733" s="1">
        <v>404890.435</v>
      </c>
      <c r="K733" s="1">
        <v>279461.19799999997</v>
      </c>
      <c r="L733" s="1">
        <v>404899.61599999998</v>
      </c>
      <c r="M733" s="1">
        <v>279475.12099999998</v>
      </c>
      <c r="N733" t="s">
        <v>40</v>
      </c>
      <c r="P733" t="s">
        <v>40</v>
      </c>
      <c r="Q733">
        <v>0</v>
      </c>
      <c r="R733">
        <v>0</v>
      </c>
      <c r="S733">
        <v>0</v>
      </c>
      <c r="T733">
        <v>6</v>
      </c>
      <c r="U733">
        <v>6</v>
      </c>
      <c r="V733">
        <v>1</v>
      </c>
      <c r="W733">
        <v>2</v>
      </c>
      <c r="X733" t="s">
        <v>40</v>
      </c>
      <c r="Y733">
        <v>3</v>
      </c>
      <c r="Z733">
        <v>92</v>
      </c>
      <c r="AA733">
        <v>1</v>
      </c>
      <c r="AB733">
        <v>0</v>
      </c>
      <c r="AC733">
        <v>63.391000000000005</v>
      </c>
      <c r="AD733">
        <v>5059</v>
      </c>
      <c r="AH733">
        <v>0</v>
      </c>
      <c r="AI733">
        <v>0</v>
      </c>
      <c r="AL733" t="s">
        <v>40</v>
      </c>
      <c r="AM733" t="str">
        <f t="shared" si="57"/>
        <v>92 1</v>
      </c>
      <c r="AN733" s="6" t="s">
        <v>507</v>
      </c>
      <c r="AO733" s="6" t="s">
        <v>1364</v>
      </c>
      <c r="AQ733" t="s">
        <v>780</v>
      </c>
      <c r="AR733" t="s">
        <v>2573</v>
      </c>
    </row>
    <row r="734" spans="1:44" x14ac:dyDescent="0.3">
      <c r="A734">
        <v>3869</v>
      </c>
      <c r="B734">
        <v>4</v>
      </c>
      <c r="C734">
        <v>4016701</v>
      </c>
      <c r="D734">
        <v>15753</v>
      </c>
      <c r="E734">
        <v>2</v>
      </c>
      <c r="F734">
        <v>670050</v>
      </c>
      <c r="G734" t="s">
        <v>98</v>
      </c>
      <c r="H734" t="s">
        <v>83</v>
      </c>
      <c r="I734">
        <v>0</v>
      </c>
      <c r="J734" s="1">
        <v>404776.84700000001</v>
      </c>
      <c r="K734" s="1">
        <v>279436.40600000002</v>
      </c>
      <c r="L734" s="1">
        <v>404782.54300000001</v>
      </c>
      <c r="M734" s="1">
        <v>279432.49400000001</v>
      </c>
      <c r="N734" t="s">
        <v>40</v>
      </c>
      <c r="P734" t="s">
        <v>40</v>
      </c>
      <c r="Q734">
        <v>0</v>
      </c>
      <c r="R734">
        <v>0</v>
      </c>
      <c r="S734">
        <v>0</v>
      </c>
      <c r="T734">
        <v>6</v>
      </c>
      <c r="U734">
        <v>6</v>
      </c>
      <c r="V734">
        <v>1</v>
      </c>
      <c r="W734">
        <v>2</v>
      </c>
      <c r="X734" t="s">
        <v>40</v>
      </c>
      <c r="Y734">
        <v>3</v>
      </c>
      <c r="Z734">
        <v>89</v>
      </c>
      <c r="AA734">
        <v>1</v>
      </c>
      <c r="AB734">
        <v>0</v>
      </c>
      <c r="AC734">
        <v>285.00600000000003</v>
      </c>
      <c r="AD734">
        <v>5059</v>
      </c>
      <c r="AH734">
        <v>0</v>
      </c>
      <c r="AI734">
        <v>0</v>
      </c>
      <c r="AL734" t="s">
        <v>40</v>
      </c>
      <c r="AM734" t="str">
        <f t="shared" si="57"/>
        <v>89 1</v>
      </c>
      <c r="AN734" s="6" t="s">
        <v>1357</v>
      </c>
      <c r="AO734" s="6" t="s">
        <v>1739</v>
      </c>
      <c r="AQ734" t="s">
        <v>2574</v>
      </c>
      <c r="AR734" t="s">
        <v>2575</v>
      </c>
    </row>
    <row r="735" spans="1:44" x14ac:dyDescent="0.3">
      <c r="A735">
        <v>3869</v>
      </c>
      <c r="B735">
        <v>4</v>
      </c>
      <c r="C735">
        <v>4016693</v>
      </c>
      <c r="D735">
        <v>17076</v>
      </c>
      <c r="E735">
        <v>2</v>
      </c>
      <c r="F735">
        <v>670050</v>
      </c>
      <c r="G735" t="s">
        <v>98</v>
      </c>
      <c r="H735" t="s">
        <v>83</v>
      </c>
      <c r="I735">
        <v>0</v>
      </c>
      <c r="J735" s="1">
        <v>404787.565</v>
      </c>
      <c r="K735" s="1">
        <v>279701.766</v>
      </c>
      <c r="L735" s="1">
        <v>404837.45799999998</v>
      </c>
      <c r="M735" s="1">
        <v>279704.07299999997</v>
      </c>
      <c r="N735" t="s">
        <v>40</v>
      </c>
      <c r="P735" t="s">
        <v>40</v>
      </c>
      <c r="Q735">
        <v>0</v>
      </c>
      <c r="R735">
        <v>0</v>
      </c>
      <c r="S735">
        <v>0</v>
      </c>
      <c r="T735">
        <v>6</v>
      </c>
      <c r="U735">
        <v>6</v>
      </c>
      <c r="V735">
        <v>1</v>
      </c>
      <c r="W735">
        <v>2</v>
      </c>
      <c r="X735" t="s">
        <v>40</v>
      </c>
      <c r="Y735">
        <v>3</v>
      </c>
      <c r="Z735">
        <v>52</v>
      </c>
      <c r="AA735">
        <v>1</v>
      </c>
      <c r="AB735">
        <v>0</v>
      </c>
      <c r="AC735">
        <v>53.218000000000004</v>
      </c>
      <c r="AD735">
        <v>5059</v>
      </c>
      <c r="AH735">
        <v>0</v>
      </c>
      <c r="AI735">
        <v>0</v>
      </c>
      <c r="AL735" t="s">
        <v>40</v>
      </c>
      <c r="AM735" t="str">
        <f t="shared" si="57"/>
        <v>52 1</v>
      </c>
      <c r="AN735" t="str">
        <f t="shared" si="58"/>
        <v>404787.565,279701.766</v>
      </c>
      <c r="AO735" t="str">
        <f t="shared" si="59"/>
        <v>404837.458,279704.073</v>
      </c>
      <c r="AQ735" t="s">
        <v>2574</v>
      </c>
      <c r="AR735" t="s">
        <v>2576</v>
      </c>
    </row>
    <row r="736" spans="1:44" x14ac:dyDescent="0.3">
      <c r="A736">
        <v>3869</v>
      </c>
      <c r="B736">
        <v>4</v>
      </c>
      <c r="C736">
        <v>4016692</v>
      </c>
      <c r="D736">
        <v>125</v>
      </c>
      <c r="E736">
        <v>2</v>
      </c>
      <c r="F736">
        <v>670050</v>
      </c>
      <c r="G736" t="s">
        <v>98</v>
      </c>
      <c r="H736" t="s">
        <v>83</v>
      </c>
      <c r="I736">
        <v>0</v>
      </c>
      <c r="J736" s="1">
        <v>405000</v>
      </c>
      <c r="K736" s="1">
        <v>279849.10399999999</v>
      </c>
      <c r="L736" s="1">
        <v>404837.45799999998</v>
      </c>
      <c r="M736" s="1">
        <v>279704.07299999997</v>
      </c>
      <c r="N736" t="s">
        <v>40</v>
      </c>
      <c r="P736" t="s">
        <v>40</v>
      </c>
      <c r="Q736">
        <v>0</v>
      </c>
      <c r="R736">
        <v>0</v>
      </c>
      <c r="S736">
        <v>0</v>
      </c>
      <c r="T736">
        <v>6</v>
      </c>
      <c r="U736">
        <v>6</v>
      </c>
      <c r="V736">
        <v>1</v>
      </c>
      <c r="W736">
        <v>2</v>
      </c>
      <c r="X736" t="s">
        <v>40</v>
      </c>
      <c r="Y736">
        <v>3</v>
      </c>
      <c r="Z736">
        <v>89</v>
      </c>
      <c r="AA736">
        <v>1</v>
      </c>
      <c r="AB736">
        <v>0</v>
      </c>
      <c r="AC736">
        <v>1566.5970000000002</v>
      </c>
      <c r="AD736">
        <v>5059</v>
      </c>
      <c r="AH736">
        <v>0</v>
      </c>
      <c r="AI736">
        <v>0</v>
      </c>
      <c r="AL736" t="s">
        <v>40</v>
      </c>
      <c r="AM736" t="str">
        <f t="shared" si="57"/>
        <v>89 1</v>
      </c>
      <c r="AN736" s="6" t="s">
        <v>1740</v>
      </c>
      <c r="AO736" s="6" t="s">
        <v>1351</v>
      </c>
      <c r="AQ736" t="s">
        <v>2576</v>
      </c>
      <c r="AR736" t="s">
        <v>2571</v>
      </c>
    </row>
    <row r="737" spans="1:44" x14ac:dyDescent="0.3">
      <c r="A737">
        <v>3869</v>
      </c>
      <c r="B737">
        <v>4</v>
      </c>
      <c r="C737">
        <v>4016587</v>
      </c>
      <c r="D737">
        <v>16131</v>
      </c>
      <c r="E737">
        <v>2</v>
      </c>
      <c r="F737">
        <v>670050</v>
      </c>
      <c r="G737" t="s">
        <v>98</v>
      </c>
      <c r="H737" t="s">
        <v>83</v>
      </c>
      <c r="I737">
        <v>0</v>
      </c>
      <c r="J737" s="1">
        <v>404812.04599999997</v>
      </c>
      <c r="K737" s="1">
        <v>279561.22100000002</v>
      </c>
      <c r="L737" s="1">
        <v>404896.185</v>
      </c>
      <c r="M737" s="1">
        <v>279474.07500000001</v>
      </c>
      <c r="N737" t="s">
        <v>40</v>
      </c>
      <c r="P737" t="s">
        <v>40</v>
      </c>
      <c r="Q737">
        <v>0</v>
      </c>
      <c r="R737">
        <v>0</v>
      </c>
      <c r="S737">
        <v>0</v>
      </c>
      <c r="T737">
        <v>6</v>
      </c>
      <c r="U737">
        <v>6</v>
      </c>
      <c r="V737">
        <v>1</v>
      </c>
      <c r="W737">
        <v>1</v>
      </c>
      <c r="X737" t="s">
        <v>40</v>
      </c>
      <c r="Y737">
        <v>3</v>
      </c>
      <c r="Z737">
        <v>54</v>
      </c>
      <c r="AA737">
        <v>1</v>
      </c>
      <c r="AB737">
        <v>0</v>
      </c>
      <c r="AC737">
        <v>206.67499999999998</v>
      </c>
      <c r="AD737">
        <v>5059</v>
      </c>
      <c r="AH737">
        <v>0</v>
      </c>
      <c r="AI737">
        <v>0</v>
      </c>
      <c r="AL737" t="s">
        <v>40</v>
      </c>
      <c r="AM737" t="str">
        <f t="shared" si="57"/>
        <v>54 1</v>
      </c>
      <c r="AN737" s="6" t="s">
        <v>1359</v>
      </c>
      <c r="AO737" s="6" t="s">
        <v>1376</v>
      </c>
      <c r="AQ737" t="s">
        <v>2572</v>
      </c>
      <c r="AR737" t="s">
        <v>2577</v>
      </c>
    </row>
    <row r="738" spans="1:44" x14ac:dyDescent="0.3">
      <c r="A738">
        <v>3869</v>
      </c>
      <c r="B738">
        <v>4</v>
      </c>
      <c r="C738">
        <v>4016709</v>
      </c>
      <c r="D738">
        <v>16045</v>
      </c>
      <c r="E738">
        <v>2</v>
      </c>
      <c r="F738">
        <v>670050</v>
      </c>
      <c r="G738" t="s">
        <v>98</v>
      </c>
      <c r="H738" t="s">
        <v>83</v>
      </c>
      <c r="I738">
        <v>0</v>
      </c>
      <c r="J738" s="1">
        <v>404928.33899999998</v>
      </c>
      <c r="K738" s="1">
        <v>279351.45899999997</v>
      </c>
      <c r="L738" s="1">
        <v>404929.15700000001</v>
      </c>
      <c r="M738" s="1">
        <v>279354.89600000001</v>
      </c>
      <c r="N738" t="s">
        <v>40</v>
      </c>
      <c r="P738" t="s">
        <v>40</v>
      </c>
      <c r="Q738">
        <v>0</v>
      </c>
      <c r="R738">
        <v>0</v>
      </c>
      <c r="S738">
        <v>0</v>
      </c>
      <c r="T738">
        <v>6</v>
      </c>
      <c r="U738">
        <v>6</v>
      </c>
      <c r="V738">
        <v>1</v>
      </c>
      <c r="W738">
        <v>1</v>
      </c>
      <c r="X738" t="s">
        <v>40</v>
      </c>
      <c r="Y738">
        <v>3</v>
      </c>
      <c r="Z738">
        <v>5024</v>
      </c>
      <c r="AA738">
        <v>1</v>
      </c>
      <c r="AB738">
        <v>0</v>
      </c>
      <c r="AC738">
        <v>28.91</v>
      </c>
      <c r="AD738">
        <v>5059</v>
      </c>
      <c r="AH738">
        <v>0</v>
      </c>
      <c r="AI738">
        <v>0</v>
      </c>
      <c r="AL738" t="s">
        <v>40</v>
      </c>
      <c r="AM738" t="str">
        <f t="shared" si="57"/>
        <v>5024 1</v>
      </c>
      <c r="AN738" s="6" t="s">
        <v>1358</v>
      </c>
      <c r="AO738" s="6" t="s">
        <v>1371</v>
      </c>
      <c r="AQ738" t="s">
        <v>2578</v>
      </c>
      <c r="AR738" t="s">
        <v>2579</v>
      </c>
    </row>
    <row r="739" spans="1:44" x14ac:dyDescent="0.3">
      <c r="A739">
        <v>3869</v>
      </c>
      <c r="B739">
        <v>4</v>
      </c>
      <c r="C739">
        <v>4016779</v>
      </c>
      <c r="D739">
        <v>16021</v>
      </c>
      <c r="E739">
        <v>2</v>
      </c>
      <c r="F739">
        <v>670050</v>
      </c>
      <c r="G739" t="s">
        <v>98</v>
      </c>
      <c r="H739" t="s">
        <v>83</v>
      </c>
      <c r="I739">
        <v>0</v>
      </c>
      <c r="J739" s="1">
        <v>404866.59499999997</v>
      </c>
      <c r="K739" s="1">
        <v>279325.66700000002</v>
      </c>
      <c r="L739" s="1">
        <v>404876.56900000002</v>
      </c>
      <c r="M739" s="1">
        <v>279305.19</v>
      </c>
      <c r="N739" t="s">
        <v>40</v>
      </c>
      <c r="P739" t="s">
        <v>40</v>
      </c>
      <c r="Q739">
        <v>0</v>
      </c>
      <c r="R739">
        <v>0</v>
      </c>
      <c r="S739">
        <v>0</v>
      </c>
      <c r="T739">
        <v>6</v>
      </c>
      <c r="U739">
        <v>6</v>
      </c>
      <c r="V739">
        <v>1</v>
      </c>
      <c r="W739">
        <v>2</v>
      </c>
      <c r="X739" t="s">
        <v>40</v>
      </c>
      <c r="Y739">
        <v>3</v>
      </c>
      <c r="Z739">
        <v>38</v>
      </c>
      <c r="AA739">
        <v>1</v>
      </c>
      <c r="AB739">
        <v>0</v>
      </c>
      <c r="AC739">
        <v>23.523</v>
      </c>
      <c r="AD739">
        <v>5059</v>
      </c>
      <c r="AH739">
        <v>0</v>
      </c>
      <c r="AI739">
        <v>0</v>
      </c>
      <c r="AL739" t="s">
        <v>40</v>
      </c>
      <c r="AM739" t="str">
        <f t="shared" si="57"/>
        <v>38 1</v>
      </c>
      <c r="AN739" t="str">
        <f t="shared" si="58"/>
        <v>404866.595,279325.667</v>
      </c>
      <c r="AO739" t="str">
        <f t="shared" si="59"/>
        <v>404876.569,279305.19</v>
      </c>
      <c r="AQ739" t="s">
        <v>2580</v>
      </c>
      <c r="AR739" t="s">
        <v>2581</v>
      </c>
    </row>
    <row r="740" spans="1:44" x14ac:dyDescent="0.3">
      <c r="A740">
        <v>3869</v>
      </c>
      <c r="B740">
        <v>6</v>
      </c>
      <c r="C740">
        <v>4024661</v>
      </c>
      <c r="D740">
        <v>152940</v>
      </c>
      <c r="E740">
        <v>2</v>
      </c>
      <c r="F740">
        <v>670050</v>
      </c>
      <c r="G740" t="s">
        <v>98</v>
      </c>
      <c r="H740" t="s">
        <v>43</v>
      </c>
      <c r="I740">
        <v>0</v>
      </c>
      <c r="J740" s="1">
        <v>405420.50900000002</v>
      </c>
      <c r="K740" s="1">
        <v>280843.984</v>
      </c>
      <c r="L740" s="1">
        <v>405433.80200000003</v>
      </c>
      <c r="M740" s="1">
        <v>280845.67800000001</v>
      </c>
      <c r="N740" t="s">
        <v>40</v>
      </c>
      <c r="P740" t="s">
        <v>40</v>
      </c>
      <c r="Q740">
        <v>0</v>
      </c>
      <c r="R740">
        <v>0</v>
      </c>
      <c r="S740">
        <v>201209</v>
      </c>
      <c r="T740">
        <v>6</v>
      </c>
      <c r="U740">
        <v>6</v>
      </c>
      <c r="V740">
        <v>1</v>
      </c>
      <c r="W740">
        <v>2</v>
      </c>
      <c r="X740" t="s">
        <v>40</v>
      </c>
      <c r="Y740">
        <v>3</v>
      </c>
      <c r="Z740">
        <v>5028</v>
      </c>
      <c r="AA740">
        <v>1</v>
      </c>
      <c r="AB740">
        <v>0</v>
      </c>
      <c r="AC740">
        <v>13.4</v>
      </c>
      <c r="AD740">
        <v>8075</v>
      </c>
      <c r="AE740" t="s">
        <v>46</v>
      </c>
      <c r="AH740">
        <v>0</v>
      </c>
      <c r="AI740">
        <v>2</v>
      </c>
      <c r="AL740" t="s">
        <v>40</v>
      </c>
      <c r="AM740" t="str">
        <f t="shared" si="57"/>
        <v>5028 1</v>
      </c>
      <c r="AN740" t="str">
        <f t="shared" si="58"/>
        <v>405420.509,280843.984</v>
      </c>
      <c r="AO740" t="str">
        <f t="shared" si="59"/>
        <v>405433.802,280845.678</v>
      </c>
      <c r="AQ740" t="s">
        <v>2582</v>
      </c>
      <c r="AR740" t="s">
        <v>2583</v>
      </c>
    </row>
    <row r="741" spans="1:44" x14ac:dyDescent="0.3">
      <c r="A741">
        <v>3869</v>
      </c>
      <c r="B741">
        <v>4</v>
      </c>
      <c r="C741">
        <v>4024659</v>
      </c>
      <c r="D741">
        <v>148379</v>
      </c>
      <c r="E741">
        <v>2</v>
      </c>
      <c r="F741">
        <v>670050</v>
      </c>
      <c r="G741" t="s">
        <v>98</v>
      </c>
      <c r="H741" t="s">
        <v>43</v>
      </c>
      <c r="I741">
        <v>0</v>
      </c>
      <c r="J741" s="1">
        <v>405433.80200000003</v>
      </c>
      <c r="K741" s="1">
        <v>280845.67800000001</v>
      </c>
      <c r="L741" s="1">
        <v>405435.277</v>
      </c>
      <c r="M741" s="1">
        <v>280838.83</v>
      </c>
      <c r="N741" t="s">
        <v>40</v>
      </c>
      <c r="P741" t="s">
        <v>40</v>
      </c>
      <c r="Q741">
        <v>0</v>
      </c>
      <c r="R741">
        <v>0</v>
      </c>
      <c r="S741">
        <v>201209</v>
      </c>
      <c r="T741">
        <v>6</v>
      </c>
      <c r="U741">
        <v>6</v>
      </c>
      <c r="V741">
        <v>1</v>
      </c>
      <c r="W741">
        <v>2</v>
      </c>
      <c r="X741" t="s">
        <v>40</v>
      </c>
      <c r="Y741">
        <v>3</v>
      </c>
      <c r="Z741">
        <v>5028</v>
      </c>
      <c r="AA741">
        <v>99</v>
      </c>
      <c r="AB741">
        <v>0</v>
      </c>
      <c r="AC741">
        <v>7.3789999999999996</v>
      </c>
      <c r="AD741">
        <v>8022</v>
      </c>
      <c r="AE741" t="s">
        <v>100</v>
      </c>
      <c r="AH741">
        <v>0</v>
      </c>
      <c r="AI741">
        <v>0</v>
      </c>
      <c r="AL741" t="s">
        <v>40</v>
      </c>
      <c r="AM741" t="str">
        <f t="shared" si="57"/>
        <v>5028 99</v>
      </c>
      <c r="AN741" t="str">
        <f t="shared" si="58"/>
        <v>405433.802,280845.678</v>
      </c>
      <c r="AO741" t="str">
        <f t="shared" si="59"/>
        <v>405435.277,280838.83</v>
      </c>
      <c r="AQ741" t="s">
        <v>2583</v>
      </c>
      <c r="AR741" t="s">
        <v>2584</v>
      </c>
    </row>
    <row r="742" spans="1:44" x14ac:dyDescent="0.3">
      <c r="A742">
        <v>3869</v>
      </c>
      <c r="B742">
        <v>4</v>
      </c>
      <c r="C742">
        <v>4024649</v>
      </c>
      <c r="D742">
        <v>152929</v>
      </c>
      <c r="E742">
        <v>2</v>
      </c>
      <c r="F742">
        <v>670050</v>
      </c>
      <c r="G742" t="s">
        <v>98</v>
      </c>
      <c r="H742" t="s">
        <v>43</v>
      </c>
      <c r="I742">
        <v>0</v>
      </c>
      <c r="J742" s="1">
        <v>405412.94799999997</v>
      </c>
      <c r="K742" s="1">
        <v>280838.99699999997</v>
      </c>
      <c r="L742" s="1">
        <v>405420.50900000002</v>
      </c>
      <c r="M742" s="1">
        <v>280843.984</v>
      </c>
      <c r="N742" t="s">
        <v>40</v>
      </c>
      <c r="P742" t="s">
        <v>40</v>
      </c>
      <c r="Q742">
        <v>0</v>
      </c>
      <c r="R742">
        <v>0</v>
      </c>
      <c r="S742">
        <v>0</v>
      </c>
      <c r="T742">
        <v>6</v>
      </c>
      <c r="U742">
        <v>6</v>
      </c>
      <c r="V742">
        <v>1</v>
      </c>
      <c r="W742">
        <v>2</v>
      </c>
      <c r="X742" t="s">
        <v>40</v>
      </c>
      <c r="Y742">
        <v>3</v>
      </c>
      <c r="Z742">
        <v>89</v>
      </c>
      <c r="AA742">
        <v>1</v>
      </c>
      <c r="AB742">
        <v>0</v>
      </c>
      <c r="AC742">
        <v>140.97899999999998</v>
      </c>
      <c r="AD742">
        <v>5059</v>
      </c>
      <c r="AH742">
        <v>0</v>
      </c>
      <c r="AI742">
        <v>0</v>
      </c>
      <c r="AL742" t="s">
        <v>40</v>
      </c>
      <c r="AM742" t="str">
        <f t="shared" si="57"/>
        <v>89 1</v>
      </c>
      <c r="AN742" s="6" t="s">
        <v>1361</v>
      </c>
      <c r="AO742" s="6" t="s">
        <v>1355</v>
      </c>
      <c r="AQ742" t="s">
        <v>2582</v>
      </c>
      <c r="AR742" t="s">
        <v>2570</v>
      </c>
    </row>
    <row r="743" spans="1:44" x14ac:dyDescent="0.3">
      <c r="A743">
        <v>3869</v>
      </c>
      <c r="B743">
        <v>4</v>
      </c>
      <c r="C743">
        <v>4016764</v>
      </c>
      <c r="D743">
        <v>43069</v>
      </c>
      <c r="E743">
        <v>2</v>
      </c>
      <c r="F743">
        <v>670050</v>
      </c>
      <c r="G743" t="s">
        <v>98</v>
      </c>
      <c r="H743" t="s">
        <v>83</v>
      </c>
      <c r="I743">
        <v>0</v>
      </c>
      <c r="J743" s="1">
        <v>404890.52500000002</v>
      </c>
      <c r="K743" s="1">
        <v>279460.80599999998</v>
      </c>
      <c r="L743" s="1">
        <v>404900.12300000002</v>
      </c>
      <c r="M743" s="1">
        <v>279474.32500000001</v>
      </c>
      <c r="N743" t="s">
        <v>40</v>
      </c>
      <c r="P743" t="s">
        <v>40</v>
      </c>
      <c r="Q743">
        <v>0</v>
      </c>
      <c r="R743">
        <v>0</v>
      </c>
      <c r="S743">
        <v>0</v>
      </c>
      <c r="T743">
        <v>6</v>
      </c>
      <c r="U743">
        <v>6</v>
      </c>
      <c r="V743">
        <v>1</v>
      </c>
      <c r="W743">
        <v>1</v>
      </c>
      <c r="X743" t="s">
        <v>40</v>
      </c>
      <c r="Y743">
        <v>3</v>
      </c>
      <c r="Z743">
        <v>92</v>
      </c>
      <c r="AA743">
        <v>1</v>
      </c>
      <c r="AB743">
        <v>0</v>
      </c>
      <c r="AC743">
        <v>21.805</v>
      </c>
      <c r="AD743">
        <v>5059</v>
      </c>
      <c r="AH743">
        <v>0</v>
      </c>
      <c r="AI743">
        <v>0</v>
      </c>
      <c r="AL743" t="s">
        <v>40</v>
      </c>
      <c r="AM743" t="str">
        <f t="shared" si="57"/>
        <v>92 1</v>
      </c>
      <c r="AN743" t="str">
        <f t="shared" si="58"/>
        <v>404890.525,279460.806</v>
      </c>
      <c r="AO743" t="str">
        <f t="shared" si="59"/>
        <v>404900.123,279474.325</v>
      </c>
      <c r="AQ743" t="s">
        <v>2585</v>
      </c>
      <c r="AR743" t="s">
        <v>782</v>
      </c>
    </row>
    <row r="744" spans="1:44" x14ac:dyDescent="0.3">
      <c r="A744">
        <v>3869</v>
      </c>
      <c r="B744">
        <v>4</v>
      </c>
      <c r="C744">
        <v>4016766</v>
      </c>
      <c r="D744">
        <v>16067</v>
      </c>
      <c r="E744">
        <v>2</v>
      </c>
      <c r="F744">
        <v>670050</v>
      </c>
      <c r="G744" t="s">
        <v>98</v>
      </c>
      <c r="H744" t="s">
        <v>83</v>
      </c>
      <c r="I744">
        <v>0</v>
      </c>
      <c r="J744" s="1">
        <v>404885.59299999999</v>
      </c>
      <c r="K744" s="1">
        <v>279428.81599999999</v>
      </c>
      <c r="L744" s="1">
        <v>404889.038</v>
      </c>
      <c r="M744" s="1">
        <v>279430.84899999999</v>
      </c>
      <c r="N744" t="s">
        <v>40</v>
      </c>
      <c r="P744" t="s">
        <v>40</v>
      </c>
      <c r="Q744">
        <v>0</v>
      </c>
      <c r="R744">
        <v>0</v>
      </c>
      <c r="S744">
        <v>201103</v>
      </c>
      <c r="T744">
        <v>6</v>
      </c>
      <c r="U744">
        <v>6</v>
      </c>
      <c r="V744">
        <v>1</v>
      </c>
      <c r="W744">
        <v>2</v>
      </c>
      <c r="X744" t="s">
        <v>40</v>
      </c>
      <c r="Y744">
        <v>3</v>
      </c>
      <c r="Z744">
        <v>5028</v>
      </c>
      <c r="AA744">
        <v>1</v>
      </c>
      <c r="AB744">
        <v>0</v>
      </c>
      <c r="AC744">
        <v>4</v>
      </c>
      <c r="AD744">
        <v>5059</v>
      </c>
      <c r="AE744" t="s">
        <v>101</v>
      </c>
      <c r="AH744">
        <v>0</v>
      </c>
      <c r="AI744">
        <v>0</v>
      </c>
      <c r="AL744" t="s">
        <v>40</v>
      </c>
      <c r="AM744" t="str">
        <f t="shared" si="57"/>
        <v>5028 1</v>
      </c>
      <c r="AN744" t="str">
        <f t="shared" si="58"/>
        <v>404885.593,279428.816</v>
      </c>
      <c r="AO744" t="str">
        <f t="shared" si="59"/>
        <v>404889.038,279430.849</v>
      </c>
      <c r="AQ744" t="s">
        <v>2586</v>
      </c>
      <c r="AR744" t="s">
        <v>2573</v>
      </c>
    </row>
    <row r="745" spans="1:44" x14ac:dyDescent="0.3">
      <c r="A745">
        <v>3869</v>
      </c>
      <c r="B745">
        <v>4</v>
      </c>
      <c r="C745">
        <v>4016773</v>
      </c>
      <c r="D745">
        <v>16088</v>
      </c>
      <c r="E745">
        <v>2</v>
      </c>
      <c r="F745">
        <v>670050</v>
      </c>
      <c r="G745" t="s">
        <v>98</v>
      </c>
      <c r="H745" t="s">
        <v>83</v>
      </c>
      <c r="I745">
        <v>0</v>
      </c>
      <c r="J745" s="1">
        <v>404827.85200000001</v>
      </c>
      <c r="K745" s="1">
        <v>279398.17099999997</v>
      </c>
      <c r="L745" s="1">
        <v>404866.59499999997</v>
      </c>
      <c r="M745" s="1">
        <v>279325.66700000002</v>
      </c>
      <c r="N745" t="s">
        <v>40</v>
      </c>
      <c r="P745" t="s">
        <v>40</v>
      </c>
      <c r="Q745">
        <v>0</v>
      </c>
      <c r="R745">
        <v>0</v>
      </c>
      <c r="S745">
        <v>0</v>
      </c>
      <c r="T745">
        <v>6</v>
      </c>
      <c r="U745">
        <v>6</v>
      </c>
      <c r="V745">
        <v>1</v>
      </c>
      <c r="W745">
        <v>2</v>
      </c>
      <c r="X745" t="s">
        <v>40</v>
      </c>
      <c r="Y745">
        <v>3</v>
      </c>
      <c r="Z745">
        <v>52</v>
      </c>
      <c r="AA745">
        <v>1</v>
      </c>
      <c r="AB745">
        <v>0</v>
      </c>
      <c r="AC745">
        <v>82.244</v>
      </c>
      <c r="AD745">
        <v>5059</v>
      </c>
      <c r="AH745">
        <v>0</v>
      </c>
      <c r="AI745">
        <v>0</v>
      </c>
      <c r="AL745" t="s">
        <v>40</v>
      </c>
      <c r="AM745" t="str">
        <f t="shared" ref="AM745:AM776" si="60">_xlfn.CONCAT(Z745, " ",AA745)</f>
        <v>52 1</v>
      </c>
      <c r="AN745" t="str">
        <f t="shared" si="58"/>
        <v>404827.852,279398.171</v>
      </c>
      <c r="AO745" t="str">
        <f t="shared" si="59"/>
        <v>404866.595,279325.667</v>
      </c>
      <c r="AQ745" t="s">
        <v>2587</v>
      </c>
      <c r="AR745" t="s">
        <v>2580</v>
      </c>
    </row>
    <row r="746" spans="1:44" x14ac:dyDescent="0.3">
      <c r="A746">
        <v>3869</v>
      </c>
      <c r="B746">
        <v>4</v>
      </c>
      <c r="C746">
        <v>4016785</v>
      </c>
      <c r="D746">
        <v>14497</v>
      </c>
      <c r="E746">
        <v>2</v>
      </c>
      <c r="F746">
        <v>670050</v>
      </c>
      <c r="G746" t="s">
        <v>98</v>
      </c>
      <c r="H746" t="s">
        <v>83</v>
      </c>
      <c r="I746">
        <v>0</v>
      </c>
      <c r="J746" s="1">
        <v>404876.56900000002</v>
      </c>
      <c r="K746" s="1">
        <v>279305.19</v>
      </c>
      <c r="L746" s="1">
        <v>404928.94199999998</v>
      </c>
      <c r="M746" s="1">
        <v>279197.84899999999</v>
      </c>
      <c r="N746" t="s">
        <v>40</v>
      </c>
      <c r="P746" t="s">
        <v>40</v>
      </c>
      <c r="Q746">
        <v>0</v>
      </c>
      <c r="R746">
        <v>0</v>
      </c>
      <c r="S746">
        <v>0</v>
      </c>
      <c r="T746">
        <v>6</v>
      </c>
      <c r="U746">
        <v>6</v>
      </c>
      <c r="V746">
        <v>1</v>
      </c>
      <c r="W746">
        <v>2</v>
      </c>
      <c r="X746" t="s">
        <v>40</v>
      </c>
      <c r="Y746">
        <v>3</v>
      </c>
      <c r="Z746">
        <v>52</v>
      </c>
      <c r="AA746">
        <v>1</v>
      </c>
      <c r="AB746">
        <v>0</v>
      </c>
      <c r="AC746">
        <v>410.15700000000004</v>
      </c>
      <c r="AD746">
        <v>5059</v>
      </c>
      <c r="AH746">
        <v>0</v>
      </c>
      <c r="AI746">
        <v>0</v>
      </c>
      <c r="AL746" t="s">
        <v>40</v>
      </c>
      <c r="AM746" t="str">
        <f t="shared" si="60"/>
        <v>52 1</v>
      </c>
      <c r="AN746" s="6" t="s">
        <v>497</v>
      </c>
      <c r="AO746" s="6" t="s">
        <v>1367</v>
      </c>
      <c r="AQ746" t="s">
        <v>670</v>
      </c>
      <c r="AR746" t="s">
        <v>2581</v>
      </c>
    </row>
    <row r="747" spans="1:44" x14ac:dyDescent="0.3">
      <c r="A747">
        <v>3869</v>
      </c>
      <c r="B747">
        <v>4</v>
      </c>
      <c r="C747">
        <v>4023505</v>
      </c>
      <c r="D747">
        <v>22962</v>
      </c>
      <c r="E747">
        <v>2</v>
      </c>
      <c r="F747">
        <v>670050</v>
      </c>
      <c r="G747" t="s">
        <v>98</v>
      </c>
      <c r="H747" t="s">
        <v>43</v>
      </c>
      <c r="I747">
        <v>0</v>
      </c>
      <c r="J747" s="1">
        <v>405120.49599999998</v>
      </c>
      <c r="K747" s="1">
        <v>280963.587</v>
      </c>
      <c r="L747" s="1">
        <v>405125.62800000003</v>
      </c>
      <c r="M747" s="1">
        <v>280974.19099999999</v>
      </c>
      <c r="N747" t="s">
        <v>40</v>
      </c>
      <c r="P747" t="s">
        <v>40</v>
      </c>
      <c r="Q747">
        <v>0</v>
      </c>
      <c r="R747">
        <v>0</v>
      </c>
      <c r="S747">
        <v>0</v>
      </c>
      <c r="T747">
        <v>6</v>
      </c>
      <c r="U747">
        <v>6</v>
      </c>
      <c r="V747">
        <v>1</v>
      </c>
      <c r="W747">
        <v>1</v>
      </c>
      <c r="X747" t="s">
        <v>40</v>
      </c>
      <c r="Y747">
        <v>3</v>
      </c>
      <c r="Z747">
        <v>95</v>
      </c>
      <c r="AA747">
        <v>99</v>
      </c>
      <c r="AB747">
        <v>0</v>
      </c>
      <c r="AC747">
        <v>14.257999999999999</v>
      </c>
      <c r="AD747">
        <v>5059</v>
      </c>
      <c r="AH747">
        <v>0</v>
      </c>
      <c r="AI747">
        <v>0</v>
      </c>
      <c r="AL747" t="s">
        <v>40</v>
      </c>
      <c r="AM747" t="str">
        <f t="shared" si="60"/>
        <v>95 99</v>
      </c>
      <c r="AN747" t="str">
        <f t="shared" ref="AN747:AN778" si="61">ROUND(J747,3)&amp;","&amp;ROUND(K747,3)</f>
        <v>405120.496,280963.587</v>
      </c>
      <c r="AO747" t="str">
        <f t="shared" ref="AO747:AO778" si="62">ROUND(L747,3)&amp;","&amp;ROUND(M747,3)</f>
        <v>405125.628,280974.191</v>
      </c>
      <c r="AQ747" t="s">
        <v>2569</v>
      </c>
      <c r="AR747" t="s">
        <v>1962</v>
      </c>
    </row>
    <row r="748" spans="1:44" x14ac:dyDescent="0.3">
      <c r="A748">
        <v>3869</v>
      </c>
      <c r="B748">
        <v>4</v>
      </c>
      <c r="C748">
        <v>4016767</v>
      </c>
      <c r="D748">
        <v>16079</v>
      </c>
      <c r="E748">
        <v>2</v>
      </c>
      <c r="F748">
        <v>670050</v>
      </c>
      <c r="G748" t="s">
        <v>98</v>
      </c>
      <c r="H748" t="s">
        <v>83</v>
      </c>
      <c r="I748">
        <v>0</v>
      </c>
      <c r="J748" s="1">
        <v>404827.85200000001</v>
      </c>
      <c r="K748" s="1">
        <v>279398.17099999997</v>
      </c>
      <c r="L748" s="1">
        <v>404885.59299999999</v>
      </c>
      <c r="M748" s="1">
        <v>279428.81599999999</v>
      </c>
      <c r="N748" t="s">
        <v>40</v>
      </c>
      <c r="P748" t="s">
        <v>40</v>
      </c>
      <c r="Q748">
        <v>0</v>
      </c>
      <c r="R748">
        <v>0</v>
      </c>
      <c r="S748">
        <v>0</v>
      </c>
      <c r="T748">
        <v>6</v>
      </c>
      <c r="U748">
        <v>6</v>
      </c>
      <c r="V748">
        <v>1</v>
      </c>
      <c r="W748">
        <v>2</v>
      </c>
      <c r="X748" t="s">
        <v>40</v>
      </c>
      <c r="Y748">
        <v>3</v>
      </c>
      <c r="Z748">
        <v>92</v>
      </c>
      <c r="AA748">
        <v>1</v>
      </c>
      <c r="AB748">
        <v>0</v>
      </c>
      <c r="AC748">
        <v>67.599000000000004</v>
      </c>
      <c r="AD748">
        <v>5059</v>
      </c>
      <c r="AH748">
        <v>0</v>
      </c>
      <c r="AI748">
        <v>0</v>
      </c>
      <c r="AL748" t="s">
        <v>40</v>
      </c>
      <c r="AM748" t="str">
        <f t="shared" si="60"/>
        <v>92 1</v>
      </c>
      <c r="AN748" t="str">
        <f t="shared" si="61"/>
        <v>404827.852,279398.171</v>
      </c>
      <c r="AO748" t="str">
        <f t="shared" si="62"/>
        <v>404885.593,279428.816</v>
      </c>
      <c r="AQ748" t="s">
        <v>2587</v>
      </c>
      <c r="AR748" t="s">
        <v>2586</v>
      </c>
    </row>
    <row r="749" spans="1:44" x14ac:dyDescent="0.3">
      <c r="A749">
        <v>3869</v>
      </c>
      <c r="B749">
        <v>4</v>
      </c>
      <c r="C749">
        <v>4012030</v>
      </c>
      <c r="D749">
        <v>10819</v>
      </c>
      <c r="E749">
        <v>2</v>
      </c>
      <c r="F749">
        <v>670050</v>
      </c>
      <c r="G749" t="s">
        <v>98</v>
      </c>
      <c r="H749" t="s">
        <v>45</v>
      </c>
      <c r="I749">
        <v>0</v>
      </c>
      <c r="J749" s="1">
        <v>405512.011</v>
      </c>
      <c r="K749" s="1">
        <v>279850.89399999997</v>
      </c>
      <c r="L749" s="1">
        <v>405518.74699999997</v>
      </c>
      <c r="M749" s="1">
        <v>279825.60499999998</v>
      </c>
      <c r="N749" t="s">
        <v>40</v>
      </c>
      <c r="P749" t="s">
        <v>40</v>
      </c>
      <c r="Q749">
        <v>0</v>
      </c>
      <c r="R749">
        <v>0</v>
      </c>
      <c r="S749">
        <v>0</v>
      </c>
      <c r="T749">
        <v>6</v>
      </c>
      <c r="U749">
        <v>6</v>
      </c>
      <c r="V749">
        <v>1</v>
      </c>
      <c r="W749">
        <v>1</v>
      </c>
      <c r="X749" t="s">
        <v>40</v>
      </c>
      <c r="Y749">
        <v>3</v>
      </c>
      <c r="Z749">
        <v>38</v>
      </c>
      <c r="AA749">
        <v>1</v>
      </c>
      <c r="AB749">
        <v>0</v>
      </c>
      <c r="AC749">
        <v>28.242000000000001</v>
      </c>
      <c r="AD749">
        <v>5059</v>
      </c>
      <c r="AH749">
        <v>0</v>
      </c>
      <c r="AI749">
        <v>0</v>
      </c>
      <c r="AL749" t="s">
        <v>40</v>
      </c>
      <c r="AM749" t="str">
        <f t="shared" si="60"/>
        <v>38 1</v>
      </c>
      <c r="AN749" t="str">
        <f t="shared" si="61"/>
        <v>405512.011,279850.894</v>
      </c>
      <c r="AO749" t="str">
        <f t="shared" si="62"/>
        <v>405518.747,279825.605</v>
      </c>
      <c r="AQ749" t="s">
        <v>2567</v>
      </c>
      <c r="AR749" t="s">
        <v>780</v>
      </c>
    </row>
    <row r="750" spans="1:44" x14ac:dyDescent="0.3">
      <c r="A750">
        <v>3869</v>
      </c>
      <c r="B750">
        <v>4</v>
      </c>
      <c r="C750">
        <v>4016447</v>
      </c>
      <c r="D750">
        <v>39816</v>
      </c>
      <c r="E750">
        <v>2</v>
      </c>
      <c r="F750">
        <v>670050</v>
      </c>
      <c r="G750" t="s">
        <v>98</v>
      </c>
      <c r="H750" t="s">
        <v>83</v>
      </c>
      <c r="I750">
        <v>0</v>
      </c>
      <c r="J750" s="1">
        <v>404111.587</v>
      </c>
      <c r="K750" s="1">
        <v>279288.815</v>
      </c>
      <c r="L750" s="1">
        <v>404001.17800000001</v>
      </c>
      <c r="M750" s="1">
        <v>279271.90399999998</v>
      </c>
      <c r="N750" t="s">
        <v>40</v>
      </c>
      <c r="P750" t="s">
        <v>40</v>
      </c>
      <c r="Q750">
        <v>0</v>
      </c>
      <c r="R750">
        <v>0</v>
      </c>
      <c r="S750">
        <v>0</v>
      </c>
      <c r="T750">
        <v>6</v>
      </c>
      <c r="U750">
        <v>6</v>
      </c>
      <c r="V750">
        <v>1</v>
      </c>
      <c r="W750">
        <v>1</v>
      </c>
      <c r="X750" t="s">
        <v>40</v>
      </c>
      <c r="Y750">
        <v>3</v>
      </c>
      <c r="Z750">
        <v>40</v>
      </c>
      <c r="AA750">
        <v>1</v>
      </c>
      <c r="AB750">
        <v>0</v>
      </c>
      <c r="AC750">
        <v>242.14500000000001</v>
      </c>
      <c r="AD750">
        <v>5059</v>
      </c>
      <c r="AH750">
        <v>0</v>
      </c>
      <c r="AI750">
        <v>0</v>
      </c>
      <c r="AL750" t="s">
        <v>40</v>
      </c>
      <c r="AM750" t="str">
        <f t="shared" si="60"/>
        <v>40 1</v>
      </c>
      <c r="AN750" s="6" t="s">
        <v>513</v>
      </c>
      <c r="AO750" s="6" t="s">
        <v>1377</v>
      </c>
      <c r="AQ750" t="s">
        <v>783</v>
      </c>
      <c r="AR750" t="s">
        <v>2588</v>
      </c>
    </row>
    <row r="751" spans="1:44" x14ac:dyDescent="0.3">
      <c r="A751">
        <v>3869</v>
      </c>
      <c r="B751">
        <v>4</v>
      </c>
      <c r="C751">
        <v>4016425</v>
      </c>
      <c r="D751">
        <v>14940</v>
      </c>
      <c r="E751">
        <v>2</v>
      </c>
      <c r="F751">
        <v>670050</v>
      </c>
      <c r="G751" t="s">
        <v>98</v>
      </c>
      <c r="H751" t="s">
        <v>83</v>
      </c>
      <c r="I751">
        <v>0</v>
      </c>
      <c r="J751" s="1">
        <v>404000.93099999998</v>
      </c>
      <c r="K751" s="1">
        <v>279272.272</v>
      </c>
      <c r="L751" s="1">
        <v>404111.50900000002</v>
      </c>
      <c r="M751" s="1">
        <v>279289.61099999998</v>
      </c>
      <c r="N751" t="s">
        <v>40</v>
      </c>
      <c r="P751" t="s">
        <v>40</v>
      </c>
      <c r="Q751">
        <v>0</v>
      </c>
      <c r="R751">
        <v>0</v>
      </c>
      <c r="S751">
        <v>0</v>
      </c>
      <c r="T751">
        <v>6</v>
      </c>
      <c r="U751">
        <v>6</v>
      </c>
      <c r="V751">
        <v>1</v>
      </c>
      <c r="W751">
        <v>1</v>
      </c>
      <c r="X751" t="s">
        <v>40</v>
      </c>
      <c r="Y751">
        <v>3</v>
      </c>
      <c r="Z751">
        <v>40</v>
      </c>
      <c r="AA751">
        <v>1</v>
      </c>
      <c r="AB751">
        <v>0</v>
      </c>
      <c r="AC751">
        <v>241.53800000000001</v>
      </c>
      <c r="AD751">
        <v>5059</v>
      </c>
      <c r="AH751">
        <v>0</v>
      </c>
      <c r="AI751">
        <v>0</v>
      </c>
      <c r="AL751" t="s">
        <v>40</v>
      </c>
      <c r="AM751" t="str">
        <f t="shared" si="60"/>
        <v>40 1</v>
      </c>
      <c r="AN751" s="6" t="s">
        <v>1737</v>
      </c>
      <c r="AO751" s="6" t="s">
        <v>514</v>
      </c>
      <c r="AQ751" t="s">
        <v>2565</v>
      </c>
      <c r="AR751" t="s">
        <v>783</v>
      </c>
    </row>
    <row r="752" spans="1:44" x14ac:dyDescent="0.3">
      <c r="A752">
        <v>3869</v>
      </c>
      <c r="B752">
        <v>4</v>
      </c>
      <c r="C752">
        <v>4011977</v>
      </c>
      <c r="D752">
        <v>10786</v>
      </c>
      <c r="E752">
        <v>2</v>
      </c>
      <c r="F752">
        <v>670050</v>
      </c>
      <c r="G752" t="s">
        <v>98</v>
      </c>
      <c r="H752" t="s">
        <v>45</v>
      </c>
      <c r="I752">
        <v>0</v>
      </c>
      <c r="J752" s="1">
        <v>405324.54</v>
      </c>
      <c r="K752" s="1">
        <v>279662.57</v>
      </c>
      <c r="L752" s="1">
        <v>405407.14299999998</v>
      </c>
      <c r="M752" s="1">
        <v>279667.06900000002</v>
      </c>
      <c r="N752" t="s">
        <v>40</v>
      </c>
      <c r="P752" t="s">
        <v>40</v>
      </c>
      <c r="Q752">
        <v>0</v>
      </c>
      <c r="R752">
        <v>0</v>
      </c>
      <c r="S752">
        <v>0</v>
      </c>
      <c r="T752">
        <v>6</v>
      </c>
      <c r="U752">
        <v>6</v>
      </c>
      <c r="V752">
        <v>1</v>
      </c>
      <c r="W752">
        <v>1</v>
      </c>
      <c r="X752" t="s">
        <v>40</v>
      </c>
      <c r="Y752">
        <v>3</v>
      </c>
      <c r="Z752">
        <v>38</v>
      </c>
      <c r="AA752">
        <v>5001</v>
      </c>
      <c r="AB752">
        <v>0</v>
      </c>
      <c r="AC752">
        <v>110.30500000000001</v>
      </c>
      <c r="AD752">
        <v>5059</v>
      </c>
      <c r="AH752">
        <v>0</v>
      </c>
      <c r="AI752">
        <v>0</v>
      </c>
      <c r="AL752" t="s">
        <v>40</v>
      </c>
      <c r="AM752" t="str">
        <f t="shared" si="60"/>
        <v>38 5001</v>
      </c>
      <c r="AN752" t="str">
        <f t="shared" si="61"/>
        <v>405324.54,279662.57</v>
      </c>
      <c r="AO752" t="str">
        <f t="shared" si="62"/>
        <v>405407.143,279667.069</v>
      </c>
      <c r="AQ752" t="s">
        <v>2589</v>
      </c>
      <c r="AR752" t="s">
        <v>2590</v>
      </c>
    </row>
    <row r="753" spans="1:44" x14ac:dyDescent="0.3">
      <c r="A753">
        <v>3869</v>
      </c>
      <c r="B753">
        <v>4</v>
      </c>
      <c r="C753">
        <v>4011990</v>
      </c>
      <c r="D753">
        <v>11021</v>
      </c>
      <c r="E753">
        <v>2</v>
      </c>
      <c r="F753">
        <v>670050</v>
      </c>
      <c r="G753" t="s">
        <v>98</v>
      </c>
      <c r="H753" t="s">
        <v>45</v>
      </c>
      <c r="I753">
        <v>0</v>
      </c>
      <c r="J753" s="1">
        <v>405462.696</v>
      </c>
      <c r="K753" s="1">
        <v>279766.72899999999</v>
      </c>
      <c r="L753" s="1">
        <v>405407.14299999998</v>
      </c>
      <c r="M753" s="1">
        <v>279667.06900000002</v>
      </c>
      <c r="N753" t="s">
        <v>40</v>
      </c>
      <c r="P753" t="s">
        <v>40</v>
      </c>
      <c r="Q753">
        <v>0</v>
      </c>
      <c r="R753">
        <v>0</v>
      </c>
      <c r="S753">
        <v>0</v>
      </c>
      <c r="T753">
        <v>6</v>
      </c>
      <c r="U753">
        <v>6</v>
      </c>
      <c r="V753">
        <v>1</v>
      </c>
      <c r="W753">
        <v>1</v>
      </c>
      <c r="X753" t="s">
        <v>40</v>
      </c>
      <c r="Y753">
        <v>3</v>
      </c>
      <c r="Z753">
        <v>5030</v>
      </c>
      <c r="AA753">
        <v>1</v>
      </c>
      <c r="AB753">
        <v>0</v>
      </c>
      <c r="AC753">
        <v>196.65100000000001</v>
      </c>
      <c r="AD753">
        <v>5059</v>
      </c>
      <c r="AH753">
        <v>0</v>
      </c>
      <c r="AI753">
        <v>0</v>
      </c>
      <c r="AL753" t="s">
        <v>40</v>
      </c>
      <c r="AM753" t="str">
        <f t="shared" si="60"/>
        <v>5030 1</v>
      </c>
      <c r="AN753" s="6" t="s">
        <v>1743</v>
      </c>
      <c r="AO753" s="6" t="s">
        <v>1372</v>
      </c>
      <c r="AQ753" t="s">
        <v>2590</v>
      </c>
      <c r="AR753" t="s">
        <v>2591</v>
      </c>
    </row>
    <row r="754" spans="1:44" x14ac:dyDescent="0.3">
      <c r="A754">
        <v>3869</v>
      </c>
      <c r="B754">
        <v>4</v>
      </c>
      <c r="C754">
        <v>4011997</v>
      </c>
      <c r="D754">
        <v>10841</v>
      </c>
      <c r="E754">
        <v>2</v>
      </c>
      <c r="F754">
        <v>670050</v>
      </c>
      <c r="G754" t="s">
        <v>98</v>
      </c>
      <c r="H754" t="s">
        <v>45</v>
      </c>
      <c r="I754">
        <v>0</v>
      </c>
      <c r="J754" s="1">
        <v>405514.42099999997</v>
      </c>
      <c r="K754" s="1">
        <v>279830.97100000002</v>
      </c>
      <c r="L754" s="1">
        <v>405518.87599999999</v>
      </c>
      <c r="M754" s="1">
        <v>279825.245</v>
      </c>
      <c r="N754" t="s">
        <v>40</v>
      </c>
      <c r="P754" t="s">
        <v>40</v>
      </c>
      <c r="Q754">
        <v>0</v>
      </c>
      <c r="R754">
        <v>0</v>
      </c>
      <c r="S754">
        <v>0</v>
      </c>
      <c r="T754">
        <v>6</v>
      </c>
      <c r="U754">
        <v>6</v>
      </c>
      <c r="V754">
        <v>1</v>
      </c>
      <c r="W754">
        <v>1</v>
      </c>
      <c r="X754" t="s">
        <v>40</v>
      </c>
      <c r="Y754">
        <v>3</v>
      </c>
      <c r="Z754">
        <v>38</v>
      </c>
      <c r="AA754">
        <v>5001</v>
      </c>
      <c r="AB754">
        <v>0</v>
      </c>
      <c r="AC754">
        <v>11.773</v>
      </c>
      <c r="AD754">
        <v>5059</v>
      </c>
      <c r="AH754">
        <v>0</v>
      </c>
      <c r="AI754">
        <v>0</v>
      </c>
      <c r="AL754" t="s">
        <v>40</v>
      </c>
      <c r="AM754" t="str">
        <f t="shared" si="60"/>
        <v>38 5001</v>
      </c>
      <c r="AN754" t="str">
        <f t="shared" si="61"/>
        <v>405514.421,279830.971</v>
      </c>
      <c r="AO754" t="str">
        <f t="shared" si="62"/>
        <v>405518.876,279825.245</v>
      </c>
      <c r="AQ754" t="s">
        <v>2591</v>
      </c>
      <c r="AR754" t="s">
        <v>780</v>
      </c>
    </row>
    <row r="755" spans="1:44" x14ac:dyDescent="0.3">
      <c r="A755">
        <v>3869</v>
      </c>
      <c r="B755">
        <v>4</v>
      </c>
      <c r="C755">
        <v>4016472</v>
      </c>
      <c r="D755">
        <v>14952</v>
      </c>
      <c r="E755">
        <v>2</v>
      </c>
      <c r="F755">
        <v>670050</v>
      </c>
      <c r="G755" t="s">
        <v>98</v>
      </c>
      <c r="H755" t="s">
        <v>83</v>
      </c>
      <c r="I755">
        <v>0</v>
      </c>
      <c r="J755" s="1">
        <v>404336.32</v>
      </c>
      <c r="K755" s="1">
        <v>279330.10600000003</v>
      </c>
      <c r="L755" s="1">
        <v>404342.929</v>
      </c>
      <c r="M755" s="1">
        <v>279313.65299999999</v>
      </c>
      <c r="N755" t="s">
        <v>40</v>
      </c>
      <c r="P755" t="s">
        <v>40</v>
      </c>
      <c r="Q755">
        <v>0</v>
      </c>
      <c r="R755">
        <v>0</v>
      </c>
      <c r="S755">
        <v>0</v>
      </c>
      <c r="T755">
        <v>6</v>
      </c>
      <c r="U755">
        <v>6</v>
      </c>
      <c r="V755">
        <v>1</v>
      </c>
      <c r="W755">
        <v>1</v>
      </c>
      <c r="X755" t="s">
        <v>40</v>
      </c>
      <c r="Y755">
        <v>3</v>
      </c>
      <c r="Z755">
        <v>93</v>
      </c>
      <c r="AA755">
        <v>1</v>
      </c>
      <c r="AB755">
        <v>0</v>
      </c>
      <c r="AC755">
        <v>21.782</v>
      </c>
      <c r="AD755">
        <v>5059</v>
      </c>
      <c r="AH755">
        <v>0</v>
      </c>
      <c r="AI755">
        <v>0</v>
      </c>
      <c r="AL755" t="s">
        <v>40</v>
      </c>
      <c r="AM755" t="str">
        <f t="shared" si="60"/>
        <v>93 1</v>
      </c>
      <c r="AN755" t="str">
        <f t="shared" si="61"/>
        <v>404336.32,279330.106</v>
      </c>
      <c r="AO755" t="str">
        <f t="shared" si="62"/>
        <v>404342.929,279313.653</v>
      </c>
      <c r="AQ755" t="s">
        <v>2592</v>
      </c>
      <c r="AR755" t="s">
        <v>2593</v>
      </c>
    </row>
    <row r="756" spans="1:44" x14ac:dyDescent="0.3">
      <c r="A756">
        <v>3869</v>
      </c>
      <c r="B756">
        <v>4</v>
      </c>
      <c r="C756">
        <v>4016703</v>
      </c>
      <c r="D756">
        <v>16087</v>
      </c>
      <c r="E756">
        <v>2</v>
      </c>
      <c r="F756">
        <v>670050</v>
      </c>
      <c r="G756" t="s">
        <v>98</v>
      </c>
      <c r="H756" t="s">
        <v>83</v>
      </c>
      <c r="I756">
        <v>0</v>
      </c>
      <c r="J756" s="1">
        <v>404803.277</v>
      </c>
      <c r="K756" s="1">
        <v>279376.68300000002</v>
      </c>
      <c r="L756" s="1">
        <v>404875.478</v>
      </c>
      <c r="M756" s="1">
        <v>279328.28200000001</v>
      </c>
      <c r="N756" t="s">
        <v>40</v>
      </c>
      <c r="P756" t="s">
        <v>40</v>
      </c>
      <c r="Q756">
        <v>0</v>
      </c>
      <c r="R756">
        <v>0</v>
      </c>
      <c r="S756">
        <v>0</v>
      </c>
      <c r="T756">
        <v>6</v>
      </c>
      <c r="U756">
        <v>6</v>
      </c>
      <c r="V756">
        <v>1</v>
      </c>
      <c r="W756">
        <v>2</v>
      </c>
      <c r="X756" t="s">
        <v>40</v>
      </c>
      <c r="Y756">
        <v>3</v>
      </c>
      <c r="Z756">
        <v>89</v>
      </c>
      <c r="AA756">
        <v>1</v>
      </c>
      <c r="AB756">
        <v>0</v>
      </c>
      <c r="AC756">
        <v>297.471</v>
      </c>
      <c r="AD756">
        <v>5059</v>
      </c>
      <c r="AH756">
        <v>0</v>
      </c>
      <c r="AI756">
        <v>0</v>
      </c>
      <c r="AL756" t="s">
        <v>40</v>
      </c>
      <c r="AM756" t="str">
        <f t="shared" si="60"/>
        <v>89 1</v>
      </c>
      <c r="AN756" s="6" t="s">
        <v>1363</v>
      </c>
      <c r="AO756" s="6" t="s">
        <v>1374</v>
      </c>
      <c r="AQ756" t="s">
        <v>2585</v>
      </c>
      <c r="AR756" t="s">
        <v>2594</v>
      </c>
    </row>
    <row r="757" spans="1:44" x14ac:dyDescent="0.3">
      <c r="A757">
        <v>3869</v>
      </c>
      <c r="B757">
        <v>4</v>
      </c>
      <c r="C757">
        <v>4016702</v>
      </c>
      <c r="D757">
        <v>15776</v>
      </c>
      <c r="E757">
        <v>2</v>
      </c>
      <c r="F757">
        <v>670050</v>
      </c>
      <c r="G757" t="s">
        <v>98</v>
      </c>
      <c r="H757" t="s">
        <v>83</v>
      </c>
      <c r="I757">
        <v>0</v>
      </c>
      <c r="J757" s="1">
        <v>404803.277</v>
      </c>
      <c r="K757" s="1">
        <v>279376.68300000002</v>
      </c>
      <c r="L757" s="1">
        <v>404782.54300000001</v>
      </c>
      <c r="M757" s="1">
        <v>279432.49400000001</v>
      </c>
      <c r="N757" t="s">
        <v>40</v>
      </c>
      <c r="P757" t="s">
        <v>40</v>
      </c>
      <c r="Q757">
        <v>0</v>
      </c>
      <c r="R757">
        <v>0</v>
      </c>
      <c r="S757">
        <v>0</v>
      </c>
      <c r="T757">
        <v>6</v>
      </c>
      <c r="U757">
        <v>6</v>
      </c>
      <c r="V757">
        <v>1</v>
      </c>
      <c r="W757">
        <v>2</v>
      </c>
      <c r="X757" t="s">
        <v>40</v>
      </c>
      <c r="Y757">
        <v>3</v>
      </c>
      <c r="Z757">
        <v>38</v>
      </c>
      <c r="AA757">
        <v>5001</v>
      </c>
      <c r="AB757">
        <v>0</v>
      </c>
      <c r="AC757">
        <v>59.643000000000001</v>
      </c>
      <c r="AD757">
        <v>5059</v>
      </c>
      <c r="AH757">
        <v>0</v>
      </c>
      <c r="AI757">
        <v>0</v>
      </c>
      <c r="AL757" t="s">
        <v>40</v>
      </c>
      <c r="AM757" t="str">
        <f t="shared" si="60"/>
        <v>38 5001</v>
      </c>
      <c r="AN757" t="str">
        <f t="shared" si="61"/>
        <v>404803.277,279376.683</v>
      </c>
      <c r="AO757" t="str">
        <f t="shared" si="62"/>
        <v>404782.543,279432.494</v>
      </c>
      <c r="AQ757" t="s">
        <v>2594</v>
      </c>
      <c r="AR757" t="s">
        <v>2575</v>
      </c>
    </row>
    <row r="758" spans="1:44" x14ac:dyDescent="0.3">
      <c r="A758">
        <v>3869</v>
      </c>
      <c r="B758">
        <v>4</v>
      </c>
      <c r="C758">
        <v>4023659</v>
      </c>
      <c r="D758">
        <v>102553</v>
      </c>
      <c r="E758">
        <v>2</v>
      </c>
      <c r="F758">
        <v>670050</v>
      </c>
      <c r="G758" t="s">
        <v>98</v>
      </c>
      <c r="H758" t="s">
        <v>43</v>
      </c>
      <c r="I758">
        <v>0</v>
      </c>
      <c r="J758" s="1">
        <v>405450.663</v>
      </c>
      <c r="K758" s="1">
        <v>280313.38900000002</v>
      </c>
      <c r="L758" s="1">
        <v>405440.375</v>
      </c>
      <c r="M758" s="1">
        <v>280451.76199999999</v>
      </c>
      <c r="N758" t="s">
        <v>40</v>
      </c>
      <c r="P758" t="s">
        <v>40</v>
      </c>
      <c r="Q758">
        <v>0</v>
      </c>
      <c r="R758">
        <v>0</v>
      </c>
      <c r="S758">
        <v>0</v>
      </c>
      <c r="T758">
        <v>6</v>
      </c>
      <c r="U758">
        <v>6</v>
      </c>
      <c r="V758">
        <v>1</v>
      </c>
      <c r="W758">
        <v>1</v>
      </c>
      <c r="X758" t="s">
        <v>40</v>
      </c>
      <c r="Y758">
        <v>3</v>
      </c>
      <c r="Z758">
        <v>89</v>
      </c>
      <c r="AA758">
        <v>1</v>
      </c>
      <c r="AB758">
        <v>0</v>
      </c>
      <c r="AC758">
        <v>155.87</v>
      </c>
      <c r="AD758">
        <v>5059</v>
      </c>
      <c r="AH758">
        <v>0</v>
      </c>
      <c r="AI758">
        <v>0</v>
      </c>
      <c r="AL758" t="s">
        <v>40</v>
      </c>
      <c r="AM758" t="str">
        <f t="shared" si="60"/>
        <v>89 1</v>
      </c>
      <c r="AN758" t="str">
        <f t="shared" si="61"/>
        <v>405450.663,280313.389</v>
      </c>
      <c r="AO758" t="str">
        <f t="shared" si="62"/>
        <v>405440.375,280451.762</v>
      </c>
      <c r="AQ758" t="s">
        <v>2556</v>
      </c>
      <c r="AR758" t="s">
        <v>2595</v>
      </c>
    </row>
    <row r="759" spans="1:44" x14ac:dyDescent="0.3">
      <c r="A759">
        <v>3869</v>
      </c>
      <c r="B759">
        <v>4</v>
      </c>
      <c r="C759">
        <v>4016560</v>
      </c>
      <c r="D759">
        <v>40873</v>
      </c>
      <c r="E759">
        <v>2</v>
      </c>
      <c r="F759">
        <v>670050</v>
      </c>
      <c r="G759" t="s">
        <v>98</v>
      </c>
      <c r="H759" t="s">
        <v>83</v>
      </c>
      <c r="I759">
        <v>0</v>
      </c>
      <c r="J759" s="1">
        <v>404339.65500000003</v>
      </c>
      <c r="K759" s="1">
        <v>279329.57799999998</v>
      </c>
      <c r="L759" s="1">
        <v>404337.90600000002</v>
      </c>
      <c r="M759" s="1">
        <v>279333.73200000002</v>
      </c>
      <c r="N759" t="s">
        <v>40</v>
      </c>
      <c r="P759" t="s">
        <v>40</v>
      </c>
      <c r="Q759">
        <v>0</v>
      </c>
      <c r="R759">
        <v>0</v>
      </c>
      <c r="S759">
        <v>0</v>
      </c>
      <c r="T759">
        <v>6</v>
      </c>
      <c r="U759">
        <v>6</v>
      </c>
      <c r="V759">
        <v>1</v>
      </c>
      <c r="W759">
        <v>1</v>
      </c>
      <c r="X759" t="s">
        <v>40</v>
      </c>
      <c r="Y759">
        <v>3</v>
      </c>
      <c r="Z759">
        <v>92</v>
      </c>
      <c r="AA759">
        <v>1</v>
      </c>
      <c r="AB759">
        <v>0</v>
      </c>
      <c r="AC759">
        <v>625.10399999999993</v>
      </c>
      <c r="AD759">
        <v>5059</v>
      </c>
      <c r="AH759">
        <v>0</v>
      </c>
      <c r="AI759">
        <v>0</v>
      </c>
      <c r="AL759" t="s">
        <v>40</v>
      </c>
      <c r="AM759" t="str">
        <f t="shared" si="60"/>
        <v>92 1</v>
      </c>
      <c r="AN759" s="6" t="s">
        <v>1376</v>
      </c>
      <c r="AO759" s="6" t="s">
        <v>518</v>
      </c>
      <c r="AQ759" t="s">
        <v>2577</v>
      </c>
      <c r="AR759" t="s">
        <v>785</v>
      </c>
    </row>
    <row r="760" spans="1:44" x14ac:dyDescent="0.3">
      <c r="A760">
        <v>3869</v>
      </c>
      <c r="B760">
        <v>4</v>
      </c>
      <c r="C760">
        <v>4016461</v>
      </c>
      <c r="D760">
        <v>14960</v>
      </c>
      <c r="E760">
        <v>2</v>
      </c>
      <c r="F760">
        <v>670050</v>
      </c>
      <c r="G760" t="s">
        <v>98</v>
      </c>
      <c r="H760" t="s">
        <v>83</v>
      </c>
      <c r="I760">
        <v>0</v>
      </c>
      <c r="J760" s="1">
        <v>404237.701</v>
      </c>
      <c r="K760" s="1">
        <v>279300.60700000002</v>
      </c>
      <c r="L760" s="1">
        <v>404342.929</v>
      </c>
      <c r="M760" s="1">
        <v>279313.65299999999</v>
      </c>
      <c r="N760" t="s">
        <v>40</v>
      </c>
      <c r="P760" t="s">
        <v>40</v>
      </c>
      <c r="Q760">
        <v>0</v>
      </c>
      <c r="R760">
        <v>0</v>
      </c>
      <c r="S760">
        <v>0</v>
      </c>
      <c r="T760">
        <v>6</v>
      </c>
      <c r="U760">
        <v>6</v>
      </c>
      <c r="V760">
        <v>1</v>
      </c>
      <c r="W760">
        <v>1</v>
      </c>
      <c r="X760" t="s">
        <v>40</v>
      </c>
      <c r="Y760">
        <v>3</v>
      </c>
      <c r="Z760">
        <v>92</v>
      </c>
      <c r="AA760">
        <v>1</v>
      </c>
      <c r="AB760">
        <v>0</v>
      </c>
      <c r="AC760">
        <v>107.08</v>
      </c>
      <c r="AD760">
        <v>5059</v>
      </c>
      <c r="AH760">
        <v>0</v>
      </c>
      <c r="AI760">
        <v>0</v>
      </c>
      <c r="AL760" t="s">
        <v>40</v>
      </c>
      <c r="AM760" t="str">
        <f t="shared" si="60"/>
        <v>92 1</v>
      </c>
      <c r="AN760" t="str">
        <f t="shared" si="61"/>
        <v>404237.701,279300.607</v>
      </c>
      <c r="AO760" t="str">
        <f t="shared" si="62"/>
        <v>404342.929,279313.653</v>
      </c>
      <c r="AQ760" t="s">
        <v>2588</v>
      </c>
      <c r="AR760" t="s">
        <v>2593</v>
      </c>
    </row>
    <row r="761" spans="1:44" x14ac:dyDescent="0.3">
      <c r="A761">
        <v>3869</v>
      </c>
      <c r="B761">
        <v>4</v>
      </c>
      <c r="C761">
        <v>4011962</v>
      </c>
      <c r="D761">
        <v>11822</v>
      </c>
      <c r="E761">
        <v>2</v>
      </c>
      <c r="F761">
        <v>670050</v>
      </c>
      <c r="G761" t="s">
        <v>98</v>
      </c>
      <c r="H761" t="s">
        <v>45</v>
      </c>
      <c r="I761">
        <v>0</v>
      </c>
      <c r="J761" s="1">
        <v>405089.26799999998</v>
      </c>
      <c r="K761" s="1">
        <v>279450.65000000002</v>
      </c>
      <c r="L761" s="1">
        <v>405129.24</v>
      </c>
      <c r="M761" s="1">
        <v>279496.83100000001</v>
      </c>
      <c r="N761" t="s">
        <v>40</v>
      </c>
      <c r="P761" t="s">
        <v>40</v>
      </c>
      <c r="Q761">
        <v>0</v>
      </c>
      <c r="R761">
        <v>0</v>
      </c>
      <c r="S761">
        <v>0</v>
      </c>
      <c r="T761">
        <v>6</v>
      </c>
      <c r="U761">
        <v>6</v>
      </c>
      <c r="V761">
        <v>1</v>
      </c>
      <c r="W761">
        <v>1</v>
      </c>
      <c r="X761" t="s">
        <v>40</v>
      </c>
      <c r="Y761">
        <v>3</v>
      </c>
      <c r="Z761">
        <v>89</v>
      </c>
      <c r="AA761">
        <v>1</v>
      </c>
      <c r="AB761">
        <v>0</v>
      </c>
      <c r="AC761">
        <v>228.845</v>
      </c>
      <c r="AD761">
        <v>5059</v>
      </c>
      <c r="AH761">
        <v>0</v>
      </c>
      <c r="AI761">
        <v>0</v>
      </c>
      <c r="AL761" t="s">
        <v>40</v>
      </c>
      <c r="AM761" t="str">
        <f t="shared" si="60"/>
        <v>89 1</v>
      </c>
      <c r="AN761" s="6" t="s">
        <v>1747</v>
      </c>
      <c r="AO761" s="6" t="s">
        <v>1371</v>
      </c>
      <c r="AQ761" t="s">
        <v>2596</v>
      </c>
      <c r="AR761" t="s">
        <v>2579</v>
      </c>
    </row>
    <row r="762" spans="1:44" x14ac:dyDescent="0.3">
      <c r="A762">
        <v>3869</v>
      </c>
      <c r="B762">
        <v>4</v>
      </c>
      <c r="C762">
        <v>4011963</v>
      </c>
      <c r="D762">
        <v>11020</v>
      </c>
      <c r="E762">
        <v>2</v>
      </c>
      <c r="F762">
        <v>670050</v>
      </c>
      <c r="G762" t="s">
        <v>98</v>
      </c>
      <c r="H762" t="s">
        <v>45</v>
      </c>
      <c r="I762">
        <v>0</v>
      </c>
      <c r="J762" s="1">
        <v>405299.86300000001</v>
      </c>
      <c r="K762" s="1">
        <v>279677.55599999998</v>
      </c>
      <c r="L762" s="1">
        <v>405129.24</v>
      </c>
      <c r="M762" s="1">
        <v>279496.83100000001</v>
      </c>
      <c r="N762" t="s">
        <v>40</v>
      </c>
      <c r="P762" t="s">
        <v>40</v>
      </c>
      <c r="Q762">
        <v>0</v>
      </c>
      <c r="R762">
        <v>0</v>
      </c>
      <c r="S762">
        <v>0</v>
      </c>
      <c r="T762">
        <v>6</v>
      </c>
      <c r="U762">
        <v>6</v>
      </c>
      <c r="V762">
        <v>1</v>
      </c>
      <c r="W762">
        <v>1</v>
      </c>
      <c r="X762" t="s">
        <v>40</v>
      </c>
      <c r="Y762">
        <v>3</v>
      </c>
      <c r="Z762">
        <v>38</v>
      </c>
      <c r="AA762">
        <v>1</v>
      </c>
      <c r="AB762">
        <v>0</v>
      </c>
      <c r="AC762">
        <v>283.91500000000002</v>
      </c>
      <c r="AD762">
        <v>5059</v>
      </c>
      <c r="AH762">
        <v>0</v>
      </c>
      <c r="AI762">
        <v>0</v>
      </c>
      <c r="AL762" t="s">
        <v>40</v>
      </c>
      <c r="AM762" t="str">
        <f t="shared" si="60"/>
        <v>38 1</v>
      </c>
      <c r="AN762" s="6" t="s">
        <v>1747</v>
      </c>
      <c r="AO762" s="6" t="s">
        <v>1370</v>
      </c>
      <c r="AQ762" t="s">
        <v>2596</v>
      </c>
      <c r="AR762" t="s">
        <v>2589</v>
      </c>
    </row>
    <row r="763" spans="1:44" x14ac:dyDescent="0.3">
      <c r="A763">
        <v>3869</v>
      </c>
      <c r="B763">
        <v>4</v>
      </c>
      <c r="C763">
        <v>4016473</v>
      </c>
      <c r="D763">
        <v>39836</v>
      </c>
      <c r="E763">
        <v>2</v>
      </c>
      <c r="F763">
        <v>670050</v>
      </c>
      <c r="G763" t="s">
        <v>98</v>
      </c>
      <c r="H763" t="s">
        <v>83</v>
      </c>
      <c r="I763">
        <v>0</v>
      </c>
      <c r="J763" s="1">
        <v>404336.32</v>
      </c>
      <c r="K763" s="1">
        <v>279330.10600000003</v>
      </c>
      <c r="L763" s="1">
        <v>404337.163</v>
      </c>
      <c r="M763" s="1">
        <v>279333.58199999999</v>
      </c>
      <c r="N763" t="s">
        <v>40</v>
      </c>
      <c r="P763" t="s">
        <v>40</v>
      </c>
      <c r="Q763">
        <v>0</v>
      </c>
      <c r="R763">
        <v>0</v>
      </c>
      <c r="S763">
        <v>0</v>
      </c>
      <c r="T763">
        <v>6</v>
      </c>
      <c r="U763">
        <v>6</v>
      </c>
      <c r="V763">
        <v>1</v>
      </c>
      <c r="W763">
        <v>1</v>
      </c>
      <c r="X763" t="s">
        <v>40</v>
      </c>
      <c r="Y763">
        <v>3</v>
      </c>
      <c r="Z763">
        <v>72</v>
      </c>
      <c r="AA763">
        <v>1</v>
      </c>
      <c r="AB763">
        <v>0</v>
      </c>
      <c r="AC763">
        <v>3.827</v>
      </c>
      <c r="AD763">
        <v>5059</v>
      </c>
      <c r="AH763">
        <v>0</v>
      </c>
      <c r="AI763">
        <v>0</v>
      </c>
      <c r="AL763" t="s">
        <v>40</v>
      </c>
      <c r="AM763" t="str">
        <f t="shared" si="60"/>
        <v>72 1</v>
      </c>
      <c r="AN763" t="str">
        <f t="shared" si="61"/>
        <v>404336.32,279330.106</v>
      </c>
      <c r="AO763" t="str">
        <f t="shared" si="62"/>
        <v>404337.163,279333.582</v>
      </c>
      <c r="AQ763" t="s">
        <v>2592</v>
      </c>
      <c r="AR763" t="s">
        <v>786</v>
      </c>
    </row>
    <row r="764" spans="1:44" x14ac:dyDescent="0.3">
      <c r="A764">
        <v>3869</v>
      </c>
      <c r="B764">
        <v>4</v>
      </c>
      <c r="C764">
        <v>4025874</v>
      </c>
      <c r="D764">
        <v>24992</v>
      </c>
      <c r="E764">
        <v>2</v>
      </c>
      <c r="F764">
        <v>670050</v>
      </c>
      <c r="G764" t="s">
        <v>102</v>
      </c>
      <c r="H764" t="s">
        <v>41</v>
      </c>
      <c r="I764">
        <v>0</v>
      </c>
      <c r="J764" s="1">
        <v>405730.22499999998</v>
      </c>
      <c r="K764" s="1">
        <v>281032.31400000001</v>
      </c>
      <c r="L764" s="1">
        <v>405782.11</v>
      </c>
      <c r="M764" s="1">
        <v>281018.41899999999</v>
      </c>
      <c r="N764" t="s">
        <v>40</v>
      </c>
      <c r="P764" t="s">
        <v>40</v>
      </c>
      <c r="Q764">
        <v>0</v>
      </c>
      <c r="R764">
        <v>0</v>
      </c>
      <c r="S764">
        <v>0</v>
      </c>
      <c r="T764">
        <v>6</v>
      </c>
      <c r="U764">
        <v>6</v>
      </c>
      <c r="V764">
        <v>1</v>
      </c>
      <c r="W764">
        <v>1</v>
      </c>
      <c r="X764" t="s">
        <v>40</v>
      </c>
      <c r="Y764">
        <v>3</v>
      </c>
      <c r="Z764">
        <v>40</v>
      </c>
      <c r="AA764">
        <v>5001</v>
      </c>
      <c r="AB764">
        <v>0</v>
      </c>
      <c r="AC764">
        <v>147.85399999999998</v>
      </c>
      <c r="AD764">
        <v>5059</v>
      </c>
      <c r="AH764">
        <v>0</v>
      </c>
      <c r="AI764">
        <v>0</v>
      </c>
      <c r="AL764" t="s">
        <v>40</v>
      </c>
      <c r="AM764" t="str">
        <f t="shared" si="60"/>
        <v>40 5001</v>
      </c>
      <c r="AN764" s="6" t="s">
        <v>1397</v>
      </c>
      <c r="AO764" s="6" t="s">
        <v>1385</v>
      </c>
      <c r="AQ764" t="s">
        <v>2597</v>
      </c>
      <c r="AR764" t="s">
        <v>2598</v>
      </c>
    </row>
    <row r="765" spans="1:44" x14ac:dyDescent="0.3">
      <c r="A765">
        <v>3869</v>
      </c>
      <c r="B765">
        <v>4</v>
      </c>
      <c r="C765">
        <v>4027294</v>
      </c>
      <c r="D765">
        <v>22785</v>
      </c>
      <c r="E765">
        <v>2</v>
      </c>
      <c r="F765">
        <v>670050</v>
      </c>
      <c r="G765" t="s">
        <v>102</v>
      </c>
      <c r="H765" t="s">
        <v>51</v>
      </c>
      <c r="I765">
        <v>0</v>
      </c>
      <c r="J765" s="1">
        <v>407000</v>
      </c>
      <c r="K765" s="1">
        <v>281417.35200000001</v>
      </c>
      <c r="L765" s="1">
        <v>407125.80300000001</v>
      </c>
      <c r="M765" s="1">
        <v>281496.571</v>
      </c>
      <c r="N765" t="s">
        <v>40</v>
      </c>
      <c r="P765" t="s">
        <v>40</v>
      </c>
      <c r="Q765">
        <v>0</v>
      </c>
      <c r="R765">
        <v>0</v>
      </c>
      <c r="S765">
        <v>0</v>
      </c>
      <c r="T765">
        <v>6</v>
      </c>
      <c r="U765">
        <v>6</v>
      </c>
      <c r="V765">
        <v>1</v>
      </c>
      <c r="W765">
        <v>1</v>
      </c>
      <c r="X765" t="s">
        <v>40</v>
      </c>
      <c r="Y765">
        <v>3</v>
      </c>
      <c r="Z765">
        <v>92</v>
      </c>
      <c r="AA765">
        <v>1</v>
      </c>
      <c r="AB765">
        <v>0</v>
      </c>
      <c r="AC765">
        <v>627.73900000000003</v>
      </c>
      <c r="AD765">
        <v>5059</v>
      </c>
      <c r="AH765">
        <v>0</v>
      </c>
      <c r="AI765">
        <v>0</v>
      </c>
      <c r="AL765" t="s">
        <v>40</v>
      </c>
      <c r="AM765" t="str">
        <f t="shared" si="60"/>
        <v>92 1</v>
      </c>
      <c r="AN765" s="6" t="s">
        <v>1388</v>
      </c>
      <c r="AO765" s="6" t="s">
        <v>1381</v>
      </c>
      <c r="AQ765" t="s">
        <v>2599</v>
      </c>
      <c r="AR765" t="s">
        <v>2600</v>
      </c>
    </row>
    <row r="766" spans="1:44" x14ac:dyDescent="0.3">
      <c r="A766">
        <v>3869</v>
      </c>
      <c r="B766">
        <v>4</v>
      </c>
      <c r="C766">
        <v>4024660</v>
      </c>
      <c r="D766">
        <v>148377</v>
      </c>
      <c r="E766">
        <v>2</v>
      </c>
      <c r="F766">
        <v>670050</v>
      </c>
      <c r="G766" t="s">
        <v>102</v>
      </c>
      <c r="H766" t="s">
        <v>43</v>
      </c>
      <c r="I766">
        <v>0</v>
      </c>
      <c r="J766" s="1">
        <v>405410.22600000002</v>
      </c>
      <c r="K766" s="1">
        <v>280855.86499999999</v>
      </c>
      <c r="L766" s="1">
        <v>405433.69799999997</v>
      </c>
      <c r="M766" s="1">
        <v>280845.90700000001</v>
      </c>
      <c r="N766" t="s">
        <v>40</v>
      </c>
      <c r="P766" t="s">
        <v>40</v>
      </c>
      <c r="Q766">
        <v>0</v>
      </c>
      <c r="R766">
        <v>0</v>
      </c>
      <c r="S766">
        <v>0</v>
      </c>
      <c r="T766">
        <v>6</v>
      </c>
      <c r="U766">
        <v>6</v>
      </c>
      <c r="V766">
        <v>1</v>
      </c>
      <c r="W766">
        <v>2</v>
      </c>
      <c r="X766" t="s">
        <v>40</v>
      </c>
      <c r="Y766">
        <v>3</v>
      </c>
      <c r="Z766">
        <v>38</v>
      </c>
      <c r="AA766">
        <v>1</v>
      </c>
      <c r="AB766">
        <v>0</v>
      </c>
      <c r="AC766">
        <v>36.676000000000002</v>
      </c>
      <c r="AD766">
        <v>5059</v>
      </c>
      <c r="AH766">
        <v>0</v>
      </c>
      <c r="AI766">
        <v>0</v>
      </c>
      <c r="AL766" t="s">
        <v>40</v>
      </c>
      <c r="AM766" t="str">
        <f t="shared" si="60"/>
        <v>38 1</v>
      </c>
      <c r="AN766" t="str">
        <f t="shared" si="61"/>
        <v>405410.226,280855.865</v>
      </c>
      <c r="AO766" t="str">
        <f t="shared" si="62"/>
        <v>405433.698,280845.907</v>
      </c>
      <c r="AQ766" t="s">
        <v>2601</v>
      </c>
      <c r="AR766" t="s">
        <v>2602</v>
      </c>
    </row>
    <row r="767" spans="1:44" x14ac:dyDescent="0.3">
      <c r="A767">
        <v>3869</v>
      </c>
      <c r="B767">
        <v>4</v>
      </c>
      <c r="C767">
        <v>4024658</v>
      </c>
      <c r="D767">
        <v>148380</v>
      </c>
      <c r="E767">
        <v>2</v>
      </c>
      <c r="F767">
        <v>670050</v>
      </c>
      <c r="G767" t="s">
        <v>102</v>
      </c>
      <c r="H767" t="s">
        <v>43</v>
      </c>
      <c r="I767">
        <v>0</v>
      </c>
      <c r="J767" s="1">
        <v>405433.69799999997</v>
      </c>
      <c r="K767" s="1">
        <v>280845.90700000001</v>
      </c>
      <c r="L767" s="1">
        <v>405435.61</v>
      </c>
      <c r="M767" s="1">
        <v>280838.86900000001</v>
      </c>
      <c r="N767" t="s">
        <v>40</v>
      </c>
      <c r="P767" t="s">
        <v>40</v>
      </c>
      <c r="Q767">
        <v>0</v>
      </c>
      <c r="R767">
        <v>0</v>
      </c>
      <c r="S767">
        <v>201209</v>
      </c>
      <c r="T767">
        <v>6</v>
      </c>
      <c r="U767">
        <v>6</v>
      </c>
      <c r="V767">
        <v>1</v>
      </c>
      <c r="W767">
        <v>2</v>
      </c>
      <c r="X767" t="s">
        <v>40</v>
      </c>
      <c r="Y767">
        <v>3</v>
      </c>
      <c r="Z767">
        <v>5028</v>
      </c>
      <c r="AA767">
        <v>99</v>
      </c>
      <c r="AB767">
        <v>0</v>
      </c>
      <c r="AC767">
        <v>7.843</v>
      </c>
      <c r="AD767">
        <v>8022</v>
      </c>
      <c r="AE767" t="s">
        <v>100</v>
      </c>
      <c r="AH767">
        <v>0</v>
      </c>
      <c r="AI767">
        <v>0</v>
      </c>
      <c r="AL767" t="s">
        <v>40</v>
      </c>
      <c r="AM767" t="str">
        <f t="shared" si="60"/>
        <v>5028 99</v>
      </c>
      <c r="AN767" t="str">
        <f t="shared" si="61"/>
        <v>405433.698,280845.907</v>
      </c>
      <c r="AO767" t="str">
        <f t="shared" si="62"/>
        <v>405435.61,280838.869</v>
      </c>
      <c r="AQ767" t="s">
        <v>2602</v>
      </c>
      <c r="AR767" t="s">
        <v>2603</v>
      </c>
    </row>
    <row r="768" spans="1:44" x14ac:dyDescent="0.3">
      <c r="A768">
        <v>3869</v>
      </c>
      <c r="B768">
        <v>4</v>
      </c>
      <c r="C768">
        <v>4023114</v>
      </c>
      <c r="D768">
        <v>23219</v>
      </c>
      <c r="E768">
        <v>2</v>
      </c>
      <c r="F768">
        <v>670050</v>
      </c>
      <c r="G768" t="s">
        <v>102</v>
      </c>
      <c r="H768" t="s">
        <v>43</v>
      </c>
      <c r="I768">
        <v>0</v>
      </c>
      <c r="J768" s="1">
        <v>405522.989</v>
      </c>
      <c r="K768" s="1">
        <v>280936.723</v>
      </c>
      <c r="L768" s="1">
        <v>405393.56199999998</v>
      </c>
      <c r="M768" s="1">
        <v>280996.96899999998</v>
      </c>
      <c r="N768" t="s">
        <v>40</v>
      </c>
      <c r="P768" t="s">
        <v>40</v>
      </c>
      <c r="Q768">
        <v>0</v>
      </c>
      <c r="R768">
        <v>0</v>
      </c>
      <c r="S768">
        <v>0</v>
      </c>
      <c r="T768">
        <v>6</v>
      </c>
      <c r="U768">
        <v>6</v>
      </c>
      <c r="V768">
        <v>1</v>
      </c>
      <c r="W768">
        <v>1</v>
      </c>
      <c r="X768" t="s">
        <v>40</v>
      </c>
      <c r="Y768">
        <v>3</v>
      </c>
      <c r="Z768">
        <v>92</v>
      </c>
      <c r="AA768">
        <v>1</v>
      </c>
      <c r="AB768">
        <v>0</v>
      </c>
      <c r="AC768">
        <v>336.524</v>
      </c>
      <c r="AD768">
        <v>5059</v>
      </c>
      <c r="AH768">
        <v>0</v>
      </c>
      <c r="AI768">
        <v>0</v>
      </c>
      <c r="AL768" t="s">
        <v>40</v>
      </c>
      <c r="AM768" t="str">
        <f t="shared" si="60"/>
        <v>92 1</v>
      </c>
      <c r="AN768" s="6" t="s">
        <v>1395</v>
      </c>
      <c r="AO768" s="6" t="s">
        <v>1751</v>
      </c>
      <c r="AQ768" t="s">
        <v>2604</v>
      </c>
      <c r="AR768" t="s">
        <v>2605</v>
      </c>
    </row>
    <row r="769" spans="1:44" x14ac:dyDescent="0.3">
      <c r="A769">
        <v>3869</v>
      </c>
      <c r="B769">
        <v>4</v>
      </c>
      <c r="C769">
        <v>4027364</v>
      </c>
      <c r="D769">
        <v>24415</v>
      </c>
      <c r="E769">
        <v>2</v>
      </c>
      <c r="F769">
        <v>670050</v>
      </c>
      <c r="G769" t="s">
        <v>102</v>
      </c>
      <c r="H769" t="s">
        <v>51</v>
      </c>
      <c r="I769">
        <v>0</v>
      </c>
      <c r="J769" s="1">
        <v>407302.47700000001</v>
      </c>
      <c r="K769" s="1">
        <v>281755.21899999998</v>
      </c>
      <c r="L769" s="1">
        <v>407292.42800000001</v>
      </c>
      <c r="M769" s="1">
        <v>281761.92300000001</v>
      </c>
      <c r="N769" t="s">
        <v>40</v>
      </c>
      <c r="P769" t="s">
        <v>40</v>
      </c>
      <c r="Q769">
        <v>0</v>
      </c>
      <c r="R769">
        <v>0</v>
      </c>
      <c r="S769">
        <v>0</v>
      </c>
      <c r="T769">
        <v>6</v>
      </c>
      <c r="U769">
        <v>6</v>
      </c>
      <c r="V769">
        <v>1</v>
      </c>
      <c r="W769">
        <v>1</v>
      </c>
      <c r="X769" t="s">
        <v>40</v>
      </c>
      <c r="Y769">
        <v>3</v>
      </c>
      <c r="Z769">
        <v>92</v>
      </c>
      <c r="AA769">
        <v>1</v>
      </c>
      <c r="AB769">
        <v>0</v>
      </c>
      <c r="AC769">
        <v>162.155</v>
      </c>
      <c r="AD769">
        <v>5059</v>
      </c>
      <c r="AH769">
        <v>0</v>
      </c>
      <c r="AI769">
        <v>0</v>
      </c>
      <c r="AL769" t="s">
        <v>40</v>
      </c>
      <c r="AM769" t="str">
        <f t="shared" si="60"/>
        <v>92 1</v>
      </c>
      <c r="AN769" s="6" t="s">
        <v>1396</v>
      </c>
      <c r="AO769" s="6" t="s">
        <v>1380</v>
      </c>
      <c r="AQ769" t="s">
        <v>2606</v>
      </c>
      <c r="AR769" t="s">
        <v>2607</v>
      </c>
    </row>
    <row r="770" spans="1:44" x14ac:dyDescent="0.3">
      <c r="A770">
        <v>3869</v>
      </c>
      <c r="B770">
        <v>4</v>
      </c>
      <c r="C770">
        <v>4027318</v>
      </c>
      <c r="D770">
        <v>22769</v>
      </c>
      <c r="E770">
        <v>2</v>
      </c>
      <c r="F770">
        <v>670050</v>
      </c>
      <c r="G770" t="s">
        <v>102</v>
      </c>
      <c r="H770" t="s">
        <v>51</v>
      </c>
      <c r="I770">
        <v>0</v>
      </c>
      <c r="J770" s="1">
        <v>407090.45600000001</v>
      </c>
      <c r="K770" s="1">
        <v>281660.05300000001</v>
      </c>
      <c r="L770" s="1">
        <v>407159.85499999998</v>
      </c>
      <c r="M770" s="1">
        <v>281703.37599999999</v>
      </c>
      <c r="N770" t="s">
        <v>40</v>
      </c>
      <c r="P770" t="s">
        <v>40</v>
      </c>
      <c r="Q770">
        <v>0</v>
      </c>
      <c r="R770">
        <v>0</v>
      </c>
      <c r="S770">
        <v>0</v>
      </c>
      <c r="T770">
        <v>6</v>
      </c>
      <c r="U770">
        <v>6</v>
      </c>
      <c r="V770">
        <v>1</v>
      </c>
      <c r="W770">
        <v>1</v>
      </c>
      <c r="X770" t="s">
        <v>40</v>
      </c>
      <c r="Y770">
        <v>3</v>
      </c>
      <c r="Z770">
        <v>52</v>
      </c>
      <c r="AA770">
        <v>1</v>
      </c>
      <c r="AB770">
        <v>0</v>
      </c>
      <c r="AC770">
        <v>82.313000000000002</v>
      </c>
      <c r="AD770">
        <v>5059</v>
      </c>
      <c r="AH770">
        <v>0</v>
      </c>
      <c r="AI770">
        <v>0</v>
      </c>
      <c r="AL770" t="s">
        <v>40</v>
      </c>
      <c r="AM770" t="str">
        <f t="shared" si="60"/>
        <v>52 1</v>
      </c>
      <c r="AN770" t="str">
        <f t="shared" si="61"/>
        <v>407090.456,281660.053</v>
      </c>
      <c r="AO770" t="str">
        <f t="shared" si="62"/>
        <v>407159.855,281703.376</v>
      </c>
      <c r="AQ770" t="s">
        <v>2600</v>
      </c>
      <c r="AR770" t="s">
        <v>2606</v>
      </c>
    </row>
    <row r="771" spans="1:44" x14ac:dyDescent="0.3">
      <c r="A771">
        <v>3869</v>
      </c>
      <c r="B771">
        <v>4</v>
      </c>
      <c r="C771">
        <v>4027329</v>
      </c>
      <c r="D771">
        <v>24411</v>
      </c>
      <c r="E771">
        <v>2</v>
      </c>
      <c r="F771">
        <v>670050</v>
      </c>
      <c r="G771" t="s">
        <v>102</v>
      </c>
      <c r="H771" t="s">
        <v>51</v>
      </c>
      <c r="I771">
        <v>0</v>
      </c>
      <c r="J771" s="1">
        <v>407302.47700000001</v>
      </c>
      <c r="K771" s="1">
        <v>281755.21899999998</v>
      </c>
      <c r="L771" s="1">
        <v>407313.3</v>
      </c>
      <c r="M771" s="1">
        <v>281758.34999999998</v>
      </c>
      <c r="N771" t="s">
        <v>40</v>
      </c>
      <c r="P771" t="s">
        <v>40</v>
      </c>
      <c r="Q771">
        <v>0</v>
      </c>
      <c r="R771">
        <v>0</v>
      </c>
      <c r="S771">
        <v>0</v>
      </c>
      <c r="T771">
        <v>6</v>
      </c>
      <c r="U771">
        <v>6</v>
      </c>
      <c r="V771">
        <v>1</v>
      </c>
      <c r="W771">
        <v>1</v>
      </c>
      <c r="X771" t="s">
        <v>40</v>
      </c>
      <c r="Y771">
        <v>3</v>
      </c>
      <c r="Z771">
        <v>40</v>
      </c>
      <c r="AA771">
        <v>1</v>
      </c>
      <c r="AB771">
        <v>0</v>
      </c>
      <c r="AC771">
        <v>11.266999999999999</v>
      </c>
      <c r="AD771">
        <v>5059</v>
      </c>
      <c r="AH771">
        <v>0</v>
      </c>
      <c r="AI771">
        <v>0</v>
      </c>
      <c r="AL771" t="s">
        <v>40</v>
      </c>
      <c r="AM771" t="str">
        <f t="shared" si="60"/>
        <v>40 1</v>
      </c>
      <c r="AN771" t="str">
        <f t="shared" si="61"/>
        <v>407302.477,281755.219</v>
      </c>
      <c r="AO771" t="str">
        <f t="shared" si="62"/>
        <v>407313.3,281758.35</v>
      </c>
      <c r="AQ771" t="s">
        <v>2607</v>
      </c>
      <c r="AR771" t="s">
        <v>2608</v>
      </c>
    </row>
    <row r="772" spans="1:44" x14ac:dyDescent="0.3">
      <c r="A772">
        <v>3869</v>
      </c>
      <c r="B772">
        <v>4</v>
      </c>
      <c r="C772">
        <v>4027330</v>
      </c>
      <c r="D772">
        <v>55379</v>
      </c>
      <c r="E772">
        <v>2</v>
      </c>
      <c r="F772">
        <v>670050</v>
      </c>
      <c r="G772" t="s">
        <v>102</v>
      </c>
      <c r="H772" t="s">
        <v>51</v>
      </c>
      <c r="I772">
        <v>0</v>
      </c>
      <c r="J772" s="1">
        <v>407313.3</v>
      </c>
      <c r="K772" s="1">
        <v>281758.34999999998</v>
      </c>
      <c r="L772" s="1">
        <v>407323.342</v>
      </c>
      <c r="M772" s="1">
        <v>281758.41100000002</v>
      </c>
      <c r="N772" t="s">
        <v>40</v>
      </c>
      <c r="P772" t="s">
        <v>40</v>
      </c>
      <c r="Q772">
        <v>0</v>
      </c>
      <c r="R772">
        <v>0</v>
      </c>
      <c r="S772">
        <v>201006</v>
      </c>
      <c r="T772">
        <v>6</v>
      </c>
      <c r="U772">
        <v>6</v>
      </c>
      <c r="V772">
        <v>1</v>
      </c>
      <c r="W772">
        <v>1</v>
      </c>
      <c r="X772" t="s">
        <v>40</v>
      </c>
      <c r="Y772">
        <v>3</v>
      </c>
      <c r="Z772">
        <v>5028</v>
      </c>
      <c r="AA772">
        <v>1</v>
      </c>
      <c r="AB772">
        <v>0</v>
      </c>
      <c r="AC772">
        <v>13.847</v>
      </c>
      <c r="AD772">
        <v>5059</v>
      </c>
      <c r="AE772" t="s">
        <v>103</v>
      </c>
      <c r="AH772">
        <v>0</v>
      </c>
      <c r="AI772">
        <v>0</v>
      </c>
      <c r="AL772" t="s">
        <v>40</v>
      </c>
      <c r="AM772" t="str">
        <f t="shared" si="60"/>
        <v>5028 1</v>
      </c>
      <c r="AN772" t="str">
        <f t="shared" si="61"/>
        <v>407313.3,281758.35</v>
      </c>
      <c r="AO772" t="str">
        <f t="shared" si="62"/>
        <v>407323.342,281758.411</v>
      </c>
      <c r="AQ772" t="s">
        <v>2608</v>
      </c>
      <c r="AR772" t="s">
        <v>787</v>
      </c>
    </row>
    <row r="773" spans="1:44" x14ac:dyDescent="0.3">
      <c r="A773">
        <v>3869</v>
      </c>
      <c r="B773">
        <v>4</v>
      </c>
      <c r="C773">
        <v>4027352</v>
      </c>
      <c r="D773">
        <v>55447</v>
      </c>
      <c r="E773">
        <v>2</v>
      </c>
      <c r="F773">
        <v>670050</v>
      </c>
      <c r="G773" t="s">
        <v>102</v>
      </c>
      <c r="H773" t="s">
        <v>51</v>
      </c>
      <c r="I773">
        <v>0</v>
      </c>
      <c r="J773" s="1">
        <v>407322.592</v>
      </c>
      <c r="K773" s="1">
        <v>281757.80699999997</v>
      </c>
      <c r="L773" s="1">
        <v>407328.32500000001</v>
      </c>
      <c r="M773" s="1">
        <v>281757.04499999998</v>
      </c>
      <c r="N773" t="s">
        <v>40</v>
      </c>
      <c r="P773" t="s">
        <v>40</v>
      </c>
      <c r="Q773">
        <v>0</v>
      </c>
      <c r="R773">
        <v>0</v>
      </c>
      <c r="S773">
        <v>201006</v>
      </c>
      <c r="T773">
        <v>6</v>
      </c>
      <c r="U773">
        <v>6</v>
      </c>
      <c r="V773">
        <v>1</v>
      </c>
      <c r="W773">
        <v>3</v>
      </c>
      <c r="X773" t="s">
        <v>40</v>
      </c>
      <c r="Y773">
        <v>3</v>
      </c>
      <c r="Z773">
        <v>5015</v>
      </c>
      <c r="AA773">
        <v>99</v>
      </c>
      <c r="AB773">
        <v>0</v>
      </c>
      <c r="AC773">
        <v>6.3129999999999997</v>
      </c>
      <c r="AD773">
        <v>5059</v>
      </c>
      <c r="AE773" t="s">
        <v>103</v>
      </c>
      <c r="AH773">
        <v>0</v>
      </c>
      <c r="AI773">
        <v>0</v>
      </c>
      <c r="AL773" t="s">
        <v>40</v>
      </c>
      <c r="AM773" t="str">
        <f t="shared" si="60"/>
        <v>5015 99</v>
      </c>
      <c r="AN773" t="str">
        <f t="shared" si="61"/>
        <v>407322.592,281757.807</v>
      </c>
      <c r="AO773" t="str">
        <f t="shared" si="62"/>
        <v>407328.325,281757.045</v>
      </c>
      <c r="AQ773" t="s">
        <v>2609</v>
      </c>
      <c r="AR773" t="s">
        <v>788</v>
      </c>
    </row>
    <row r="774" spans="1:44" x14ac:dyDescent="0.3">
      <c r="A774">
        <v>3869</v>
      </c>
      <c r="B774">
        <v>4</v>
      </c>
      <c r="C774">
        <v>4027358</v>
      </c>
      <c r="D774">
        <v>55456</v>
      </c>
      <c r="E774">
        <v>2</v>
      </c>
      <c r="F774">
        <v>670050</v>
      </c>
      <c r="G774" t="s">
        <v>102</v>
      </c>
      <c r="H774" t="s">
        <v>51</v>
      </c>
      <c r="I774">
        <v>0</v>
      </c>
      <c r="J774" s="1">
        <v>407323.22399999999</v>
      </c>
      <c r="K774" s="1">
        <v>281758.17800000001</v>
      </c>
      <c r="L774" s="1">
        <v>407327.33500000002</v>
      </c>
      <c r="M774" s="1">
        <v>281759.44199999998</v>
      </c>
      <c r="N774" t="s">
        <v>40</v>
      </c>
      <c r="P774" t="s">
        <v>40</v>
      </c>
      <c r="Q774">
        <v>0</v>
      </c>
      <c r="R774">
        <v>0</v>
      </c>
      <c r="S774">
        <v>201006</v>
      </c>
      <c r="T774">
        <v>6</v>
      </c>
      <c r="U774">
        <v>6</v>
      </c>
      <c r="V774">
        <v>1</v>
      </c>
      <c r="W774">
        <v>3</v>
      </c>
      <c r="X774" t="s">
        <v>40</v>
      </c>
      <c r="Y774">
        <v>3</v>
      </c>
      <c r="Z774">
        <v>5015</v>
      </c>
      <c r="AA774">
        <v>99</v>
      </c>
      <c r="AB774">
        <v>0</v>
      </c>
      <c r="AC774">
        <v>7.34</v>
      </c>
      <c r="AD774">
        <v>5059</v>
      </c>
      <c r="AE774" t="s">
        <v>103</v>
      </c>
      <c r="AH774">
        <v>0</v>
      </c>
      <c r="AI774">
        <v>0</v>
      </c>
      <c r="AL774" t="s">
        <v>40</v>
      </c>
      <c r="AM774" t="str">
        <f t="shared" si="60"/>
        <v>5015 99</v>
      </c>
      <c r="AN774" t="str">
        <f t="shared" si="61"/>
        <v>407323.224,281758.178</v>
      </c>
      <c r="AO774" t="str">
        <f t="shared" si="62"/>
        <v>407327.335,281759.442</v>
      </c>
      <c r="AQ774" t="s">
        <v>2610</v>
      </c>
      <c r="AR774" t="s">
        <v>787</v>
      </c>
    </row>
    <row r="775" spans="1:44" x14ac:dyDescent="0.3">
      <c r="A775">
        <v>3869</v>
      </c>
      <c r="B775">
        <v>4</v>
      </c>
      <c r="C775">
        <v>4023096</v>
      </c>
      <c r="D775">
        <v>23007</v>
      </c>
      <c r="E775">
        <v>2</v>
      </c>
      <c r="F775">
        <v>670050</v>
      </c>
      <c r="G775" t="s">
        <v>102</v>
      </c>
      <c r="H775" t="s">
        <v>43</v>
      </c>
      <c r="I775">
        <v>0</v>
      </c>
      <c r="J775" s="1">
        <v>405210.08100000001</v>
      </c>
      <c r="K775" s="1">
        <v>280983.63099999999</v>
      </c>
      <c r="L775" s="1">
        <v>405193.05099999998</v>
      </c>
      <c r="M775" s="1">
        <v>280981.85399999999</v>
      </c>
      <c r="N775" t="s">
        <v>40</v>
      </c>
      <c r="P775" t="s">
        <v>40</v>
      </c>
      <c r="Q775">
        <v>0</v>
      </c>
      <c r="R775">
        <v>0</v>
      </c>
      <c r="S775">
        <v>0</v>
      </c>
      <c r="T775">
        <v>6</v>
      </c>
      <c r="U775">
        <v>6</v>
      </c>
      <c r="V775">
        <v>1</v>
      </c>
      <c r="W775">
        <v>1</v>
      </c>
      <c r="X775" t="s">
        <v>40</v>
      </c>
      <c r="Y775">
        <v>3</v>
      </c>
      <c r="Z775">
        <v>94</v>
      </c>
      <c r="AA775">
        <v>1</v>
      </c>
      <c r="AB775">
        <v>0</v>
      </c>
      <c r="AC775">
        <v>210.72000000000003</v>
      </c>
      <c r="AD775">
        <v>5059</v>
      </c>
      <c r="AH775">
        <v>0</v>
      </c>
      <c r="AI775">
        <v>0</v>
      </c>
      <c r="AL775" t="s">
        <v>40</v>
      </c>
      <c r="AM775" t="str">
        <f t="shared" si="60"/>
        <v>94 1</v>
      </c>
      <c r="AN775" s="6" t="s">
        <v>1386</v>
      </c>
      <c r="AO775" s="6" t="s">
        <v>1395</v>
      </c>
      <c r="AQ775" t="s">
        <v>2611</v>
      </c>
      <c r="AR775" t="s">
        <v>2604</v>
      </c>
    </row>
    <row r="776" spans="1:44" x14ac:dyDescent="0.3">
      <c r="A776">
        <v>3869</v>
      </c>
      <c r="B776">
        <v>4</v>
      </c>
      <c r="C776">
        <v>4023085</v>
      </c>
      <c r="D776">
        <v>23017</v>
      </c>
      <c r="E776">
        <v>2</v>
      </c>
      <c r="F776">
        <v>670050</v>
      </c>
      <c r="G776" t="s">
        <v>102</v>
      </c>
      <c r="H776" t="s">
        <v>43</v>
      </c>
      <c r="I776">
        <v>0</v>
      </c>
      <c r="J776" s="1">
        <v>405193.05099999998</v>
      </c>
      <c r="K776" s="1">
        <v>280981.85399999999</v>
      </c>
      <c r="L776" s="1">
        <v>405149.33500000002</v>
      </c>
      <c r="M776" s="1">
        <v>280982.734</v>
      </c>
      <c r="N776" t="s">
        <v>40</v>
      </c>
      <c r="P776" t="s">
        <v>40</v>
      </c>
      <c r="Q776">
        <v>0</v>
      </c>
      <c r="R776">
        <v>0</v>
      </c>
      <c r="S776">
        <v>0</v>
      </c>
      <c r="T776">
        <v>6</v>
      </c>
      <c r="U776">
        <v>6</v>
      </c>
      <c r="V776">
        <v>1</v>
      </c>
      <c r="W776">
        <v>1</v>
      </c>
      <c r="X776" t="s">
        <v>40</v>
      </c>
      <c r="Y776">
        <v>3</v>
      </c>
      <c r="Z776">
        <v>94</v>
      </c>
      <c r="AA776">
        <v>99</v>
      </c>
      <c r="AB776">
        <v>0</v>
      </c>
      <c r="AC776">
        <v>45.097000000000001</v>
      </c>
      <c r="AD776">
        <v>5059</v>
      </c>
      <c r="AH776">
        <v>0</v>
      </c>
      <c r="AI776">
        <v>0</v>
      </c>
      <c r="AL776" t="s">
        <v>40</v>
      </c>
      <c r="AM776" t="str">
        <f t="shared" si="60"/>
        <v>94 99</v>
      </c>
      <c r="AN776" t="str">
        <f t="shared" si="61"/>
        <v>405193.051,280981.854</v>
      </c>
      <c r="AO776" t="str">
        <f t="shared" si="62"/>
        <v>405149.335,280982.734</v>
      </c>
      <c r="AQ776" t="s">
        <v>2611</v>
      </c>
      <c r="AR776" t="s">
        <v>2612</v>
      </c>
    </row>
    <row r="777" spans="1:44" x14ac:dyDescent="0.3">
      <c r="A777">
        <v>3869</v>
      </c>
      <c r="B777">
        <v>4</v>
      </c>
      <c r="C777">
        <v>4023074</v>
      </c>
      <c r="D777">
        <v>23143</v>
      </c>
      <c r="E777">
        <v>2</v>
      </c>
      <c r="F777">
        <v>670050</v>
      </c>
      <c r="G777" t="s">
        <v>102</v>
      </c>
      <c r="H777" t="s">
        <v>43</v>
      </c>
      <c r="I777">
        <v>0</v>
      </c>
      <c r="J777" s="1">
        <v>405406.82900000003</v>
      </c>
      <c r="K777" s="1">
        <v>280881.478</v>
      </c>
      <c r="L777" s="1">
        <v>405403.21600000001</v>
      </c>
      <c r="M777" s="1">
        <v>280913.45</v>
      </c>
      <c r="N777" t="s">
        <v>40</v>
      </c>
      <c r="P777" t="s">
        <v>40</v>
      </c>
      <c r="Q777">
        <v>0</v>
      </c>
      <c r="R777">
        <v>0</v>
      </c>
      <c r="S777">
        <v>0</v>
      </c>
      <c r="T777">
        <v>6</v>
      </c>
      <c r="U777">
        <v>6</v>
      </c>
      <c r="V777">
        <v>1</v>
      </c>
      <c r="W777">
        <v>2</v>
      </c>
      <c r="X777" t="s">
        <v>40</v>
      </c>
      <c r="Y777">
        <v>3</v>
      </c>
      <c r="Z777">
        <v>38</v>
      </c>
      <c r="AA777">
        <v>1</v>
      </c>
      <c r="AB777">
        <v>0</v>
      </c>
      <c r="AC777">
        <v>109.91</v>
      </c>
      <c r="AD777">
        <v>5059</v>
      </c>
      <c r="AH777">
        <v>0</v>
      </c>
      <c r="AI777">
        <v>0</v>
      </c>
      <c r="AL777" t="s">
        <v>40</v>
      </c>
      <c r="AM777" t="str">
        <f t="shared" ref="AM777:AM809" si="63">_xlfn.CONCAT(Z777, " ",AA777)</f>
        <v>38 1</v>
      </c>
      <c r="AN777" s="6" t="s">
        <v>1389</v>
      </c>
      <c r="AO777" s="6" t="s">
        <v>1387</v>
      </c>
      <c r="AQ777" t="s">
        <v>2613</v>
      </c>
      <c r="AR777" t="s">
        <v>2614</v>
      </c>
    </row>
    <row r="778" spans="1:44" x14ac:dyDescent="0.3">
      <c r="A778">
        <v>3869</v>
      </c>
      <c r="B778">
        <v>4</v>
      </c>
      <c r="C778">
        <v>4020403</v>
      </c>
      <c r="D778">
        <v>19481</v>
      </c>
      <c r="E778">
        <v>2</v>
      </c>
      <c r="F778">
        <v>670050</v>
      </c>
      <c r="G778" t="s">
        <v>102</v>
      </c>
      <c r="H778" t="s">
        <v>53</v>
      </c>
      <c r="I778">
        <v>0</v>
      </c>
      <c r="J778" s="1">
        <v>406790.652</v>
      </c>
      <c r="K778" s="1">
        <v>281279.44</v>
      </c>
      <c r="L778" s="1">
        <v>406684.495</v>
      </c>
      <c r="M778" s="1">
        <v>281209.56400000001</v>
      </c>
      <c r="N778" t="s">
        <v>40</v>
      </c>
      <c r="P778" t="s">
        <v>40</v>
      </c>
      <c r="Q778">
        <v>0</v>
      </c>
      <c r="R778">
        <v>0</v>
      </c>
      <c r="S778">
        <v>0</v>
      </c>
      <c r="T778">
        <v>6</v>
      </c>
      <c r="U778">
        <v>6</v>
      </c>
      <c r="V778">
        <v>1</v>
      </c>
      <c r="W778">
        <v>1</v>
      </c>
      <c r="X778" t="s">
        <v>40</v>
      </c>
      <c r="Y778">
        <v>3</v>
      </c>
      <c r="Z778">
        <v>5030</v>
      </c>
      <c r="AA778">
        <v>1</v>
      </c>
      <c r="AB778">
        <v>0</v>
      </c>
      <c r="AC778">
        <v>127.351</v>
      </c>
      <c r="AD778">
        <v>5059</v>
      </c>
      <c r="AH778">
        <v>0</v>
      </c>
      <c r="AI778">
        <v>0</v>
      </c>
      <c r="AL778" t="s">
        <v>40</v>
      </c>
      <c r="AM778" t="str">
        <f t="shared" si="63"/>
        <v>5030 1</v>
      </c>
      <c r="AN778" t="str">
        <f t="shared" si="61"/>
        <v>406790.652,281279.44</v>
      </c>
      <c r="AO778" t="str">
        <f t="shared" si="62"/>
        <v>406684.495,281209.564</v>
      </c>
      <c r="AQ778" t="s">
        <v>2599</v>
      </c>
      <c r="AR778" t="s">
        <v>2615</v>
      </c>
    </row>
    <row r="779" spans="1:44" x14ac:dyDescent="0.3">
      <c r="A779">
        <v>3869</v>
      </c>
      <c r="B779">
        <v>4</v>
      </c>
      <c r="C779">
        <v>4024401</v>
      </c>
      <c r="D779">
        <v>24155</v>
      </c>
      <c r="E779">
        <v>2</v>
      </c>
      <c r="F779">
        <v>670050</v>
      </c>
      <c r="G779" t="s">
        <v>102</v>
      </c>
      <c r="H779" t="s">
        <v>61</v>
      </c>
      <c r="I779">
        <v>0</v>
      </c>
      <c r="J779" s="1">
        <v>406362.74200000003</v>
      </c>
      <c r="K779" s="1">
        <v>281000</v>
      </c>
      <c r="L779" s="1">
        <v>406346.23300000001</v>
      </c>
      <c r="M779" s="1">
        <v>280987.26400000002</v>
      </c>
      <c r="N779" t="s">
        <v>40</v>
      </c>
      <c r="P779" t="s">
        <v>40</v>
      </c>
      <c r="Q779">
        <v>0</v>
      </c>
      <c r="R779">
        <v>0</v>
      </c>
      <c r="S779">
        <v>0</v>
      </c>
      <c r="T779">
        <v>6</v>
      </c>
      <c r="U779">
        <v>6</v>
      </c>
      <c r="V779">
        <v>1</v>
      </c>
      <c r="W779">
        <v>1</v>
      </c>
      <c r="X779" t="s">
        <v>40</v>
      </c>
      <c r="Y779">
        <v>3</v>
      </c>
      <c r="Z779">
        <v>92</v>
      </c>
      <c r="AA779">
        <v>1</v>
      </c>
      <c r="AB779">
        <v>0</v>
      </c>
      <c r="AC779">
        <v>999.76200000000006</v>
      </c>
      <c r="AD779">
        <v>5059</v>
      </c>
      <c r="AH779">
        <v>0</v>
      </c>
      <c r="AI779">
        <v>0</v>
      </c>
      <c r="AL779" t="s">
        <v>40</v>
      </c>
      <c r="AM779" t="str">
        <f t="shared" si="63"/>
        <v>92 1</v>
      </c>
      <c r="AN779" s="6" t="s">
        <v>1394</v>
      </c>
      <c r="AO779" s="6" t="s">
        <v>1385</v>
      </c>
      <c r="AQ779" t="s">
        <v>2616</v>
      </c>
      <c r="AR779" t="s">
        <v>2598</v>
      </c>
    </row>
    <row r="780" spans="1:44" x14ac:dyDescent="0.3">
      <c r="A780">
        <v>3869</v>
      </c>
      <c r="B780">
        <v>4</v>
      </c>
      <c r="C780">
        <v>4020394</v>
      </c>
      <c r="D780">
        <v>34059</v>
      </c>
      <c r="E780">
        <v>2</v>
      </c>
      <c r="F780">
        <v>670050</v>
      </c>
      <c r="G780" t="s">
        <v>102</v>
      </c>
      <c r="H780" t="s">
        <v>53</v>
      </c>
      <c r="I780">
        <v>0</v>
      </c>
      <c r="J780" s="1">
        <v>406684.495</v>
      </c>
      <c r="K780" s="1">
        <v>281209.56400000001</v>
      </c>
      <c r="L780" s="1">
        <v>406669.17800000001</v>
      </c>
      <c r="M780" s="1">
        <v>281223.62699999998</v>
      </c>
      <c r="N780" t="s">
        <v>40</v>
      </c>
      <c r="P780" t="s">
        <v>40</v>
      </c>
      <c r="Q780">
        <v>0</v>
      </c>
      <c r="R780">
        <v>0</v>
      </c>
      <c r="S780">
        <v>201104</v>
      </c>
      <c r="T780">
        <v>6</v>
      </c>
      <c r="U780">
        <v>6</v>
      </c>
      <c r="V780">
        <v>1</v>
      </c>
      <c r="W780">
        <v>1</v>
      </c>
      <c r="X780" t="s">
        <v>40</v>
      </c>
      <c r="Y780">
        <v>3</v>
      </c>
      <c r="Z780">
        <v>5067</v>
      </c>
      <c r="AA780">
        <v>1</v>
      </c>
      <c r="AB780">
        <v>0</v>
      </c>
      <c r="AC780">
        <v>26.978000000000002</v>
      </c>
      <c r="AD780">
        <v>5059</v>
      </c>
      <c r="AE780" t="s">
        <v>104</v>
      </c>
      <c r="AH780">
        <v>0</v>
      </c>
      <c r="AI780">
        <v>0</v>
      </c>
      <c r="AL780" t="s">
        <v>40</v>
      </c>
      <c r="AM780" t="str">
        <f t="shared" si="63"/>
        <v>5067 1</v>
      </c>
      <c r="AN780" t="str">
        <f t="shared" ref="AN780:AN808" si="64">ROUND(J780,3)&amp;","&amp;ROUND(K780,3)</f>
        <v>406684.495,281209.564</v>
      </c>
      <c r="AO780" t="str">
        <f t="shared" ref="AO780:AO808" si="65">ROUND(L780,3)&amp;","&amp;ROUND(M780,3)</f>
        <v>406669.178,281223.627</v>
      </c>
      <c r="AQ780" t="s">
        <v>2615</v>
      </c>
      <c r="AR780" t="s">
        <v>789</v>
      </c>
    </row>
    <row r="781" spans="1:44" x14ac:dyDescent="0.3">
      <c r="A781">
        <v>3869</v>
      </c>
      <c r="B781">
        <v>4</v>
      </c>
      <c r="C781">
        <v>4023075</v>
      </c>
      <c r="D781">
        <v>22445</v>
      </c>
      <c r="E781">
        <v>2</v>
      </c>
      <c r="F781">
        <v>670050</v>
      </c>
      <c r="G781" t="s">
        <v>102</v>
      </c>
      <c r="H781" t="s">
        <v>43</v>
      </c>
      <c r="I781">
        <v>0</v>
      </c>
      <c r="J781" s="1">
        <v>405410.22600000002</v>
      </c>
      <c r="K781" s="1">
        <v>280855.86499999999</v>
      </c>
      <c r="L781" s="1">
        <v>405406.82900000003</v>
      </c>
      <c r="M781" s="1">
        <v>280881.478</v>
      </c>
      <c r="N781" t="s">
        <v>40</v>
      </c>
      <c r="P781" t="s">
        <v>40</v>
      </c>
      <c r="Q781">
        <v>0</v>
      </c>
      <c r="R781">
        <v>0</v>
      </c>
      <c r="S781">
        <v>0</v>
      </c>
      <c r="T781">
        <v>6</v>
      </c>
      <c r="U781">
        <v>6</v>
      </c>
      <c r="V781">
        <v>1</v>
      </c>
      <c r="W781">
        <v>2</v>
      </c>
      <c r="X781" t="s">
        <v>40</v>
      </c>
      <c r="Y781">
        <v>3</v>
      </c>
      <c r="Z781">
        <v>89</v>
      </c>
      <c r="AA781">
        <v>1</v>
      </c>
      <c r="AB781">
        <v>0</v>
      </c>
      <c r="AC781">
        <v>25.885999999999999</v>
      </c>
      <c r="AD781">
        <v>5059</v>
      </c>
      <c r="AH781">
        <v>0</v>
      </c>
      <c r="AI781">
        <v>0</v>
      </c>
      <c r="AL781" t="s">
        <v>40</v>
      </c>
      <c r="AM781" t="str">
        <f t="shared" si="63"/>
        <v>89 1</v>
      </c>
      <c r="AN781" t="str">
        <f t="shared" si="64"/>
        <v>405410.226,280855.865</v>
      </c>
      <c r="AO781" t="str">
        <f t="shared" si="65"/>
        <v>405406.829,280881.478</v>
      </c>
      <c r="AQ781" t="s">
        <v>2601</v>
      </c>
      <c r="AR781" t="s">
        <v>2614</v>
      </c>
    </row>
    <row r="782" spans="1:44" x14ac:dyDescent="0.3">
      <c r="A782">
        <v>3869</v>
      </c>
      <c r="B782">
        <v>4</v>
      </c>
      <c r="C782">
        <v>4023043</v>
      </c>
      <c r="D782">
        <v>23227</v>
      </c>
      <c r="E782">
        <v>2</v>
      </c>
      <c r="F782">
        <v>670050</v>
      </c>
      <c r="G782" t="s">
        <v>102</v>
      </c>
      <c r="H782" t="s">
        <v>43</v>
      </c>
      <c r="I782">
        <v>0</v>
      </c>
      <c r="J782" s="1">
        <v>405149.30099999998</v>
      </c>
      <c r="K782" s="1">
        <v>280979.87400000001</v>
      </c>
      <c r="L782" s="1">
        <v>405390.57</v>
      </c>
      <c r="M782" s="1">
        <v>280995.82799999998</v>
      </c>
      <c r="N782" t="s">
        <v>40</v>
      </c>
      <c r="P782" t="s">
        <v>40</v>
      </c>
      <c r="Q782">
        <v>0</v>
      </c>
      <c r="R782">
        <v>0</v>
      </c>
      <c r="S782">
        <v>0</v>
      </c>
      <c r="T782">
        <v>6</v>
      </c>
      <c r="U782">
        <v>6</v>
      </c>
      <c r="V782">
        <v>1</v>
      </c>
      <c r="W782">
        <v>2</v>
      </c>
      <c r="X782" t="s">
        <v>40</v>
      </c>
      <c r="Y782">
        <v>3</v>
      </c>
      <c r="Z782">
        <v>38</v>
      </c>
      <c r="AA782">
        <v>99</v>
      </c>
      <c r="AB782">
        <v>0</v>
      </c>
      <c r="AC782">
        <v>255.88300000000001</v>
      </c>
      <c r="AD782">
        <v>5059</v>
      </c>
      <c r="AH782">
        <v>0</v>
      </c>
      <c r="AI782">
        <v>0</v>
      </c>
      <c r="AL782" t="s">
        <v>40</v>
      </c>
      <c r="AM782" t="str">
        <f t="shared" si="63"/>
        <v>38 99</v>
      </c>
      <c r="AN782" t="str">
        <f t="shared" si="64"/>
        <v>405149.301,280979.874</v>
      </c>
      <c r="AO782" t="str">
        <f t="shared" si="65"/>
        <v>405390.57,280995.828</v>
      </c>
      <c r="AQ782" t="s">
        <v>2617</v>
      </c>
      <c r="AR782" t="s">
        <v>2617</v>
      </c>
    </row>
    <row r="783" spans="1:44" x14ac:dyDescent="0.3">
      <c r="A783">
        <v>3869</v>
      </c>
      <c r="B783">
        <v>4</v>
      </c>
      <c r="C783">
        <v>4020430</v>
      </c>
      <c r="D783">
        <v>35678</v>
      </c>
      <c r="E783">
        <v>2</v>
      </c>
      <c r="F783">
        <v>670050</v>
      </c>
      <c r="G783" t="s">
        <v>102</v>
      </c>
      <c r="H783" t="s">
        <v>53</v>
      </c>
      <c r="I783">
        <v>0</v>
      </c>
      <c r="J783" s="1">
        <v>406988.02500000002</v>
      </c>
      <c r="K783" s="1">
        <v>281761.65000000002</v>
      </c>
      <c r="L783" s="1">
        <v>406985.19500000001</v>
      </c>
      <c r="M783" s="1">
        <v>281764.652</v>
      </c>
      <c r="N783" t="s">
        <v>40</v>
      </c>
      <c r="P783" t="s">
        <v>40</v>
      </c>
      <c r="Q783">
        <v>0</v>
      </c>
      <c r="R783">
        <v>0</v>
      </c>
      <c r="S783">
        <v>0</v>
      </c>
      <c r="T783">
        <v>6</v>
      </c>
      <c r="U783">
        <v>6</v>
      </c>
      <c r="V783">
        <v>1</v>
      </c>
      <c r="W783">
        <v>3</v>
      </c>
      <c r="X783" t="s">
        <v>40</v>
      </c>
      <c r="Y783">
        <v>3</v>
      </c>
      <c r="Z783">
        <v>169</v>
      </c>
      <c r="AA783">
        <v>1</v>
      </c>
      <c r="AB783">
        <v>0</v>
      </c>
      <c r="AC783">
        <v>4.9880000000000004</v>
      </c>
      <c r="AD783">
        <v>5059</v>
      </c>
      <c r="AH783">
        <v>0</v>
      </c>
      <c r="AI783">
        <v>0</v>
      </c>
      <c r="AL783" t="s">
        <v>40</v>
      </c>
      <c r="AM783" t="str">
        <f t="shared" si="63"/>
        <v>169 1</v>
      </c>
      <c r="AN783" t="str">
        <f t="shared" si="64"/>
        <v>406988.025,281761.65</v>
      </c>
      <c r="AO783" t="str">
        <f t="shared" si="65"/>
        <v>406985.195,281764.652</v>
      </c>
      <c r="AQ783" t="s">
        <v>786</v>
      </c>
      <c r="AR783" t="s">
        <v>2618</v>
      </c>
    </row>
    <row r="784" spans="1:44" x14ac:dyDescent="0.3">
      <c r="A784">
        <v>3869</v>
      </c>
      <c r="B784">
        <v>4</v>
      </c>
      <c r="C784">
        <v>4020429</v>
      </c>
      <c r="D784">
        <v>35676</v>
      </c>
      <c r="E784">
        <v>2</v>
      </c>
      <c r="F784">
        <v>670050</v>
      </c>
      <c r="G784" t="s">
        <v>102</v>
      </c>
      <c r="H784" t="s">
        <v>53</v>
      </c>
      <c r="I784">
        <v>0</v>
      </c>
      <c r="J784" s="1">
        <v>406958.79399999999</v>
      </c>
      <c r="K784" s="1">
        <v>281802.09999999998</v>
      </c>
      <c r="L784" s="1">
        <v>406987.533</v>
      </c>
      <c r="M784" s="1">
        <v>281761.30800000002</v>
      </c>
      <c r="N784" t="s">
        <v>40</v>
      </c>
      <c r="P784" t="s">
        <v>40</v>
      </c>
      <c r="Q784">
        <v>0</v>
      </c>
      <c r="R784">
        <v>0</v>
      </c>
      <c r="S784">
        <v>0</v>
      </c>
      <c r="T784">
        <v>6</v>
      </c>
      <c r="U784">
        <v>6</v>
      </c>
      <c r="V784">
        <v>1</v>
      </c>
      <c r="W784">
        <v>2</v>
      </c>
      <c r="X784" t="s">
        <v>40</v>
      </c>
      <c r="Y784">
        <v>3</v>
      </c>
      <c r="Z784">
        <v>92</v>
      </c>
      <c r="AA784">
        <v>1</v>
      </c>
      <c r="AB784">
        <v>0</v>
      </c>
      <c r="AC784">
        <v>52.284999999999997</v>
      </c>
      <c r="AD784">
        <v>5059</v>
      </c>
      <c r="AH784">
        <v>0</v>
      </c>
      <c r="AI784">
        <v>0</v>
      </c>
      <c r="AL784" t="s">
        <v>40</v>
      </c>
      <c r="AM784" t="str">
        <f t="shared" si="63"/>
        <v>92 1</v>
      </c>
      <c r="AN784" t="str">
        <f t="shared" si="64"/>
        <v>406958.794,281802.1</v>
      </c>
      <c r="AO784" t="str">
        <f t="shared" si="65"/>
        <v>406987.533,281761.308</v>
      </c>
      <c r="AQ784" t="s">
        <v>2619</v>
      </c>
      <c r="AR784" t="s">
        <v>786</v>
      </c>
    </row>
    <row r="785" spans="1:44" x14ac:dyDescent="0.3">
      <c r="A785">
        <v>3869</v>
      </c>
      <c r="B785">
        <v>4</v>
      </c>
      <c r="C785">
        <v>4020418</v>
      </c>
      <c r="D785">
        <v>19794</v>
      </c>
      <c r="E785">
        <v>2</v>
      </c>
      <c r="F785">
        <v>670050</v>
      </c>
      <c r="G785" t="s">
        <v>102</v>
      </c>
      <c r="H785" t="s">
        <v>53</v>
      </c>
      <c r="I785">
        <v>0</v>
      </c>
      <c r="J785" s="1">
        <v>407000</v>
      </c>
      <c r="K785" s="1">
        <v>281831.18199999997</v>
      </c>
      <c r="L785" s="1">
        <v>406958.79399999999</v>
      </c>
      <c r="M785" s="1">
        <v>281802.09999999998</v>
      </c>
      <c r="N785" t="s">
        <v>40</v>
      </c>
      <c r="P785" t="s">
        <v>40</v>
      </c>
      <c r="Q785">
        <v>0</v>
      </c>
      <c r="R785">
        <v>0</v>
      </c>
      <c r="S785">
        <v>0</v>
      </c>
      <c r="T785">
        <v>6</v>
      </c>
      <c r="U785">
        <v>6</v>
      </c>
      <c r="V785">
        <v>1</v>
      </c>
      <c r="W785">
        <v>2</v>
      </c>
      <c r="X785" t="s">
        <v>40</v>
      </c>
      <c r="Y785">
        <v>3</v>
      </c>
      <c r="Z785">
        <v>88</v>
      </c>
      <c r="AA785">
        <v>1</v>
      </c>
      <c r="AB785">
        <v>0</v>
      </c>
      <c r="AC785">
        <v>307.262</v>
      </c>
      <c r="AD785">
        <v>5059</v>
      </c>
      <c r="AH785">
        <v>0</v>
      </c>
      <c r="AI785">
        <v>0</v>
      </c>
      <c r="AL785" t="s">
        <v>40</v>
      </c>
      <c r="AM785" t="str">
        <f t="shared" si="63"/>
        <v>88 1</v>
      </c>
      <c r="AN785" s="6" t="s">
        <v>1393</v>
      </c>
      <c r="AO785" s="6" t="s">
        <v>1396</v>
      </c>
      <c r="AQ785" t="s">
        <v>2619</v>
      </c>
      <c r="AR785" t="s">
        <v>2606</v>
      </c>
    </row>
    <row r="786" spans="1:44" x14ac:dyDescent="0.3">
      <c r="A786">
        <v>3869</v>
      </c>
      <c r="B786">
        <v>4</v>
      </c>
      <c r="C786">
        <v>4020377</v>
      </c>
      <c r="D786">
        <v>34058</v>
      </c>
      <c r="E786">
        <v>2</v>
      </c>
      <c r="F786">
        <v>670050</v>
      </c>
      <c r="G786" t="s">
        <v>102</v>
      </c>
      <c r="H786" t="s">
        <v>53</v>
      </c>
      <c r="I786">
        <v>0</v>
      </c>
      <c r="J786" s="1">
        <v>406676.52600000001</v>
      </c>
      <c r="K786" s="1">
        <v>281204.38199999998</v>
      </c>
      <c r="L786" s="1">
        <v>406668.929</v>
      </c>
      <c r="M786" s="1">
        <v>281223.88</v>
      </c>
      <c r="N786" t="s">
        <v>40</v>
      </c>
      <c r="P786" t="s">
        <v>40</v>
      </c>
      <c r="Q786">
        <v>0</v>
      </c>
      <c r="R786">
        <v>0</v>
      </c>
      <c r="S786">
        <v>201104</v>
      </c>
      <c r="T786">
        <v>6</v>
      </c>
      <c r="U786">
        <v>6</v>
      </c>
      <c r="V786">
        <v>1</v>
      </c>
      <c r="W786">
        <v>1</v>
      </c>
      <c r="X786" t="s">
        <v>40</v>
      </c>
      <c r="Y786">
        <v>3</v>
      </c>
      <c r="Z786">
        <v>5067</v>
      </c>
      <c r="AA786">
        <v>1</v>
      </c>
      <c r="AB786">
        <v>0</v>
      </c>
      <c r="AC786">
        <v>28.507999999999999</v>
      </c>
      <c r="AD786">
        <v>5059</v>
      </c>
      <c r="AE786" t="s">
        <v>104</v>
      </c>
      <c r="AH786">
        <v>0</v>
      </c>
      <c r="AI786">
        <v>0</v>
      </c>
      <c r="AL786" t="s">
        <v>40</v>
      </c>
      <c r="AM786" t="str">
        <f t="shared" si="63"/>
        <v>5067 1</v>
      </c>
      <c r="AN786" t="str">
        <f t="shared" si="64"/>
        <v>406676.526,281204.382</v>
      </c>
      <c r="AO786" t="str">
        <f t="shared" si="65"/>
        <v>406668.929,281223.88</v>
      </c>
      <c r="AQ786" t="s">
        <v>2616</v>
      </c>
      <c r="AR786" t="s">
        <v>788</v>
      </c>
    </row>
    <row r="787" spans="1:44" x14ac:dyDescent="0.3">
      <c r="A787">
        <v>3869</v>
      </c>
      <c r="B787">
        <v>4</v>
      </c>
      <c r="C787">
        <v>4023130</v>
      </c>
      <c r="D787">
        <v>23405</v>
      </c>
      <c r="E787">
        <v>2</v>
      </c>
      <c r="F787">
        <v>670050</v>
      </c>
      <c r="G787" t="s">
        <v>102</v>
      </c>
      <c r="H787" t="s">
        <v>43</v>
      </c>
      <c r="I787">
        <v>0</v>
      </c>
      <c r="J787" s="1">
        <v>405671.929</v>
      </c>
      <c r="K787" s="1">
        <v>280978.80300000001</v>
      </c>
      <c r="L787" s="1">
        <v>405625.14</v>
      </c>
      <c r="M787" s="1">
        <v>280969.80499999999</v>
      </c>
      <c r="N787" t="s">
        <v>40</v>
      </c>
      <c r="P787" t="s">
        <v>40</v>
      </c>
      <c r="Q787">
        <v>0</v>
      </c>
      <c r="R787">
        <v>0</v>
      </c>
      <c r="S787">
        <v>0</v>
      </c>
      <c r="T787">
        <v>6</v>
      </c>
      <c r="U787">
        <v>6</v>
      </c>
      <c r="V787">
        <v>1</v>
      </c>
      <c r="W787">
        <v>1</v>
      </c>
      <c r="X787" t="s">
        <v>40</v>
      </c>
      <c r="Y787">
        <v>3</v>
      </c>
      <c r="Z787">
        <v>40</v>
      </c>
      <c r="AA787">
        <v>1</v>
      </c>
      <c r="AB787">
        <v>0</v>
      </c>
      <c r="AC787">
        <v>58.139000000000003</v>
      </c>
      <c r="AD787">
        <v>5059</v>
      </c>
      <c r="AH787">
        <v>0</v>
      </c>
      <c r="AI787">
        <v>0</v>
      </c>
      <c r="AL787" t="s">
        <v>40</v>
      </c>
      <c r="AM787" t="str">
        <f t="shared" si="63"/>
        <v>40 1</v>
      </c>
      <c r="AN787" t="str">
        <f t="shared" si="64"/>
        <v>405671.929,280978.803</v>
      </c>
      <c r="AO787" t="str">
        <f t="shared" si="65"/>
        <v>405625.14,280969.805</v>
      </c>
      <c r="AQ787" t="s">
        <v>2597</v>
      </c>
      <c r="AR787" t="s">
        <v>2605</v>
      </c>
    </row>
    <row r="788" spans="1:44" x14ac:dyDescent="0.3">
      <c r="A788">
        <v>3869</v>
      </c>
      <c r="B788">
        <v>4</v>
      </c>
      <c r="C788">
        <v>4011845</v>
      </c>
      <c r="D788">
        <v>12189</v>
      </c>
      <c r="E788">
        <v>2</v>
      </c>
      <c r="F788">
        <v>670050</v>
      </c>
      <c r="G788" t="s">
        <v>105</v>
      </c>
      <c r="H788" t="s">
        <v>48</v>
      </c>
      <c r="I788">
        <v>0</v>
      </c>
      <c r="J788" s="1">
        <v>406659.315</v>
      </c>
      <c r="K788" s="1">
        <v>282940.43</v>
      </c>
      <c r="L788" s="1">
        <v>406664.97100000002</v>
      </c>
      <c r="M788" s="1">
        <v>282941.46899999998</v>
      </c>
      <c r="N788" t="s">
        <v>40</v>
      </c>
      <c r="P788" t="s">
        <v>40</v>
      </c>
      <c r="Q788">
        <v>0</v>
      </c>
      <c r="R788">
        <v>0</v>
      </c>
      <c r="S788">
        <v>0</v>
      </c>
      <c r="T788">
        <v>6</v>
      </c>
      <c r="U788">
        <v>6</v>
      </c>
      <c r="V788">
        <v>1</v>
      </c>
      <c r="W788">
        <v>2</v>
      </c>
      <c r="X788" t="s">
        <v>40</v>
      </c>
      <c r="Y788">
        <v>3</v>
      </c>
      <c r="Z788">
        <v>90</v>
      </c>
      <c r="AA788">
        <v>1</v>
      </c>
      <c r="AB788">
        <v>0</v>
      </c>
      <c r="AC788">
        <v>6.2309999999999999</v>
      </c>
      <c r="AD788">
        <v>5059</v>
      </c>
      <c r="AH788">
        <v>0</v>
      </c>
      <c r="AI788">
        <v>0</v>
      </c>
      <c r="AL788" t="s">
        <v>40</v>
      </c>
      <c r="AM788" t="str">
        <f t="shared" si="63"/>
        <v>90 1</v>
      </c>
      <c r="AN788" t="str">
        <f t="shared" si="64"/>
        <v>406659.315,282940.43</v>
      </c>
      <c r="AO788" t="str">
        <f t="shared" si="65"/>
        <v>406664.971,282941.469</v>
      </c>
      <c r="AQ788" t="s">
        <v>2620</v>
      </c>
      <c r="AR788" t="s">
        <v>2621</v>
      </c>
    </row>
    <row r="789" spans="1:44" x14ac:dyDescent="0.3">
      <c r="A789">
        <v>3869</v>
      </c>
      <c r="B789">
        <v>4</v>
      </c>
      <c r="C789">
        <v>4018823</v>
      </c>
      <c r="D789">
        <v>15671</v>
      </c>
      <c r="E789">
        <v>2</v>
      </c>
      <c r="F789">
        <v>670050</v>
      </c>
      <c r="G789" t="s">
        <v>105</v>
      </c>
      <c r="H789" t="s">
        <v>67</v>
      </c>
      <c r="I789">
        <v>0</v>
      </c>
      <c r="J789" s="1">
        <v>406975.34</v>
      </c>
      <c r="K789" s="1">
        <v>284136.54300000001</v>
      </c>
      <c r="L789" s="1">
        <v>406980.58600000001</v>
      </c>
      <c r="M789" s="1">
        <v>284148.03600000002</v>
      </c>
      <c r="N789" t="s">
        <v>40</v>
      </c>
      <c r="P789" t="s">
        <v>40</v>
      </c>
      <c r="Q789">
        <v>0</v>
      </c>
      <c r="R789">
        <v>0</v>
      </c>
      <c r="S789">
        <v>0</v>
      </c>
      <c r="T789">
        <v>6</v>
      </c>
      <c r="U789">
        <v>6</v>
      </c>
      <c r="V789">
        <v>1</v>
      </c>
      <c r="W789">
        <v>1</v>
      </c>
      <c r="X789" t="s">
        <v>40</v>
      </c>
      <c r="Y789">
        <v>3</v>
      </c>
      <c r="Z789">
        <v>91</v>
      </c>
      <c r="AA789">
        <v>1</v>
      </c>
      <c r="AB789">
        <v>0</v>
      </c>
      <c r="AC789">
        <v>12.638999999999999</v>
      </c>
      <c r="AD789">
        <v>5059</v>
      </c>
      <c r="AH789">
        <v>0</v>
      </c>
      <c r="AI789">
        <v>0</v>
      </c>
      <c r="AL789" t="s">
        <v>40</v>
      </c>
      <c r="AM789" t="str">
        <f t="shared" si="63"/>
        <v>91 1</v>
      </c>
      <c r="AN789" t="str">
        <f t="shared" si="64"/>
        <v>406975.34,284136.543</v>
      </c>
      <c r="AO789" t="str">
        <f t="shared" si="65"/>
        <v>406980.586,284148.036</v>
      </c>
      <c r="AQ789" t="s">
        <v>2622</v>
      </c>
      <c r="AR789" t="s">
        <v>2623</v>
      </c>
    </row>
    <row r="790" spans="1:44" x14ac:dyDescent="0.3">
      <c r="A790">
        <v>3869</v>
      </c>
      <c r="B790">
        <v>4</v>
      </c>
      <c r="C790">
        <v>4018822</v>
      </c>
      <c r="D790">
        <v>71527</v>
      </c>
      <c r="E790">
        <v>2</v>
      </c>
      <c r="F790">
        <v>670050</v>
      </c>
      <c r="G790" t="s">
        <v>105</v>
      </c>
      <c r="H790" t="s">
        <v>67</v>
      </c>
      <c r="I790">
        <v>0</v>
      </c>
      <c r="J790" s="1">
        <v>406975.34</v>
      </c>
      <c r="K790" s="1">
        <v>284136.54300000001</v>
      </c>
      <c r="L790" s="1">
        <v>406972.87699999998</v>
      </c>
      <c r="M790" s="1">
        <v>284136.59299999999</v>
      </c>
      <c r="N790" t="s">
        <v>40</v>
      </c>
      <c r="P790" t="s">
        <v>40</v>
      </c>
      <c r="Q790">
        <v>0</v>
      </c>
      <c r="R790">
        <v>0</v>
      </c>
      <c r="S790">
        <v>200605</v>
      </c>
      <c r="T790">
        <v>6</v>
      </c>
      <c r="U790">
        <v>6</v>
      </c>
      <c r="V790">
        <v>1</v>
      </c>
      <c r="W790">
        <v>1</v>
      </c>
      <c r="X790" t="s">
        <v>40</v>
      </c>
      <c r="Y790">
        <v>3</v>
      </c>
      <c r="Z790">
        <v>5028</v>
      </c>
      <c r="AA790">
        <v>1</v>
      </c>
      <c r="AB790">
        <v>0</v>
      </c>
      <c r="AC790">
        <v>3.3959999999999999</v>
      </c>
      <c r="AD790">
        <v>5059</v>
      </c>
      <c r="AH790">
        <v>0</v>
      </c>
      <c r="AI790">
        <v>0</v>
      </c>
      <c r="AL790" t="s">
        <v>40</v>
      </c>
      <c r="AM790" t="str">
        <f t="shared" si="63"/>
        <v>5028 1</v>
      </c>
      <c r="AN790" t="str">
        <f t="shared" si="64"/>
        <v>406975.34,284136.543</v>
      </c>
      <c r="AO790" t="str">
        <f t="shared" si="65"/>
        <v>406972.877,284136.593</v>
      </c>
      <c r="AQ790" t="s">
        <v>2622</v>
      </c>
      <c r="AR790" t="s">
        <v>795</v>
      </c>
    </row>
    <row r="791" spans="1:44" x14ac:dyDescent="0.3">
      <c r="A791">
        <v>3869</v>
      </c>
      <c r="B791">
        <v>4</v>
      </c>
      <c r="C791">
        <v>4011846</v>
      </c>
      <c r="D791">
        <v>12312</v>
      </c>
      <c r="E791">
        <v>2</v>
      </c>
      <c r="F791">
        <v>670050</v>
      </c>
      <c r="G791" t="s">
        <v>105</v>
      </c>
      <c r="H791" t="s">
        <v>48</v>
      </c>
      <c r="I791">
        <v>0</v>
      </c>
      <c r="J791" s="1">
        <v>406557.76400000002</v>
      </c>
      <c r="K791" s="1">
        <v>282971.96799999999</v>
      </c>
      <c r="L791" s="1">
        <v>406659.315</v>
      </c>
      <c r="M791" s="1">
        <v>282940.43</v>
      </c>
      <c r="N791" t="s">
        <v>40</v>
      </c>
      <c r="P791" t="s">
        <v>40</v>
      </c>
      <c r="Q791">
        <v>0</v>
      </c>
      <c r="R791">
        <v>0</v>
      </c>
      <c r="S791">
        <v>0</v>
      </c>
      <c r="T791">
        <v>6</v>
      </c>
      <c r="U791">
        <v>6</v>
      </c>
      <c r="V791">
        <v>1</v>
      </c>
      <c r="W791">
        <v>2</v>
      </c>
      <c r="X791" t="s">
        <v>40</v>
      </c>
      <c r="Y791">
        <v>3</v>
      </c>
      <c r="Z791">
        <v>92</v>
      </c>
      <c r="AA791">
        <v>1</v>
      </c>
      <c r="AB791">
        <v>0</v>
      </c>
      <c r="AC791">
        <v>116.34399999999999</v>
      </c>
      <c r="AD791">
        <v>5059</v>
      </c>
      <c r="AH791">
        <v>0</v>
      </c>
      <c r="AI791">
        <v>0</v>
      </c>
      <c r="AL791" t="s">
        <v>40</v>
      </c>
      <c r="AM791" t="str">
        <f t="shared" si="63"/>
        <v>92 1</v>
      </c>
      <c r="AN791" t="str">
        <f t="shared" si="64"/>
        <v>406557.764,282971.968</v>
      </c>
      <c r="AO791" t="str">
        <f t="shared" si="65"/>
        <v>406659.315,282940.43</v>
      </c>
      <c r="AQ791" t="s">
        <v>2624</v>
      </c>
      <c r="AR791" t="s">
        <v>2620</v>
      </c>
    </row>
    <row r="792" spans="1:44" x14ac:dyDescent="0.3">
      <c r="A792">
        <v>3869</v>
      </c>
      <c r="B792">
        <v>4</v>
      </c>
      <c r="C792">
        <v>4034460</v>
      </c>
      <c r="D792">
        <v>29968</v>
      </c>
      <c r="E792">
        <v>2</v>
      </c>
      <c r="F792">
        <v>670050</v>
      </c>
      <c r="G792" t="s">
        <v>105</v>
      </c>
      <c r="H792" t="s">
        <v>106</v>
      </c>
      <c r="I792">
        <v>0</v>
      </c>
      <c r="J792" s="1">
        <v>407147.85</v>
      </c>
      <c r="K792" s="1">
        <v>284479.45500000002</v>
      </c>
      <c r="L792" s="1">
        <v>407146.56699999998</v>
      </c>
      <c r="M792" s="1">
        <v>284477.14899999998</v>
      </c>
      <c r="N792" t="s">
        <v>40</v>
      </c>
      <c r="P792" t="s">
        <v>40</v>
      </c>
      <c r="Q792">
        <v>0</v>
      </c>
      <c r="R792">
        <v>0</v>
      </c>
      <c r="S792">
        <v>0</v>
      </c>
      <c r="T792">
        <v>7</v>
      </c>
      <c r="U792">
        <v>6</v>
      </c>
      <c r="V792">
        <v>1</v>
      </c>
      <c r="W792">
        <v>1</v>
      </c>
      <c r="X792" t="s">
        <v>40</v>
      </c>
      <c r="Y792">
        <v>3</v>
      </c>
      <c r="Z792">
        <v>256</v>
      </c>
      <c r="AA792">
        <v>18</v>
      </c>
      <c r="AB792">
        <v>0</v>
      </c>
      <c r="AC792">
        <v>371.35500000000002</v>
      </c>
      <c r="AD792">
        <v>5059</v>
      </c>
      <c r="AH792">
        <v>0</v>
      </c>
      <c r="AI792">
        <v>0</v>
      </c>
      <c r="AL792" t="s">
        <v>40</v>
      </c>
      <c r="AM792" t="str">
        <f t="shared" si="63"/>
        <v>256 18</v>
      </c>
      <c r="AN792" s="6" t="s">
        <v>1400</v>
      </c>
      <c r="AO792" s="6" t="s">
        <v>1402</v>
      </c>
      <c r="AQ792" t="s">
        <v>2623</v>
      </c>
      <c r="AR792" t="s">
        <v>2625</v>
      </c>
    </row>
    <row r="793" spans="1:44" x14ac:dyDescent="0.3">
      <c r="A793">
        <v>3869</v>
      </c>
      <c r="B793">
        <v>4</v>
      </c>
      <c r="C793">
        <v>4018805</v>
      </c>
      <c r="D793">
        <v>71528</v>
      </c>
      <c r="E793">
        <v>2</v>
      </c>
      <c r="F793">
        <v>670050</v>
      </c>
      <c r="G793" t="s">
        <v>105</v>
      </c>
      <c r="H793" t="s">
        <v>67</v>
      </c>
      <c r="I793">
        <v>0</v>
      </c>
      <c r="J793" s="1">
        <v>406973.21600000001</v>
      </c>
      <c r="K793" s="1">
        <v>284131.717</v>
      </c>
      <c r="L793" s="1">
        <v>406972.62599999999</v>
      </c>
      <c r="M793" s="1">
        <v>284136.25300000003</v>
      </c>
      <c r="N793" t="s">
        <v>40</v>
      </c>
      <c r="P793" t="s">
        <v>40</v>
      </c>
      <c r="Q793">
        <v>0</v>
      </c>
      <c r="R793">
        <v>0</v>
      </c>
      <c r="S793">
        <v>0</v>
      </c>
      <c r="T793">
        <v>6</v>
      </c>
      <c r="U793">
        <v>6</v>
      </c>
      <c r="V793">
        <v>1</v>
      </c>
      <c r="W793">
        <v>1</v>
      </c>
      <c r="X793" t="s">
        <v>40</v>
      </c>
      <c r="Y793">
        <v>3</v>
      </c>
      <c r="Z793">
        <v>92</v>
      </c>
      <c r="AA793">
        <v>1</v>
      </c>
      <c r="AB793">
        <v>0</v>
      </c>
      <c r="AC793">
        <v>5.4489999999999998</v>
      </c>
      <c r="AD793">
        <v>5059</v>
      </c>
      <c r="AH793">
        <v>0</v>
      </c>
      <c r="AI793">
        <v>0</v>
      </c>
      <c r="AL793" t="s">
        <v>40</v>
      </c>
      <c r="AM793" t="str">
        <f t="shared" si="63"/>
        <v>92 1</v>
      </c>
      <c r="AN793" t="str">
        <f t="shared" si="64"/>
        <v>406973.216,284131.717</v>
      </c>
      <c r="AO793" t="str">
        <f t="shared" si="65"/>
        <v>406972.626,284136.253</v>
      </c>
      <c r="AQ793" t="s">
        <v>2626</v>
      </c>
      <c r="AR793" t="s">
        <v>794</v>
      </c>
    </row>
    <row r="794" spans="1:44" x14ac:dyDescent="0.3">
      <c r="A794">
        <v>3869</v>
      </c>
      <c r="B794">
        <v>4</v>
      </c>
      <c r="C794">
        <v>4018790</v>
      </c>
      <c r="D794">
        <v>15700</v>
      </c>
      <c r="E794">
        <v>2</v>
      </c>
      <c r="F794">
        <v>670050</v>
      </c>
      <c r="G794" t="s">
        <v>105</v>
      </c>
      <c r="H794" t="s">
        <v>67</v>
      </c>
      <c r="I794">
        <v>0</v>
      </c>
      <c r="J794" s="1">
        <v>406973.21600000001</v>
      </c>
      <c r="K794" s="1">
        <v>284131.717</v>
      </c>
      <c r="L794" s="1">
        <v>407000</v>
      </c>
      <c r="M794" s="1">
        <v>284044.75300000003</v>
      </c>
      <c r="N794" t="s">
        <v>40</v>
      </c>
      <c r="P794" t="s">
        <v>40</v>
      </c>
      <c r="Q794">
        <v>0</v>
      </c>
      <c r="R794">
        <v>0</v>
      </c>
      <c r="S794">
        <v>0</v>
      </c>
      <c r="T794">
        <v>7</v>
      </c>
      <c r="U794">
        <v>6</v>
      </c>
      <c r="V794">
        <v>1</v>
      </c>
      <c r="W794">
        <v>1</v>
      </c>
      <c r="X794" t="s">
        <v>40</v>
      </c>
      <c r="Y794">
        <v>3</v>
      </c>
      <c r="Z794">
        <v>256</v>
      </c>
      <c r="AA794">
        <v>18</v>
      </c>
      <c r="AB794">
        <v>0</v>
      </c>
      <c r="AC794">
        <v>169.03399999999999</v>
      </c>
      <c r="AD794">
        <v>5059</v>
      </c>
      <c r="AH794">
        <v>0</v>
      </c>
      <c r="AI794">
        <v>0</v>
      </c>
      <c r="AL794" t="s">
        <v>40</v>
      </c>
      <c r="AM794" t="str">
        <f t="shared" si="63"/>
        <v>256 18</v>
      </c>
      <c r="AN794" s="6" t="s">
        <v>1406</v>
      </c>
      <c r="AO794" s="6" t="s">
        <v>1403</v>
      </c>
      <c r="AQ794" t="s">
        <v>2627</v>
      </c>
      <c r="AR794" t="s">
        <v>2626</v>
      </c>
    </row>
    <row r="795" spans="1:44" x14ac:dyDescent="0.3">
      <c r="A795">
        <v>3869</v>
      </c>
      <c r="B795">
        <v>4</v>
      </c>
      <c r="C795">
        <v>4040512</v>
      </c>
      <c r="D795">
        <v>37191</v>
      </c>
      <c r="E795">
        <v>2</v>
      </c>
      <c r="F795">
        <v>670050</v>
      </c>
      <c r="G795" t="s">
        <v>105</v>
      </c>
      <c r="H795" t="s">
        <v>107</v>
      </c>
      <c r="I795">
        <v>0</v>
      </c>
      <c r="J795" s="1">
        <v>407076.14</v>
      </c>
      <c r="K795" s="1">
        <v>285650.25799999997</v>
      </c>
      <c r="L795" s="1">
        <v>407075.85200000001</v>
      </c>
      <c r="M795" s="1">
        <v>285649.31199999998</v>
      </c>
      <c r="N795" t="s">
        <v>40</v>
      </c>
      <c r="P795" t="s">
        <v>40</v>
      </c>
      <c r="Q795">
        <v>0</v>
      </c>
      <c r="R795">
        <v>0</v>
      </c>
      <c r="S795">
        <v>199903</v>
      </c>
      <c r="T795">
        <v>6</v>
      </c>
      <c r="U795">
        <v>6</v>
      </c>
      <c r="V795">
        <v>1</v>
      </c>
      <c r="W795">
        <v>1</v>
      </c>
      <c r="X795" t="s">
        <v>40</v>
      </c>
      <c r="Y795">
        <v>3</v>
      </c>
      <c r="Z795">
        <v>36</v>
      </c>
      <c r="AA795">
        <v>1</v>
      </c>
      <c r="AB795">
        <v>0</v>
      </c>
      <c r="AC795">
        <v>2.641</v>
      </c>
      <c r="AD795">
        <v>5059</v>
      </c>
      <c r="AH795">
        <v>0</v>
      </c>
      <c r="AI795">
        <v>0</v>
      </c>
      <c r="AL795" t="s">
        <v>40</v>
      </c>
      <c r="AM795" t="str">
        <f t="shared" si="63"/>
        <v>36 1</v>
      </c>
      <c r="AN795" s="6" t="s">
        <v>1763</v>
      </c>
      <c r="AO795" s="6" t="s">
        <v>1404</v>
      </c>
      <c r="AQ795" t="s">
        <v>2628</v>
      </c>
      <c r="AR795" t="s">
        <v>2628</v>
      </c>
    </row>
    <row r="796" spans="1:44" x14ac:dyDescent="0.3">
      <c r="A796">
        <v>3869</v>
      </c>
      <c r="B796">
        <v>4</v>
      </c>
      <c r="C796">
        <v>4011856</v>
      </c>
      <c r="D796">
        <v>23747</v>
      </c>
      <c r="E796">
        <v>2</v>
      </c>
      <c r="F796">
        <v>670050</v>
      </c>
      <c r="G796" t="s">
        <v>105</v>
      </c>
      <c r="H796" t="s">
        <v>48</v>
      </c>
      <c r="I796">
        <v>0</v>
      </c>
      <c r="J796" s="1">
        <v>406557.76400000002</v>
      </c>
      <c r="K796" s="1">
        <v>282971.96799999999</v>
      </c>
      <c r="L796" s="1">
        <v>406557.21399999998</v>
      </c>
      <c r="M796" s="1">
        <v>282968.19400000002</v>
      </c>
      <c r="N796" t="s">
        <v>40</v>
      </c>
      <c r="P796" t="s">
        <v>40</v>
      </c>
      <c r="Q796">
        <v>0</v>
      </c>
      <c r="R796">
        <v>0</v>
      </c>
      <c r="S796">
        <v>200906</v>
      </c>
      <c r="T796">
        <v>6</v>
      </c>
      <c r="U796">
        <v>6</v>
      </c>
      <c r="V796">
        <v>1</v>
      </c>
      <c r="W796">
        <v>2</v>
      </c>
      <c r="X796" t="s">
        <v>40</v>
      </c>
      <c r="Y796">
        <v>3</v>
      </c>
      <c r="Z796">
        <v>5023</v>
      </c>
      <c r="AA796">
        <v>1</v>
      </c>
      <c r="AB796">
        <v>0</v>
      </c>
      <c r="AC796">
        <v>3.8140000000000001</v>
      </c>
      <c r="AD796">
        <v>5059</v>
      </c>
      <c r="AH796">
        <v>0</v>
      </c>
      <c r="AI796">
        <v>0</v>
      </c>
      <c r="AL796" t="s">
        <v>40</v>
      </c>
      <c r="AM796" t="str">
        <f t="shared" si="63"/>
        <v>5023 1</v>
      </c>
      <c r="AN796" t="str">
        <f t="shared" si="64"/>
        <v>406557.764,282971.968</v>
      </c>
      <c r="AO796" t="str">
        <f t="shared" si="65"/>
        <v>406557.214,282968.194</v>
      </c>
      <c r="AQ796" t="s">
        <v>2624</v>
      </c>
      <c r="AR796" t="s">
        <v>798</v>
      </c>
    </row>
    <row r="797" spans="1:44" x14ac:dyDescent="0.3">
      <c r="A797">
        <v>3869</v>
      </c>
      <c r="B797">
        <v>4</v>
      </c>
      <c r="C797">
        <v>4034461</v>
      </c>
      <c r="D797">
        <v>29746</v>
      </c>
      <c r="E797">
        <v>2</v>
      </c>
      <c r="F797">
        <v>670050</v>
      </c>
      <c r="G797" t="s">
        <v>105</v>
      </c>
      <c r="H797" t="s">
        <v>106</v>
      </c>
      <c r="I797">
        <v>0</v>
      </c>
      <c r="J797" s="1">
        <v>407147.85</v>
      </c>
      <c r="K797" s="1">
        <v>284479.45500000002</v>
      </c>
      <c r="L797" s="1">
        <v>407207.89799999999</v>
      </c>
      <c r="M797" s="1">
        <v>284528.92099999997</v>
      </c>
      <c r="N797" t="s">
        <v>40</v>
      </c>
      <c r="P797" t="s">
        <v>40</v>
      </c>
      <c r="Q797">
        <v>0</v>
      </c>
      <c r="R797">
        <v>0</v>
      </c>
      <c r="S797">
        <v>0</v>
      </c>
      <c r="T797">
        <v>6</v>
      </c>
      <c r="U797">
        <v>6</v>
      </c>
      <c r="V797">
        <v>1</v>
      </c>
      <c r="W797">
        <v>1</v>
      </c>
      <c r="X797" t="s">
        <v>40</v>
      </c>
      <c r="Y797">
        <v>3</v>
      </c>
      <c r="Z797">
        <v>38</v>
      </c>
      <c r="AA797">
        <v>1</v>
      </c>
      <c r="AB797">
        <v>0</v>
      </c>
      <c r="AC797">
        <v>93.075000000000003</v>
      </c>
      <c r="AD797">
        <v>5059</v>
      </c>
      <c r="AH797">
        <v>0</v>
      </c>
      <c r="AI797">
        <v>0</v>
      </c>
      <c r="AL797" t="s">
        <v>40</v>
      </c>
      <c r="AM797" t="str">
        <f t="shared" si="63"/>
        <v>38 1</v>
      </c>
      <c r="AN797" t="str">
        <f t="shared" si="64"/>
        <v>407147.85,284479.455</v>
      </c>
      <c r="AO797" t="str">
        <f t="shared" si="65"/>
        <v>407207.898,284528.921</v>
      </c>
      <c r="AQ797" t="s">
        <v>2625</v>
      </c>
      <c r="AR797" t="s">
        <v>2629</v>
      </c>
    </row>
    <row r="798" spans="1:44" x14ac:dyDescent="0.3">
      <c r="A798">
        <v>3869</v>
      </c>
      <c r="B798">
        <v>4</v>
      </c>
      <c r="C798">
        <v>4008386</v>
      </c>
      <c r="D798">
        <v>45069</v>
      </c>
      <c r="E798">
        <v>2</v>
      </c>
      <c r="F798">
        <v>670050</v>
      </c>
      <c r="G798" t="s">
        <v>105</v>
      </c>
      <c r="H798" t="s">
        <v>71</v>
      </c>
      <c r="I798">
        <v>0</v>
      </c>
      <c r="J798" s="1">
        <v>406895.88500000001</v>
      </c>
      <c r="K798" s="1">
        <v>283620.48800000001</v>
      </c>
      <c r="L798" s="1">
        <v>406894.42700000003</v>
      </c>
      <c r="M798" s="1">
        <v>283623.63299999997</v>
      </c>
      <c r="N798" t="s">
        <v>40</v>
      </c>
      <c r="P798" t="s">
        <v>40</v>
      </c>
      <c r="Q798">
        <v>0</v>
      </c>
      <c r="R798">
        <v>0</v>
      </c>
      <c r="S798">
        <v>0</v>
      </c>
      <c r="T798">
        <v>6</v>
      </c>
      <c r="U798">
        <v>6</v>
      </c>
      <c r="V798">
        <v>1</v>
      </c>
      <c r="W798">
        <v>1</v>
      </c>
      <c r="X798" t="s">
        <v>40</v>
      </c>
      <c r="Y798">
        <v>3</v>
      </c>
      <c r="Z798">
        <v>5030</v>
      </c>
      <c r="AA798">
        <v>1</v>
      </c>
      <c r="AB798">
        <v>0</v>
      </c>
      <c r="AC798">
        <v>5.1950000000000003</v>
      </c>
      <c r="AD798">
        <v>5059</v>
      </c>
      <c r="AH798">
        <v>0</v>
      </c>
      <c r="AI798">
        <v>0</v>
      </c>
      <c r="AL798" t="s">
        <v>40</v>
      </c>
      <c r="AM798" t="str">
        <f t="shared" si="63"/>
        <v>5030 1</v>
      </c>
      <c r="AN798" t="str">
        <f t="shared" si="64"/>
        <v>406895.885,283620.488</v>
      </c>
      <c r="AO798" t="str">
        <f t="shared" si="65"/>
        <v>406894.427,283623.633</v>
      </c>
      <c r="AQ798" t="s">
        <v>2630</v>
      </c>
      <c r="AR798" t="s">
        <v>792</v>
      </c>
    </row>
    <row r="799" spans="1:44" x14ac:dyDescent="0.3">
      <c r="A799">
        <v>3869</v>
      </c>
      <c r="B799">
        <v>4</v>
      </c>
      <c r="C799">
        <v>4008403</v>
      </c>
      <c r="D799">
        <v>45068</v>
      </c>
      <c r="E799">
        <v>2</v>
      </c>
      <c r="F799">
        <v>670050</v>
      </c>
      <c r="G799" t="s">
        <v>105</v>
      </c>
      <c r="H799" t="s">
        <v>71</v>
      </c>
      <c r="I799">
        <v>0</v>
      </c>
      <c r="J799" s="1">
        <v>406896.15700000001</v>
      </c>
      <c r="K799" s="1">
        <v>283620.80300000001</v>
      </c>
      <c r="L799" s="1">
        <v>406894.908</v>
      </c>
      <c r="M799" s="1">
        <v>283623.56900000002</v>
      </c>
      <c r="N799" t="s">
        <v>40</v>
      </c>
      <c r="P799" t="s">
        <v>40</v>
      </c>
      <c r="Q799">
        <v>0</v>
      </c>
      <c r="R799">
        <v>0</v>
      </c>
      <c r="S799">
        <v>0</v>
      </c>
      <c r="T799">
        <v>6</v>
      </c>
      <c r="U799">
        <v>6</v>
      </c>
      <c r="V799">
        <v>1</v>
      </c>
      <c r="W799">
        <v>1</v>
      </c>
      <c r="X799" t="s">
        <v>40</v>
      </c>
      <c r="Y799">
        <v>3</v>
      </c>
      <c r="Z799">
        <v>5030</v>
      </c>
      <c r="AA799">
        <v>1</v>
      </c>
      <c r="AB799">
        <v>0</v>
      </c>
      <c r="AC799">
        <v>3.9460000000000002</v>
      </c>
      <c r="AD799">
        <v>5059</v>
      </c>
      <c r="AH799">
        <v>0</v>
      </c>
      <c r="AI799">
        <v>0</v>
      </c>
      <c r="AL799" t="s">
        <v>40</v>
      </c>
      <c r="AM799" t="str">
        <f t="shared" si="63"/>
        <v>5030 1</v>
      </c>
      <c r="AN799" t="str">
        <f t="shared" si="64"/>
        <v>406896.157,283620.803</v>
      </c>
      <c r="AO799" t="str">
        <f t="shared" si="65"/>
        <v>406894.908,283623.569</v>
      </c>
      <c r="AQ799" t="s">
        <v>2631</v>
      </c>
      <c r="AR799" t="s">
        <v>792</v>
      </c>
    </row>
    <row r="800" spans="1:44" x14ac:dyDescent="0.3">
      <c r="A800">
        <v>3869</v>
      </c>
      <c r="B800">
        <v>4</v>
      </c>
      <c r="C800">
        <v>4008387</v>
      </c>
      <c r="D800">
        <v>45070</v>
      </c>
      <c r="E800">
        <v>2</v>
      </c>
      <c r="F800">
        <v>670050</v>
      </c>
      <c r="G800" t="s">
        <v>105</v>
      </c>
      <c r="H800" t="s">
        <v>71</v>
      </c>
      <c r="I800">
        <v>0</v>
      </c>
      <c r="J800" s="1">
        <v>406897.92700000003</v>
      </c>
      <c r="K800" s="1">
        <v>283623.54399999999</v>
      </c>
      <c r="L800" s="1">
        <v>406894.53700000001</v>
      </c>
      <c r="M800" s="1">
        <v>283623.12199999997</v>
      </c>
      <c r="N800" t="s">
        <v>40</v>
      </c>
      <c r="P800" t="s">
        <v>40</v>
      </c>
      <c r="Q800">
        <v>0</v>
      </c>
      <c r="R800">
        <v>0</v>
      </c>
      <c r="S800">
        <v>0</v>
      </c>
      <c r="T800">
        <v>6</v>
      </c>
      <c r="U800">
        <v>6</v>
      </c>
      <c r="V800">
        <v>1</v>
      </c>
      <c r="W800">
        <v>3</v>
      </c>
      <c r="X800" t="s">
        <v>40</v>
      </c>
      <c r="Y800">
        <v>3</v>
      </c>
      <c r="Z800">
        <v>36</v>
      </c>
      <c r="AA800">
        <v>5001</v>
      </c>
      <c r="AB800">
        <v>0</v>
      </c>
      <c r="AC800">
        <v>4.5</v>
      </c>
      <c r="AD800">
        <v>5059</v>
      </c>
      <c r="AH800">
        <v>0</v>
      </c>
      <c r="AI800">
        <v>0</v>
      </c>
      <c r="AL800" t="s">
        <v>40</v>
      </c>
      <c r="AM800" t="str">
        <f t="shared" si="63"/>
        <v>36 5001</v>
      </c>
      <c r="AN800" t="str">
        <f t="shared" si="64"/>
        <v>406897.927,283623.544</v>
      </c>
      <c r="AO800" t="str">
        <f t="shared" si="65"/>
        <v>406894.537,283623.122</v>
      </c>
      <c r="AQ800" t="s">
        <v>2632</v>
      </c>
      <c r="AR800" t="s">
        <v>793</v>
      </c>
    </row>
    <row r="801" spans="1:44" x14ac:dyDescent="0.3">
      <c r="A801">
        <v>3869</v>
      </c>
      <c r="B801">
        <v>4</v>
      </c>
      <c r="C801">
        <v>4034545</v>
      </c>
      <c r="D801">
        <v>159</v>
      </c>
      <c r="E801">
        <v>2</v>
      </c>
      <c r="F801">
        <v>670050</v>
      </c>
      <c r="G801" t="s">
        <v>105</v>
      </c>
      <c r="H801" t="s">
        <v>106</v>
      </c>
      <c r="I801">
        <v>0</v>
      </c>
      <c r="J801" s="1">
        <v>407417.35600000003</v>
      </c>
      <c r="K801" s="1">
        <v>284937.02600000001</v>
      </c>
      <c r="L801" s="1">
        <v>407324.62</v>
      </c>
      <c r="M801" s="1">
        <v>285000</v>
      </c>
      <c r="N801" t="s">
        <v>40</v>
      </c>
      <c r="P801" t="s">
        <v>40</v>
      </c>
      <c r="Q801">
        <v>0</v>
      </c>
      <c r="R801">
        <v>0</v>
      </c>
      <c r="S801">
        <v>0</v>
      </c>
      <c r="T801">
        <v>6</v>
      </c>
      <c r="U801">
        <v>6</v>
      </c>
      <c r="V801">
        <v>1</v>
      </c>
      <c r="W801">
        <v>2</v>
      </c>
      <c r="X801" t="s">
        <v>40</v>
      </c>
      <c r="Y801">
        <v>3</v>
      </c>
      <c r="Z801">
        <v>38</v>
      </c>
      <c r="AA801">
        <v>5001</v>
      </c>
      <c r="AB801">
        <v>0</v>
      </c>
      <c r="AC801">
        <v>230.13200000000001</v>
      </c>
      <c r="AD801">
        <v>5059</v>
      </c>
      <c r="AH801">
        <v>0</v>
      </c>
      <c r="AI801">
        <v>0</v>
      </c>
      <c r="AL801" t="s">
        <v>40</v>
      </c>
      <c r="AM801" t="str">
        <f t="shared" si="63"/>
        <v>38 5001</v>
      </c>
      <c r="AN801" s="6" t="s">
        <v>1757</v>
      </c>
      <c r="AO801" s="6" t="s">
        <v>1755</v>
      </c>
      <c r="AQ801" t="s">
        <v>2633</v>
      </c>
      <c r="AR801" t="s">
        <v>2634</v>
      </c>
    </row>
    <row r="802" spans="1:44" x14ac:dyDescent="0.3">
      <c r="A802">
        <v>3869</v>
      </c>
      <c r="B802">
        <v>4</v>
      </c>
      <c r="C802">
        <v>4026815</v>
      </c>
      <c r="D802">
        <v>25135</v>
      </c>
      <c r="E802">
        <v>2</v>
      </c>
      <c r="F802">
        <v>670050</v>
      </c>
      <c r="G802" t="s">
        <v>105</v>
      </c>
      <c r="H802" t="s">
        <v>41</v>
      </c>
      <c r="I802">
        <v>0</v>
      </c>
      <c r="J802" s="1">
        <v>405560.81599999999</v>
      </c>
      <c r="K802" s="1">
        <v>281213.60100000002</v>
      </c>
      <c r="L802" s="1">
        <v>405556.179</v>
      </c>
      <c r="M802" s="1">
        <v>281207.21000000002</v>
      </c>
      <c r="N802" t="s">
        <v>40</v>
      </c>
      <c r="P802" t="s">
        <v>40</v>
      </c>
      <c r="Q802">
        <v>0</v>
      </c>
      <c r="R802">
        <v>0</v>
      </c>
      <c r="S802">
        <v>0</v>
      </c>
      <c r="T802">
        <v>6</v>
      </c>
      <c r="U802">
        <v>6</v>
      </c>
      <c r="V802">
        <v>1</v>
      </c>
      <c r="W802">
        <v>2</v>
      </c>
      <c r="X802" t="s">
        <v>40</v>
      </c>
      <c r="Y802">
        <v>3</v>
      </c>
      <c r="Z802">
        <v>86</v>
      </c>
      <c r="AA802">
        <v>1</v>
      </c>
      <c r="AB802">
        <v>0</v>
      </c>
      <c r="AC802">
        <v>80.019000000000005</v>
      </c>
      <c r="AD802">
        <v>5059</v>
      </c>
      <c r="AH802">
        <v>0</v>
      </c>
      <c r="AI802">
        <v>0</v>
      </c>
      <c r="AL802" t="s">
        <v>40</v>
      </c>
      <c r="AM802" t="str">
        <f t="shared" si="63"/>
        <v>86 1</v>
      </c>
      <c r="AN802" s="6" t="s">
        <v>1419</v>
      </c>
      <c r="AO802" s="6" t="s">
        <v>1410</v>
      </c>
      <c r="AQ802" t="s">
        <v>2635</v>
      </c>
      <c r="AR802" t="s">
        <v>2636</v>
      </c>
    </row>
    <row r="803" spans="1:44" x14ac:dyDescent="0.3">
      <c r="A803">
        <v>3869</v>
      </c>
      <c r="B803">
        <v>4</v>
      </c>
      <c r="C803">
        <v>4026817</v>
      </c>
      <c r="D803">
        <v>25021</v>
      </c>
      <c r="E803">
        <v>2</v>
      </c>
      <c r="F803">
        <v>670050</v>
      </c>
      <c r="G803" t="s">
        <v>105</v>
      </c>
      <c r="H803" t="s">
        <v>41</v>
      </c>
      <c r="I803">
        <v>0</v>
      </c>
      <c r="J803" s="1">
        <v>405626.59700000001</v>
      </c>
      <c r="K803" s="1">
        <v>281187.12300000002</v>
      </c>
      <c r="L803" s="1">
        <v>405631.44300000003</v>
      </c>
      <c r="M803" s="1">
        <v>281186.745</v>
      </c>
      <c r="N803" t="s">
        <v>40</v>
      </c>
      <c r="P803" t="s">
        <v>40</v>
      </c>
      <c r="Q803">
        <v>0</v>
      </c>
      <c r="R803">
        <v>0</v>
      </c>
      <c r="S803">
        <v>200509</v>
      </c>
      <c r="T803">
        <v>6</v>
      </c>
      <c r="U803">
        <v>6</v>
      </c>
      <c r="V803">
        <v>1</v>
      </c>
      <c r="W803">
        <v>2</v>
      </c>
      <c r="X803" t="s">
        <v>40</v>
      </c>
      <c r="Y803">
        <v>3</v>
      </c>
      <c r="Z803">
        <v>5023</v>
      </c>
      <c r="AA803">
        <v>1</v>
      </c>
      <c r="AB803">
        <v>0</v>
      </c>
      <c r="AC803">
        <v>5.0030000000000001</v>
      </c>
      <c r="AD803">
        <v>5059</v>
      </c>
      <c r="AH803">
        <v>0</v>
      </c>
      <c r="AI803">
        <v>0</v>
      </c>
      <c r="AL803" t="s">
        <v>40</v>
      </c>
      <c r="AM803" t="str">
        <f t="shared" si="63"/>
        <v>5023 1</v>
      </c>
      <c r="AN803" t="str">
        <f t="shared" si="64"/>
        <v>405626.597,281187.123</v>
      </c>
      <c r="AO803" t="str">
        <f t="shared" si="65"/>
        <v>405631.443,281186.745</v>
      </c>
      <c r="AQ803" t="s">
        <v>2636</v>
      </c>
      <c r="AR803" t="s">
        <v>2637</v>
      </c>
    </row>
    <row r="804" spans="1:44" x14ac:dyDescent="0.3">
      <c r="A804">
        <v>3869</v>
      </c>
      <c r="B804">
        <v>4</v>
      </c>
      <c r="C804">
        <v>4034580</v>
      </c>
      <c r="D804">
        <v>53136</v>
      </c>
      <c r="E804">
        <v>2</v>
      </c>
      <c r="F804">
        <v>670050</v>
      </c>
      <c r="G804" t="s">
        <v>105</v>
      </c>
      <c r="H804" t="s">
        <v>106</v>
      </c>
      <c r="I804">
        <v>0</v>
      </c>
      <c r="J804" s="1">
        <v>407640.97600000002</v>
      </c>
      <c r="K804" s="1">
        <v>284852.17800000001</v>
      </c>
      <c r="L804" s="1">
        <v>407642.64299999998</v>
      </c>
      <c r="M804" s="1">
        <v>284851.52600000001</v>
      </c>
      <c r="N804" t="s">
        <v>40</v>
      </c>
      <c r="P804" t="s">
        <v>40</v>
      </c>
      <c r="Q804">
        <v>0</v>
      </c>
      <c r="R804">
        <v>0</v>
      </c>
      <c r="S804">
        <v>199808</v>
      </c>
      <c r="T804">
        <v>6</v>
      </c>
      <c r="U804">
        <v>6</v>
      </c>
      <c r="V804">
        <v>1</v>
      </c>
      <c r="W804">
        <v>2</v>
      </c>
      <c r="X804" t="s">
        <v>40</v>
      </c>
      <c r="Y804">
        <v>3</v>
      </c>
      <c r="Z804">
        <v>40</v>
      </c>
      <c r="AA804">
        <v>1</v>
      </c>
      <c r="AB804">
        <v>0</v>
      </c>
      <c r="AC804">
        <v>1.8149999999999999</v>
      </c>
      <c r="AD804">
        <v>5059</v>
      </c>
      <c r="AH804">
        <v>0</v>
      </c>
      <c r="AI804">
        <v>0</v>
      </c>
      <c r="AL804" t="s">
        <v>40</v>
      </c>
      <c r="AM804" t="str">
        <f t="shared" si="63"/>
        <v>40 1</v>
      </c>
      <c r="AN804" t="str">
        <f t="shared" si="64"/>
        <v>407640.976,284852.178</v>
      </c>
      <c r="AO804" t="str">
        <f t="shared" si="65"/>
        <v>407642.643,284851.526</v>
      </c>
      <c r="AQ804" t="s">
        <v>2638</v>
      </c>
      <c r="AR804" t="s">
        <v>2639</v>
      </c>
    </row>
    <row r="805" spans="1:44" x14ac:dyDescent="0.3">
      <c r="A805">
        <v>3869</v>
      </c>
      <c r="B805">
        <v>4</v>
      </c>
      <c r="C805">
        <v>4034574</v>
      </c>
      <c r="D805">
        <v>32608</v>
      </c>
      <c r="E805">
        <v>2</v>
      </c>
      <c r="F805">
        <v>670050</v>
      </c>
      <c r="G805" t="s">
        <v>105</v>
      </c>
      <c r="H805" t="s">
        <v>106</v>
      </c>
      <c r="I805">
        <v>0</v>
      </c>
      <c r="J805" s="1">
        <v>407614.64600000001</v>
      </c>
      <c r="K805" s="1">
        <v>284822.69199999998</v>
      </c>
      <c r="L805" s="1">
        <v>407640.97600000002</v>
      </c>
      <c r="M805" s="1">
        <v>284852.17800000001</v>
      </c>
      <c r="N805" t="s">
        <v>40</v>
      </c>
      <c r="P805" t="s">
        <v>40</v>
      </c>
      <c r="Q805">
        <v>0</v>
      </c>
      <c r="R805">
        <v>0</v>
      </c>
      <c r="S805">
        <v>0</v>
      </c>
      <c r="T805">
        <v>6</v>
      </c>
      <c r="U805">
        <v>6</v>
      </c>
      <c r="V805">
        <v>1</v>
      </c>
      <c r="W805">
        <v>2</v>
      </c>
      <c r="X805" t="s">
        <v>40</v>
      </c>
      <c r="Y805">
        <v>3</v>
      </c>
      <c r="Z805">
        <v>54</v>
      </c>
      <c r="AA805">
        <v>1</v>
      </c>
      <c r="AB805">
        <v>0</v>
      </c>
      <c r="AC805">
        <v>43.048000000000002</v>
      </c>
      <c r="AD805">
        <v>5059</v>
      </c>
      <c r="AH805">
        <v>0</v>
      </c>
      <c r="AI805">
        <v>0</v>
      </c>
      <c r="AL805" t="s">
        <v>40</v>
      </c>
      <c r="AM805" t="str">
        <f t="shared" si="63"/>
        <v>54 1</v>
      </c>
      <c r="AN805" t="str">
        <f t="shared" si="64"/>
        <v>407614.646,284822.692</v>
      </c>
      <c r="AO805" t="str">
        <f t="shared" si="65"/>
        <v>407640.976,284852.178</v>
      </c>
      <c r="AQ805" t="s">
        <v>2640</v>
      </c>
      <c r="AR805" t="s">
        <v>2638</v>
      </c>
    </row>
    <row r="806" spans="1:44" x14ac:dyDescent="0.3">
      <c r="A806">
        <v>3869</v>
      </c>
      <c r="B806">
        <v>4</v>
      </c>
      <c r="C806">
        <v>4034573</v>
      </c>
      <c r="D806">
        <v>33312</v>
      </c>
      <c r="E806">
        <v>2</v>
      </c>
      <c r="F806">
        <v>670050</v>
      </c>
      <c r="G806" t="s">
        <v>105</v>
      </c>
      <c r="H806" t="s">
        <v>106</v>
      </c>
      <c r="I806">
        <v>0</v>
      </c>
      <c r="J806" s="1">
        <v>407614.64600000001</v>
      </c>
      <c r="K806" s="1">
        <v>284822.69199999998</v>
      </c>
      <c r="L806" s="1">
        <v>407485.80499999999</v>
      </c>
      <c r="M806" s="1">
        <v>284892.52799999999</v>
      </c>
      <c r="N806" t="s">
        <v>40</v>
      </c>
      <c r="P806" t="s">
        <v>40</v>
      </c>
      <c r="Q806">
        <v>0</v>
      </c>
      <c r="R806">
        <v>0</v>
      </c>
      <c r="S806">
        <v>0</v>
      </c>
      <c r="T806">
        <v>6</v>
      </c>
      <c r="U806">
        <v>6</v>
      </c>
      <c r="V806">
        <v>1</v>
      </c>
      <c r="W806">
        <v>2</v>
      </c>
      <c r="X806" t="s">
        <v>40</v>
      </c>
      <c r="Y806">
        <v>3</v>
      </c>
      <c r="Z806">
        <v>52</v>
      </c>
      <c r="AA806">
        <v>1</v>
      </c>
      <c r="AB806">
        <v>0</v>
      </c>
      <c r="AC806">
        <v>146.66800000000001</v>
      </c>
      <c r="AD806">
        <v>5059</v>
      </c>
      <c r="AH806">
        <v>0</v>
      </c>
      <c r="AI806">
        <v>0</v>
      </c>
      <c r="AL806" t="s">
        <v>40</v>
      </c>
      <c r="AM806" t="str">
        <f t="shared" si="63"/>
        <v>52 1</v>
      </c>
      <c r="AN806" t="str">
        <f t="shared" si="64"/>
        <v>407614.646,284822.692</v>
      </c>
      <c r="AO806" t="str">
        <f t="shared" si="65"/>
        <v>407485.805,284892.528</v>
      </c>
      <c r="AQ806" t="s">
        <v>2640</v>
      </c>
      <c r="AR806" t="s">
        <v>2634</v>
      </c>
    </row>
    <row r="807" spans="1:44" x14ac:dyDescent="0.3">
      <c r="A807">
        <v>3869</v>
      </c>
      <c r="B807">
        <v>4</v>
      </c>
      <c r="C807">
        <v>4026818</v>
      </c>
      <c r="D807">
        <v>25022</v>
      </c>
      <c r="E807">
        <v>2</v>
      </c>
      <c r="F807">
        <v>670050</v>
      </c>
      <c r="G807" t="s">
        <v>105</v>
      </c>
      <c r="H807" t="s">
        <v>41</v>
      </c>
      <c r="I807">
        <v>0</v>
      </c>
      <c r="J807" s="1">
        <v>405631.44300000003</v>
      </c>
      <c r="K807" s="1">
        <v>281186.745</v>
      </c>
      <c r="L807" s="1">
        <v>405656.02299999999</v>
      </c>
      <c r="M807" s="1">
        <v>281180.52100000001</v>
      </c>
      <c r="N807" t="s">
        <v>40</v>
      </c>
      <c r="P807" t="s">
        <v>40</v>
      </c>
      <c r="Q807">
        <v>0</v>
      </c>
      <c r="R807">
        <v>0</v>
      </c>
      <c r="S807">
        <v>0</v>
      </c>
      <c r="T807">
        <v>6</v>
      </c>
      <c r="U807">
        <v>6</v>
      </c>
      <c r="V807">
        <v>1</v>
      </c>
      <c r="W807">
        <v>2</v>
      </c>
      <c r="X807" t="s">
        <v>40</v>
      </c>
      <c r="Y807">
        <v>3</v>
      </c>
      <c r="Z807">
        <v>49</v>
      </c>
      <c r="AA807">
        <v>1</v>
      </c>
      <c r="AB807">
        <v>0</v>
      </c>
      <c r="AC807">
        <v>26.673999999999999</v>
      </c>
      <c r="AD807">
        <v>5059</v>
      </c>
      <c r="AH807">
        <v>0</v>
      </c>
      <c r="AI807">
        <v>0</v>
      </c>
      <c r="AL807" t="s">
        <v>40</v>
      </c>
      <c r="AM807" t="str">
        <f t="shared" si="63"/>
        <v>49 1</v>
      </c>
      <c r="AN807" t="str">
        <f t="shared" si="64"/>
        <v>405631.443,281186.745</v>
      </c>
      <c r="AO807" t="str">
        <f t="shared" si="65"/>
        <v>405656.023,281180.521</v>
      </c>
      <c r="AQ807" t="s">
        <v>2637</v>
      </c>
      <c r="AR807" t="s">
        <v>2641</v>
      </c>
    </row>
    <row r="808" spans="1:44" x14ac:dyDescent="0.3">
      <c r="A808">
        <v>3869</v>
      </c>
      <c r="B808">
        <v>4</v>
      </c>
      <c r="C808">
        <v>4026819</v>
      </c>
      <c r="D808">
        <v>25081</v>
      </c>
      <c r="E808">
        <v>2</v>
      </c>
      <c r="F808">
        <v>670050</v>
      </c>
      <c r="G808" t="s">
        <v>105</v>
      </c>
      <c r="H808" t="s">
        <v>41</v>
      </c>
      <c r="I808">
        <v>0</v>
      </c>
      <c r="J808" s="1">
        <v>405656.02299999999</v>
      </c>
      <c r="K808" s="1">
        <v>281180.52100000001</v>
      </c>
      <c r="L808" s="1">
        <v>405701.60200000001</v>
      </c>
      <c r="M808" s="1">
        <v>281285.55900000001</v>
      </c>
      <c r="N808" t="s">
        <v>40</v>
      </c>
      <c r="P808" t="s">
        <v>40</v>
      </c>
      <c r="Q808">
        <v>0</v>
      </c>
      <c r="R808">
        <v>0</v>
      </c>
      <c r="S808">
        <v>0</v>
      </c>
      <c r="T808">
        <v>7</v>
      </c>
      <c r="U808">
        <v>6</v>
      </c>
      <c r="V808">
        <v>1</v>
      </c>
      <c r="W808">
        <v>1</v>
      </c>
      <c r="X808" t="s">
        <v>40</v>
      </c>
      <c r="Y808">
        <v>3</v>
      </c>
      <c r="Z808">
        <v>316</v>
      </c>
      <c r="AA808">
        <v>18</v>
      </c>
      <c r="AB808">
        <v>0</v>
      </c>
      <c r="AC808">
        <v>114.503</v>
      </c>
      <c r="AD808">
        <v>5059</v>
      </c>
      <c r="AH808">
        <v>0</v>
      </c>
      <c r="AI808">
        <v>0</v>
      </c>
      <c r="AL808" t="s">
        <v>40</v>
      </c>
      <c r="AM808" t="str">
        <f t="shared" si="63"/>
        <v>316 18</v>
      </c>
      <c r="AN808" t="str">
        <f t="shared" si="64"/>
        <v>405656.023,281180.521</v>
      </c>
      <c r="AO808" t="str">
        <f t="shared" si="65"/>
        <v>405701.602,281285.559</v>
      </c>
      <c r="AQ808" t="s">
        <v>2641</v>
      </c>
      <c r="AR808" t="s">
        <v>2642</v>
      </c>
    </row>
    <row r="809" spans="1:44" x14ac:dyDescent="0.3">
      <c r="A809">
        <v>3869</v>
      </c>
      <c r="B809">
        <v>4</v>
      </c>
      <c r="C809">
        <v>4034494</v>
      </c>
      <c r="D809">
        <v>31469</v>
      </c>
      <c r="E809">
        <v>2</v>
      </c>
      <c r="F809">
        <v>670050</v>
      </c>
      <c r="G809" t="s">
        <v>105</v>
      </c>
      <c r="H809" t="s">
        <v>106</v>
      </c>
      <c r="I809">
        <v>0</v>
      </c>
      <c r="J809" s="1">
        <v>407277.04399999999</v>
      </c>
      <c r="K809" s="1">
        <v>284675.24699999997</v>
      </c>
      <c r="L809" s="1">
        <v>407271.78100000002</v>
      </c>
      <c r="M809" s="1">
        <v>284690.57500000001</v>
      </c>
      <c r="N809" t="s">
        <v>40</v>
      </c>
      <c r="P809" t="s">
        <v>40</v>
      </c>
      <c r="Q809">
        <v>0</v>
      </c>
      <c r="R809">
        <v>0</v>
      </c>
      <c r="S809">
        <v>0</v>
      </c>
      <c r="T809">
        <v>6</v>
      </c>
      <c r="U809">
        <v>6</v>
      </c>
      <c r="V809">
        <v>1</v>
      </c>
      <c r="W809">
        <v>1</v>
      </c>
      <c r="X809" t="s">
        <v>40</v>
      </c>
      <c r="Y809">
        <v>3</v>
      </c>
      <c r="Z809">
        <v>89</v>
      </c>
      <c r="AA809">
        <v>1</v>
      </c>
      <c r="AB809">
        <v>0</v>
      </c>
      <c r="AC809">
        <v>184.27500000000001</v>
      </c>
      <c r="AD809">
        <v>5059</v>
      </c>
      <c r="AH809">
        <v>0</v>
      </c>
      <c r="AI809">
        <v>0</v>
      </c>
      <c r="AL809" t="s">
        <v>40</v>
      </c>
      <c r="AM809" t="str">
        <f t="shared" si="63"/>
        <v>89 1</v>
      </c>
      <c r="AN809" s="6" t="s">
        <v>1418</v>
      </c>
      <c r="AO809" s="6" t="s">
        <v>1752</v>
      </c>
      <c r="AQ809" t="s">
        <v>2643</v>
      </c>
      <c r="AR809" t="s">
        <v>2629</v>
      </c>
    </row>
    <row r="810" spans="1:44" x14ac:dyDescent="0.3">
      <c r="A810">
        <v>3869</v>
      </c>
      <c r="B810">
        <v>4</v>
      </c>
      <c r="C810">
        <v>4034543</v>
      </c>
      <c r="D810">
        <v>155</v>
      </c>
      <c r="E810">
        <v>2</v>
      </c>
      <c r="F810">
        <v>670050</v>
      </c>
      <c r="G810" t="s">
        <v>105</v>
      </c>
      <c r="H810" t="s">
        <v>106</v>
      </c>
      <c r="I810">
        <v>0</v>
      </c>
      <c r="J810" s="1">
        <v>407308.89399999997</v>
      </c>
      <c r="K810" s="1">
        <v>284988.24400000001</v>
      </c>
      <c r="L810" s="1">
        <v>407323.91</v>
      </c>
      <c r="M810" s="1">
        <v>285000</v>
      </c>
      <c r="N810" t="s">
        <v>40</v>
      </c>
      <c r="P810" t="s">
        <v>40</v>
      </c>
      <c r="Q810">
        <v>0</v>
      </c>
      <c r="R810">
        <v>0</v>
      </c>
      <c r="S810">
        <v>0</v>
      </c>
      <c r="T810">
        <v>6</v>
      </c>
      <c r="U810">
        <v>6</v>
      </c>
      <c r="V810">
        <v>1</v>
      </c>
      <c r="W810">
        <v>1</v>
      </c>
      <c r="X810" t="s">
        <v>40</v>
      </c>
      <c r="Y810">
        <v>3</v>
      </c>
      <c r="Z810">
        <v>38</v>
      </c>
      <c r="AA810">
        <v>1</v>
      </c>
      <c r="AB810">
        <v>0</v>
      </c>
      <c r="AC810">
        <v>60.042000000000002</v>
      </c>
      <c r="AD810">
        <v>5059</v>
      </c>
      <c r="AH810">
        <v>0</v>
      </c>
      <c r="AI810">
        <v>0</v>
      </c>
      <c r="AL810" t="s">
        <v>40</v>
      </c>
      <c r="AM810" t="str">
        <f t="shared" ref="AM810:AM841" si="66">_xlfn.CONCAT(Z810, " ",AA810)</f>
        <v>38 1</v>
      </c>
      <c r="AN810" s="6" t="s">
        <v>1416</v>
      </c>
      <c r="AO810" s="6" t="s">
        <v>1757</v>
      </c>
      <c r="AQ810" t="s">
        <v>2644</v>
      </c>
      <c r="AR810" t="s">
        <v>2633</v>
      </c>
    </row>
    <row r="811" spans="1:44" x14ac:dyDescent="0.3">
      <c r="A811">
        <v>3869</v>
      </c>
      <c r="B811">
        <v>4</v>
      </c>
      <c r="C811">
        <v>4034541</v>
      </c>
      <c r="D811">
        <v>33428</v>
      </c>
      <c r="E811">
        <v>2</v>
      </c>
      <c r="F811">
        <v>670050</v>
      </c>
      <c r="G811" t="s">
        <v>105</v>
      </c>
      <c r="H811" t="s">
        <v>106</v>
      </c>
      <c r="I811">
        <v>0</v>
      </c>
      <c r="J811" s="1">
        <v>407306.73499999999</v>
      </c>
      <c r="K811" s="1">
        <v>284984.43099999998</v>
      </c>
      <c r="L811" s="1">
        <v>407263.95</v>
      </c>
      <c r="M811" s="1">
        <v>284892.33299999998</v>
      </c>
      <c r="N811" t="s">
        <v>40</v>
      </c>
      <c r="P811" t="s">
        <v>40</v>
      </c>
      <c r="Q811">
        <v>0</v>
      </c>
      <c r="R811">
        <v>0</v>
      </c>
      <c r="S811">
        <v>0</v>
      </c>
      <c r="T811">
        <v>6</v>
      </c>
      <c r="U811">
        <v>6</v>
      </c>
      <c r="V811">
        <v>1</v>
      </c>
      <c r="W811">
        <v>1</v>
      </c>
      <c r="X811" t="s">
        <v>40</v>
      </c>
      <c r="Y811">
        <v>3</v>
      </c>
      <c r="Z811">
        <v>38</v>
      </c>
      <c r="AA811">
        <v>5001</v>
      </c>
      <c r="AB811">
        <v>0</v>
      </c>
      <c r="AC811">
        <v>101.876</v>
      </c>
      <c r="AD811">
        <v>5059</v>
      </c>
      <c r="AH811">
        <v>0</v>
      </c>
      <c r="AI811">
        <v>0</v>
      </c>
      <c r="AL811" t="s">
        <v>40</v>
      </c>
      <c r="AM811" t="str">
        <f t="shared" si="66"/>
        <v>38 5001</v>
      </c>
      <c r="AN811" t="str">
        <f t="shared" ref="AN811:AN840" si="67">ROUND(J811,3)&amp;","&amp;ROUND(K811,3)</f>
        <v>407306.735,284984.431</v>
      </c>
      <c r="AO811" t="str">
        <f t="shared" ref="AO811:AO840" si="68">ROUND(L811,3)&amp;","&amp;ROUND(M811,3)</f>
        <v>407263.95,284892.333</v>
      </c>
      <c r="AQ811" t="s">
        <v>2644</v>
      </c>
      <c r="AR811" t="s">
        <v>2645</v>
      </c>
    </row>
    <row r="812" spans="1:44" x14ac:dyDescent="0.3">
      <c r="A812">
        <v>3869</v>
      </c>
      <c r="B812">
        <v>4</v>
      </c>
      <c r="C812">
        <v>4034523</v>
      </c>
      <c r="D812">
        <v>30245</v>
      </c>
      <c r="E812">
        <v>2</v>
      </c>
      <c r="F812">
        <v>670050</v>
      </c>
      <c r="G812" t="s">
        <v>105</v>
      </c>
      <c r="H812" t="s">
        <v>106</v>
      </c>
      <c r="I812">
        <v>0</v>
      </c>
      <c r="J812" s="1">
        <v>407263.95</v>
      </c>
      <c r="K812" s="1">
        <v>284892.33299999998</v>
      </c>
      <c r="L812" s="1">
        <v>407244.73800000001</v>
      </c>
      <c r="M812" s="1">
        <v>284784.103</v>
      </c>
      <c r="N812" t="s">
        <v>40</v>
      </c>
      <c r="P812" t="s">
        <v>40</v>
      </c>
      <c r="Q812">
        <v>0</v>
      </c>
      <c r="R812">
        <v>0</v>
      </c>
      <c r="S812">
        <v>0</v>
      </c>
      <c r="T812">
        <v>6</v>
      </c>
      <c r="U812">
        <v>6</v>
      </c>
      <c r="V812">
        <v>1</v>
      </c>
      <c r="W812">
        <v>1</v>
      </c>
      <c r="X812" t="s">
        <v>40</v>
      </c>
      <c r="Y812">
        <v>3</v>
      </c>
      <c r="Z812">
        <v>38</v>
      </c>
      <c r="AA812">
        <v>1</v>
      </c>
      <c r="AB812">
        <v>0</v>
      </c>
      <c r="AC812">
        <v>189.98200000000003</v>
      </c>
      <c r="AD812">
        <v>5059</v>
      </c>
      <c r="AH812">
        <v>0</v>
      </c>
      <c r="AI812">
        <v>0</v>
      </c>
      <c r="AL812" t="s">
        <v>40</v>
      </c>
      <c r="AM812" t="str">
        <f t="shared" si="66"/>
        <v>38 1</v>
      </c>
      <c r="AN812" s="6" t="s">
        <v>1753</v>
      </c>
      <c r="AO812" s="6" t="s">
        <v>1417</v>
      </c>
      <c r="AQ812" t="s">
        <v>2646</v>
      </c>
      <c r="AR812" t="s">
        <v>2645</v>
      </c>
    </row>
    <row r="813" spans="1:44" x14ac:dyDescent="0.3">
      <c r="A813">
        <v>3869</v>
      </c>
      <c r="B813">
        <v>4</v>
      </c>
      <c r="C813">
        <v>4034495</v>
      </c>
      <c r="D813">
        <v>32889</v>
      </c>
      <c r="E813">
        <v>2</v>
      </c>
      <c r="F813">
        <v>670050</v>
      </c>
      <c r="G813" t="s">
        <v>105</v>
      </c>
      <c r="H813" t="s">
        <v>106</v>
      </c>
      <c r="I813">
        <v>0</v>
      </c>
      <c r="J813" s="1">
        <v>407271.78100000002</v>
      </c>
      <c r="K813" s="1">
        <v>284690.57500000001</v>
      </c>
      <c r="L813" s="1">
        <v>407283.26400000002</v>
      </c>
      <c r="M813" s="1">
        <v>284725.45699999999</v>
      </c>
      <c r="N813" t="s">
        <v>40</v>
      </c>
      <c r="P813" t="s">
        <v>40</v>
      </c>
      <c r="Q813">
        <v>0</v>
      </c>
      <c r="R813">
        <v>0</v>
      </c>
      <c r="S813">
        <v>0</v>
      </c>
      <c r="T813">
        <v>6</v>
      </c>
      <c r="U813">
        <v>6</v>
      </c>
      <c r="V813">
        <v>1</v>
      </c>
      <c r="W813">
        <v>1</v>
      </c>
      <c r="X813" t="s">
        <v>40</v>
      </c>
      <c r="Y813">
        <v>3</v>
      </c>
      <c r="Z813">
        <v>38</v>
      </c>
      <c r="AA813">
        <v>5001</v>
      </c>
      <c r="AB813">
        <v>0</v>
      </c>
      <c r="AC813">
        <v>46.158999999999999</v>
      </c>
      <c r="AD813">
        <v>5059</v>
      </c>
      <c r="AH813">
        <v>0</v>
      </c>
      <c r="AI813">
        <v>0</v>
      </c>
      <c r="AL813" t="s">
        <v>40</v>
      </c>
      <c r="AM813" t="str">
        <f t="shared" si="66"/>
        <v>38 5001</v>
      </c>
      <c r="AN813" t="str">
        <f t="shared" si="67"/>
        <v>407271.781,284690.575</v>
      </c>
      <c r="AO813" t="str">
        <f t="shared" si="68"/>
        <v>407283.264,284725.457</v>
      </c>
      <c r="AQ813" t="s">
        <v>2643</v>
      </c>
      <c r="AR813" t="s">
        <v>2646</v>
      </c>
    </row>
    <row r="814" spans="1:44" x14ac:dyDescent="0.3">
      <c r="A814">
        <v>3869</v>
      </c>
      <c r="B814">
        <v>4</v>
      </c>
      <c r="C814">
        <v>4040511</v>
      </c>
      <c r="D814">
        <v>37194</v>
      </c>
      <c r="E814">
        <v>2</v>
      </c>
      <c r="F814">
        <v>670050</v>
      </c>
      <c r="G814" t="s">
        <v>105</v>
      </c>
      <c r="H814" t="s">
        <v>107</v>
      </c>
      <c r="I814">
        <v>0</v>
      </c>
      <c r="J814" s="1">
        <v>407076.23499999999</v>
      </c>
      <c r="K814" s="1">
        <v>285649.19500000001</v>
      </c>
      <c r="L814" s="1">
        <v>407075.75300000003</v>
      </c>
      <c r="M814" s="1">
        <v>285647.61499999999</v>
      </c>
      <c r="N814" t="s">
        <v>40</v>
      </c>
      <c r="P814" t="s">
        <v>40</v>
      </c>
      <c r="Q814">
        <v>0</v>
      </c>
      <c r="R814">
        <v>0</v>
      </c>
      <c r="S814">
        <v>199903</v>
      </c>
      <c r="T814">
        <v>6</v>
      </c>
      <c r="U814">
        <v>6</v>
      </c>
      <c r="V814">
        <v>1</v>
      </c>
      <c r="W814">
        <v>1</v>
      </c>
      <c r="X814" t="s">
        <v>40</v>
      </c>
      <c r="Y814">
        <v>3</v>
      </c>
      <c r="Z814">
        <v>36</v>
      </c>
      <c r="AA814">
        <v>1</v>
      </c>
      <c r="AB814">
        <v>0</v>
      </c>
      <c r="AC814">
        <v>2.641</v>
      </c>
      <c r="AD814">
        <v>5059</v>
      </c>
      <c r="AH814">
        <v>0</v>
      </c>
      <c r="AI814">
        <v>0</v>
      </c>
      <c r="AL814" t="s">
        <v>40</v>
      </c>
      <c r="AM814" t="str">
        <f t="shared" si="66"/>
        <v>36 1</v>
      </c>
      <c r="AN814" s="6" t="s">
        <v>1758</v>
      </c>
      <c r="AO814" s="6" t="s">
        <v>1426</v>
      </c>
      <c r="AQ814" t="s">
        <v>2647</v>
      </c>
      <c r="AR814" t="s">
        <v>2647</v>
      </c>
    </row>
    <row r="815" spans="1:44" x14ac:dyDescent="0.3">
      <c r="A815">
        <v>3869</v>
      </c>
      <c r="B815">
        <v>4</v>
      </c>
      <c r="C815">
        <v>4026814</v>
      </c>
      <c r="D815">
        <v>25123</v>
      </c>
      <c r="E815">
        <v>2</v>
      </c>
      <c r="F815">
        <v>670050</v>
      </c>
      <c r="G815" t="s">
        <v>105</v>
      </c>
      <c r="H815" t="s">
        <v>41</v>
      </c>
      <c r="I815">
        <v>0</v>
      </c>
      <c r="J815" s="1">
        <v>405556.179</v>
      </c>
      <c r="K815" s="1">
        <v>281207.21000000002</v>
      </c>
      <c r="L815" s="1">
        <v>405552.45600000001</v>
      </c>
      <c r="M815" s="1">
        <v>281206.44799999997</v>
      </c>
      <c r="N815" t="s">
        <v>40</v>
      </c>
      <c r="P815" t="s">
        <v>40</v>
      </c>
      <c r="Q815">
        <v>0</v>
      </c>
      <c r="R815">
        <v>0</v>
      </c>
      <c r="S815">
        <v>0</v>
      </c>
      <c r="T815">
        <v>6</v>
      </c>
      <c r="U815">
        <v>6</v>
      </c>
      <c r="V815">
        <v>1</v>
      </c>
      <c r="W815">
        <v>2</v>
      </c>
      <c r="X815" t="s">
        <v>40</v>
      </c>
      <c r="Y815">
        <v>3</v>
      </c>
      <c r="Z815">
        <v>5024</v>
      </c>
      <c r="AA815">
        <v>1</v>
      </c>
      <c r="AB815">
        <v>0</v>
      </c>
      <c r="AC815">
        <v>6.2279999999999998</v>
      </c>
      <c r="AD815">
        <v>5059</v>
      </c>
      <c r="AH815">
        <v>0</v>
      </c>
      <c r="AI815">
        <v>0</v>
      </c>
      <c r="AL815" t="s">
        <v>40</v>
      </c>
      <c r="AM815" t="str">
        <f t="shared" si="66"/>
        <v>5024 1</v>
      </c>
      <c r="AN815" s="6" t="s">
        <v>437</v>
      </c>
      <c r="AO815" s="6" t="s">
        <v>1419</v>
      </c>
      <c r="AQ815" t="s">
        <v>762</v>
      </c>
      <c r="AR815" t="s">
        <v>2635</v>
      </c>
    </row>
    <row r="816" spans="1:44" x14ac:dyDescent="0.3">
      <c r="A816">
        <v>3869</v>
      </c>
      <c r="B816">
        <v>4</v>
      </c>
      <c r="C816">
        <v>4008404</v>
      </c>
      <c r="D816">
        <v>7283</v>
      </c>
      <c r="E816">
        <v>2</v>
      </c>
      <c r="F816">
        <v>670050</v>
      </c>
      <c r="G816" t="s">
        <v>105</v>
      </c>
      <c r="H816" t="s">
        <v>71</v>
      </c>
      <c r="I816">
        <v>0</v>
      </c>
      <c r="J816" s="1">
        <v>406918.64799999999</v>
      </c>
      <c r="K816" s="1">
        <v>283631.11900000001</v>
      </c>
      <c r="L816" s="1">
        <v>406896.15700000001</v>
      </c>
      <c r="M816" s="1">
        <v>283620.80300000001</v>
      </c>
      <c r="N816" t="s">
        <v>40</v>
      </c>
      <c r="P816" t="s">
        <v>40</v>
      </c>
      <c r="Q816">
        <v>0</v>
      </c>
      <c r="R816">
        <v>0</v>
      </c>
      <c r="S816">
        <v>0</v>
      </c>
      <c r="T816">
        <v>6</v>
      </c>
      <c r="U816">
        <v>6</v>
      </c>
      <c r="V816">
        <v>1</v>
      </c>
      <c r="W816">
        <v>1</v>
      </c>
      <c r="X816" t="s">
        <v>40</v>
      </c>
      <c r="Y816">
        <v>3</v>
      </c>
      <c r="Z816">
        <v>92</v>
      </c>
      <c r="AA816">
        <v>1</v>
      </c>
      <c r="AB816">
        <v>0</v>
      </c>
      <c r="AC816">
        <v>39.858000000000004</v>
      </c>
      <c r="AD816">
        <v>5059</v>
      </c>
      <c r="AH816">
        <v>0</v>
      </c>
      <c r="AI816">
        <v>0</v>
      </c>
      <c r="AL816" t="s">
        <v>40</v>
      </c>
      <c r="AM816" t="str">
        <f t="shared" si="66"/>
        <v>92 1</v>
      </c>
      <c r="AN816" s="6" t="s">
        <v>1408</v>
      </c>
      <c r="AO816" s="6" t="s">
        <v>1420</v>
      </c>
      <c r="AQ816" t="s">
        <v>2631</v>
      </c>
      <c r="AR816" t="s">
        <v>2648</v>
      </c>
    </row>
    <row r="817" spans="1:44" x14ac:dyDescent="0.3">
      <c r="A817">
        <v>3869</v>
      </c>
      <c r="B817">
        <v>4</v>
      </c>
      <c r="C817">
        <v>4008443</v>
      </c>
      <c r="D817">
        <v>7321</v>
      </c>
      <c r="E817">
        <v>2</v>
      </c>
      <c r="F817">
        <v>670050</v>
      </c>
      <c r="G817" t="s">
        <v>105</v>
      </c>
      <c r="H817" t="s">
        <v>71</v>
      </c>
      <c r="I817">
        <v>0</v>
      </c>
      <c r="J817" s="1">
        <v>406988.76400000002</v>
      </c>
      <c r="K817" s="1">
        <v>283873.51899999997</v>
      </c>
      <c r="L817" s="1">
        <v>406997.56099999999</v>
      </c>
      <c r="M817" s="1">
        <v>283892.62699999998</v>
      </c>
      <c r="N817" t="s">
        <v>40</v>
      </c>
      <c r="P817" t="s">
        <v>40</v>
      </c>
      <c r="Q817">
        <v>0</v>
      </c>
      <c r="R817">
        <v>0</v>
      </c>
      <c r="S817">
        <v>0</v>
      </c>
      <c r="T817">
        <v>7</v>
      </c>
      <c r="U817">
        <v>6</v>
      </c>
      <c r="V817">
        <v>1</v>
      </c>
      <c r="W817">
        <v>1</v>
      </c>
      <c r="X817" t="s">
        <v>40</v>
      </c>
      <c r="Y817">
        <v>3</v>
      </c>
      <c r="Z817">
        <v>316</v>
      </c>
      <c r="AA817">
        <v>18</v>
      </c>
      <c r="AB817">
        <v>0</v>
      </c>
      <c r="AC817">
        <v>403.37700000000001</v>
      </c>
      <c r="AD817">
        <v>5059</v>
      </c>
      <c r="AH817">
        <v>0</v>
      </c>
      <c r="AI817">
        <v>0</v>
      </c>
      <c r="AL817" t="s">
        <v>40</v>
      </c>
      <c r="AM817" t="str">
        <f t="shared" si="66"/>
        <v>316 18</v>
      </c>
      <c r="AN817" s="6" t="s">
        <v>1420</v>
      </c>
      <c r="AO817" s="6" t="s">
        <v>1406</v>
      </c>
      <c r="AQ817" t="s">
        <v>2648</v>
      </c>
      <c r="AR817" t="s">
        <v>2627</v>
      </c>
    </row>
    <row r="818" spans="1:44" x14ac:dyDescent="0.3">
      <c r="A818">
        <v>3869</v>
      </c>
      <c r="B818">
        <v>4</v>
      </c>
      <c r="C818">
        <v>4040393</v>
      </c>
      <c r="D818">
        <v>36712</v>
      </c>
      <c r="E818">
        <v>2</v>
      </c>
      <c r="F818">
        <v>670050</v>
      </c>
      <c r="G818" t="s">
        <v>105</v>
      </c>
      <c r="H818" t="s">
        <v>107</v>
      </c>
      <c r="I818">
        <v>0</v>
      </c>
      <c r="J818" s="1">
        <v>407247.58399999997</v>
      </c>
      <c r="K818" s="1">
        <v>285268.57299999997</v>
      </c>
      <c r="L818" s="1">
        <v>407236.51699999999</v>
      </c>
      <c r="M818" s="1">
        <v>285250.58600000001</v>
      </c>
      <c r="N818" t="s">
        <v>40</v>
      </c>
      <c r="P818" t="s">
        <v>40</v>
      </c>
      <c r="Q818">
        <v>0</v>
      </c>
      <c r="R818">
        <v>0</v>
      </c>
      <c r="S818">
        <v>0</v>
      </c>
      <c r="T818">
        <v>6</v>
      </c>
      <c r="U818">
        <v>6</v>
      </c>
      <c r="V818">
        <v>1</v>
      </c>
      <c r="W818">
        <v>1</v>
      </c>
      <c r="X818" t="s">
        <v>40</v>
      </c>
      <c r="Y818">
        <v>3</v>
      </c>
      <c r="Z818">
        <v>38</v>
      </c>
      <c r="AA818">
        <v>5001</v>
      </c>
      <c r="AB818">
        <v>0</v>
      </c>
      <c r="AC818">
        <v>301.02000000000004</v>
      </c>
      <c r="AD818">
        <v>5059</v>
      </c>
      <c r="AH818">
        <v>0</v>
      </c>
      <c r="AI818">
        <v>0</v>
      </c>
      <c r="AL818" t="s">
        <v>40</v>
      </c>
      <c r="AM818" t="str">
        <f t="shared" si="66"/>
        <v>38 5001</v>
      </c>
      <c r="AN818" s="6" t="s">
        <v>1759</v>
      </c>
      <c r="AO818" s="6" t="s">
        <v>1425</v>
      </c>
      <c r="AQ818" t="s">
        <v>2649</v>
      </c>
      <c r="AR818" t="s">
        <v>2650</v>
      </c>
    </row>
    <row r="819" spans="1:44" x14ac:dyDescent="0.3">
      <c r="A819">
        <v>3869</v>
      </c>
      <c r="B819">
        <v>4</v>
      </c>
      <c r="C819">
        <v>4026846</v>
      </c>
      <c r="D819">
        <v>25514</v>
      </c>
      <c r="E819">
        <v>2</v>
      </c>
      <c r="F819">
        <v>670050</v>
      </c>
      <c r="G819" t="s">
        <v>105</v>
      </c>
      <c r="H819" t="s">
        <v>41</v>
      </c>
      <c r="I819">
        <v>0</v>
      </c>
      <c r="J819" s="1">
        <v>405787.64199999999</v>
      </c>
      <c r="K819" s="1">
        <v>281475.27500000002</v>
      </c>
      <c r="L819" s="1">
        <v>405841.92700000003</v>
      </c>
      <c r="M819" s="1">
        <v>281462.80099999998</v>
      </c>
      <c r="N819" t="s">
        <v>40</v>
      </c>
      <c r="P819" t="s">
        <v>40</v>
      </c>
      <c r="Q819">
        <v>0</v>
      </c>
      <c r="R819">
        <v>0</v>
      </c>
      <c r="S819">
        <v>0</v>
      </c>
      <c r="T819">
        <v>7</v>
      </c>
      <c r="U819">
        <v>6</v>
      </c>
      <c r="V819">
        <v>1</v>
      </c>
      <c r="W819">
        <v>1</v>
      </c>
      <c r="X819" t="s">
        <v>40</v>
      </c>
      <c r="Y819">
        <v>3</v>
      </c>
      <c r="Z819">
        <v>256</v>
      </c>
      <c r="AA819">
        <v>18</v>
      </c>
      <c r="AB819">
        <v>0</v>
      </c>
      <c r="AC819">
        <v>405.09699999999998</v>
      </c>
      <c r="AD819">
        <v>5059</v>
      </c>
      <c r="AH819">
        <v>0</v>
      </c>
      <c r="AI819">
        <v>0</v>
      </c>
      <c r="AL819" t="s">
        <v>40</v>
      </c>
      <c r="AM819" t="str">
        <f t="shared" si="66"/>
        <v>256 18</v>
      </c>
      <c r="AN819" s="6" t="s">
        <v>1756</v>
      </c>
      <c r="AO819" s="6" t="s">
        <v>1415</v>
      </c>
      <c r="AQ819" t="s">
        <v>2651</v>
      </c>
      <c r="AR819" t="s">
        <v>2642</v>
      </c>
    </row>
    <row r="820" spans="1:44" x14ac:dyDescent="0.3">
      <c r="A820">
        <v>3869</v>
      </c>
      <c r="B820">
        <v>4</v>
      </c>
      <c r="C820">
        <v>4020893</v>
      </c>
      <c r="D820">
        <v>19013</v>
      </c>
      <c r="E820">
        <v>2</v>
      </c>
      <c r="F820">
        <v>670050</v>
      </c>
      <c r="G820" t="s">
        <v>105</v>
      </c>
      <c r="H820" t="s">
        <v>53</v>
      </c>
      <c r="I820">
        <v>0</v>
      </c>
      <c r="J820" s="1">
        <v>406516.087</v>
      </c>
      <c r="K820" s="1">
        <v>282000</v>
      </c>
      <c r="L820" s="1">
        <v>406364.603</v>
      </c>
      <c r="M820" s="1">
        <v>281936.07900000003</v>
      </c>
      <c r="N820" t="s">
        <v>40</v>
      </c>
      <c r="P820" t="s">
        <v>40</v>
      </c>
      <c r="Q820">
        <v>0</v>
      </c>
      <c r="R820">
        <v>0</v>
      </c>
      <c r="S820">
        <v>0</v>
      </c>
      <c r="T820">
        <v>7</v>
      </c>
      <c r="U820">
        <v>6</v>
      </c>
      <c r="V820">
        <v>1</v>
      </c>
      <c r="W820">
        <v>1</v>
      </c>
      <c r="X820" t="s">
        <v>40</v>
      </c>
      <c r="Y820">
        <v>3</v>
      </c>
      <c r="Z820">
        <v>316</v>
      </c>
      <c r="AA820">
        <v>18</v>
      </c>
      <c r="AB820">
        <v>0</v>
      </c>
      <c r="AC820">
        <v>1216.24</v>
      </c>
      <c r="AD820">
        <v>5059</v>
      </c>
      <c r="AH820">
        <v>0</v>
      </c>
      <c r="AI820">
        <v>0</v>
      </c>
      <c r="AL820" t="s">
        <v>40</v>
      </c>
      <c r="AM820" t="str">
        <f t="shared" si="66"/>
        <v>316 18</v>
      </c>
      <c r="AN820" s="6" t="s">
        <v>1760</v>
      </c>
      <c r="AO820" s="6" t="s">
        <v>1405</v>
      </c>
      <c r="AQ820" t="s">
        <v>2652</v>
      </c>
      <c r="AR820" t="s">
        <v>2621</v>
      </c>
    </row>
    <row r="821" spans="1:44" x14ac:dyDescent="0.3">
      <c r="A821">
        <v>3869</v>
      </c>
      <c r="B821">
        <v>4</v>
      </c>
      <c r="C821">
        <v>4020892</v>
      </c>
      <c r="D821">
        <v>19130</v>
      </c>
      <c r="E821">
        <v>2</v>
      </c>
      <c r="F821">
        <v>670050</v>
      </c>
      <c r="G821" t="s">
        <v>105</v>
      </c>
      <c r="H821" t="s">
        <v>53</v>
      </c>
      <c r="I821">
        <v>0</v>
      </c>
      <c r="J821" s="1">
        <v>406325.12400000001</v>
      </c>
      <c r="K821" s="1">
        <v>281759.326</v>
      </c>
      <c r="L821" s="1">
        <v>406364.603</v>
      </c>
      <c r="M821" s="1">
        <v>281936.07900000003</v>
      </c>
      <c r="N821" t="s">
        <v>40</v>
      </c>
      <c r="P821" t="s">
        <v>40</v>
      </c>
      <c r="Q821">
        <v>0</v>
      </c>
      <c r="R821">
        <v>0</v>
      </c>
      <c r="S821">
        <v>0</v>
      </c>
      <c r="T821">
        <v>7</v>
      </c>
      <c r="U821">
        <v>6</v>
      </c>
      <c r="V821">
        <v>1</v>
      </c>
      <c r="W821">
        <v>1</v>
      </c>
      <c r="X821" t="s">
        <v>40</v>
      </c>
      <c r="Y821">
        <v>3</v>
      </c>
      <c r="Z821">
        <v>256</v>
      </c>
      <c r="AA821">
        <v>18</v>
      </c>
      <c r="AB821">
        <v>0</v>
      </c>
      <c r="AC821">
        <v>197.74700000000001</v>
      </c>
      <c r="AD821">
        <v>5059</v>
      </c>
      <c r="AH821">
        <v>0</v>
      </c>
      <c r="AI821">
        <v>0</v>
      </c>
      <c r="AL821" t="s">
        <v>40</v>
      </c>
      <c r="AM821" t="str">
        <f t="shared" si="66"/>
        <v>256 18</v>
      </c>
      <c r="AN821" t="str">
        <f t="shared" si="67"/>
        <v>406325.124,281759.326</v>
      </c>
      <c r="AO821" t="str">
        <f t="shared" si="68"/>
        <v>406364.603,281936.079</v>
      </c>
      <c r="AQ821" t="s">
        <v>2653</v>
      </c>
      <c r="AR821" t="s">
        <v>2652</v>
      </c>
    </row>
    <row r="822" spans="1:44" x14ac:dyDescent="0.3">
      <c r="A822">
        <v>3869</v>
      </c>
      <c r="B822">
        <v>4</v>
      </c>
      <c r="C822">
        <v>4020874</v>
      </c>
      <c r="D822">
        <v>18098</v>
      </c>
      <c r="E822">
        <v>2</v>
      </c>
      <c r="F822">
        <v>670050</v>
      </c>
      <c r="G822" t="s">
        <v>105</v>
      </c>
      <c r="H822" t="s">
        <v>53</v>
      </c>
      <c r="I822">
        <v>0</v>
      </c>
      <c r="J822" s="1">
        <v>406329.56</v>
      </c>
      <c r="K822" s="1">
        <v>281750.76199999999</v>
      </c>
      <c r="L822" s="1">
        <v>406325.12400000001</v>
      </c>
      <c r="M822" s="1">
        <v>281759.326</v>
      </c>
      <c r="N822" t="s">
        <v>40</v>
      </c>
      <c r="P822" t="s">
        <v>40</v>
      </c>
      <c r="Q822">
        <v>0</v>
      </c>
      <c r="R822">
        <v>0</v>
      </c>
      <c r="S822">
        <v>0</v>
      </c>
      <c r="T822">
        <v>6</v>
      </c>
      <c r="U822">
        <v>6</v>
      </c>
      <c r="V822">
        <v>1</v>
      </c>
      <c r="W822">
        <v>1</v>
      </c>
      <c r="X822" t="s">
        <v>40</v>
      </c>
      <c r="Y822">
        <v>3</v>
      </c>
      <c r="Z822">
        <v>40</v>
      </c>
      <c r="AA822">
        <v>5001</v>
      </c>
      <c r="AB822">
        <v>0</v>
      </c>
      <c r="AC822">
        <v>10.790000000000001</v>
      </c>
      <c r="AD822">
        <v>5059</v>
      </c>
      <c r="AH822">
        <v>0</v>
      </c>
      <c r="AI822">
        <v>0</v>
      </c>
      <c r="AL822" t="s">
        <v>40</v>
      </c>
      <c r="AM822" t="str">
        <f t="shared" si="66"/>
        <v>40 5001</v>
      </c>
      <c r="AN822" s="6" t="s">
        <v>1421</v>
      </c>
      <c r="AO822" s="6" t="s">
        <v>1423</v>
      </c>
      <c r="AQ822" t="s">
        <v>2653</v>
      </c>
      <c r="AR822" t="s">
        <v>2654</v>
      </c>
    </row>
    <row r="823" spans="1:44" x14ac:dyDescent="0.3">
      <c r="A823">
        <v>3869</v>
      </c>
      <c r="B823">
        <v>4</v>
      </c>
      <c r="C823">
        <v>4020872</v>
      </c>
      <c r="D823">
        <v>45659</v>
      </c>
      <c r="E823">
        <v>2</v>
      </c>
      <c r="F823">
        <v>670050</v>
      </c>
      <c r="G823" t="s">
        <v>105</v>
      </c>
      <c r="H823" t="s">
        <v>53</v>
      </c>
      <c r="I823">
        <v>0</v>
      </c>
      <c r="J823" s="1">
        <v>406455.636</v>
      </c>
      <c r="K823" s="1">
        <v>281700.005</v>
      </c>
      <c r="L823" s="1">
        <v>406456.587</v>
      </c>
      <c r="M823" s="1">
        <v>281699.89500000002</v>
      </c>
      <c r="N823" t="s">
        <v>40</v>
      </c>
      <c r="P823" t="s">
        <v>40</v>
      </c>
      <c r="Q823">
        <v>0</v>
      </c>
      <c r="R823">
        <v>0</v>
      </c>
      <c r="S823">
        <v>0</v>
      </c>
      <c r="T823">
        <v>6</v>
      </c>
      <c r="U823">
        <v>6</v>
      </c>
      <c r="V823">
        <v>1</v>
      </c>
      <c r="W823">
        <v>3</v>
      </c>
      <c r="X823" t="s">
        <v>40</v>
      </c>
      <c r="Y823">
        <v>3</v>
      </c>
      <c r="Z823">
        <v>5017</v>
      </c>
      <c r="AA823">
        <v>1</v>
      </c>
      <c r="AB823">
        <v>0</v>
      </c>
      <c r="AC823">
        <v>4.1219999999999999</v>
      </c>
      <c r="AD823">
        <v>5059</v>
      </c>
      <c r="AH823">
        <v>0</v>
      </c>
      <c r="AI823">
        <v>0</v>
      </c>
      <c r="AL823" t="s">
        <v>40</v>
      </c>
      <c r="AM823" t="str">
        <f t="shared" si="66"/>
        <v>5017 1</v>
      </c>
      <c r="AN823" s="6" t="s">
        <v>1761</v>
      </c>
      <c r="AO823" s="6" t="s">
        <v>540</v>
      </c>
      <c r="AQ823" t="s">
        <v>1879</v>
      </c>
      <c r="AR823" t="s">
        <v>793</v>
      </c>
    </row>
    <row r="824" spans="1:44" x14ac:dyDescent="0.3">
      <c r="A824">
        <v>3869</v>
      </c>
      <c r="B824">
        <v>4</v>
      </c>
      <c r="C824">
        <v>4020866</v>
      </c>
      <c r="D824">
        <v>45661</v>
      </c>
      <c r="E824">
        <v>2</v>
      </c>
      <c r="F824">
        <v>670050</v>
      </c>
      <c r="G824" t="s">
        <v>105</v>
      </c>
      <c r="H824" t="s">
        <v>53</v>
      </c>
      <c r="I824">
        <v>0</v>
      </c>
      <c r="J824" s="1">
        <v>406454.90700000001</v>
      </c>
      <c r="K824" s="1">
        <v>281696.62199999997</v>
      </c>
      <c r="L824" s="1">
        <v>406453.88900000002</v>
      </c>
      <c r="M824" s="1">
        <v>281698.23700000002</v>
      </c>
      <c r="N824" t="s">
        <v>40</v>
      </c>
      <c r="P824" t="s">
        <v>40</v>
      </c>
      <c r="Q824">
        <v>0</v>
      </c>
      <c r="R824">
        <v>0</v>
      </c>
      <c r="S824">
        <v>0</v>
      </c>
      <c r="T824">
        <v>6</v>
      </c>
      <c r="U824">
        <v>6</v>
      </c>
      <c r="V824">
        <v>1</v>
      </c>
      <c r="W824">
        <v>3</v>
      </c>
      <c r="X824" t="s">
        <v>40</v>
      </c>
      <c r="Y824">
        <v>3</v>
      </c>
      <c r="Z824">
        <v>5024</v>
      </c>
      <c r="AA824">
        <v>1</v>
      </c>
      <c r="AB824">
        <v>0</v>
      </c>
      <c r="AC824">
        <v>3.2320000000000002</v>
      </c>
      <c r="AD824">
        <v>5059</v>
      </c>
      <c r="AH824">
        <v>0</v>
      </c>
      <c r="AI824">
        <v>0</v>
      </c>
      <c r="AL824" t="s">
        <v>40</v>
      </c>
      <c r="AM824" t="str">
        <f t="shared" si="66"/>
        <v>5024 1</v>
      </c>
      <c r="AN824" t="str">
        <f t="shared" si="67"/>
        <v>406454.907,281696.622</v>
      </c>
      <c r="AO824" t="str">
        <f t="shared" si="68"/>
        <v>406453.889,281698.237</v>
      </c>
      <c r="AQ824" t="s">
        <v>2655</v>
      </c>
      <c r="AR824" t="s">
        <v>793</v>
      </c>
    </row>
    <row r="825" spans="1:44" x14ac:dyDescent="0.3">
      <c r="A825">
        <v>3869</v>
      </c>
      <c r="B825">
        <v>4</v>
      </c>
      <c r="C825">
        <v>4040480</v>
      </c>
      <c r="D825">
        <v>121782</v>
      </c>
      <c r="E825">
        <v>2</v>
      </c>
      <c r="F825">
        <v>670050</v>
      </c>
      <c r="G825" t="s">
        <v>105</v>
      </c>
      <c r="H825" t="s">
        <v>107</v>
      </c>
      <c r="I825">
        <v>0</v>
      </c>
      <c r="J825" s="1">
        <v>407080.60399999999</v>
      </c>
      <c r="K825" s="1">
        <v>285654.66399999999</v>
      </c>
      <c r="L825" s="1">
        <v>407076.72</v>
      </c>
      <c r="M825" s="1">
        <v>285650.09399999998</v>
      </c>
      <c r="N825" t="s">
        <v>40</v>
      </c>
      <c r="P825" t="s">
        <v>40</v>
      </c>
      <c r="Q825">
        <v>0</v>
      </c>
      <c r="R825">
        <v>0</v>
      </c>
      <c r="S825">
        <v>201103</v>
      </c>
      <c r="T825">
        <v>6</v>
      </c>
      <c r="U825">
        <v>6</v>
      </c>
      <c r="V825">
        <v>1</v>
      </c>
      <c r="W825">
        <v>1</v>
      </c>
      <c r="X825" t="s">
        <v>40</v>
      </c>
      <c r="Y825">
        <v>3</v>
      </c>
      <c r="Z825">
        <v>5023</v>
      </c>
      <c r="AA825">
        <v>1</v>
      </c>
      <c r="AB825">
        <v>0</v>
      </c>
      <c r="AC825">
        <v>6.5730000000000004</v>
      </c>
      <c r="AD825">
        <v>5059</v>
      </c>
      <c r="AE825" t="s">
        <v>108</v>
      </c>
      <c r="AH825">
        <v>0</v>
      </c>
      <c r="AI825">
        <v>0</v>
      </c>
      <c r="AL825" t="s">
        <v>40</v>
      </c>
      <c r="AM825" t="str">
        <f t="shared" si="66"/>
        <v>5023 1</v>
      </c>
      <c r="AN825" t="str">
        <f t="shared" si="67"/>
        <v>407080.604,285654.664</v>
      </c>
      <c r="AO825" t="str">
        <f t="shared" si="68"/>
        <v>407076.72,285650.094</v>
      </c>
      <c r="AQ825" t="s">
        <v>2656</v>
      </c>
      <c r="AR825" t="s">
        <v>729</v>
      </c>
    </row>
    <row r="826" spans="1:44" x14ac:dyDescent="0.3">
      <c r="A826">
        <v>3869</v>
      </c>
      <c r="B826">
        <v>4</v>
      </c>
      <c r="C826">
        <v>4040479</v>
      </c>
      <c r="D826">
        <v>37258</v>
      </c>
      <c r="E826">
        <v>2</v>
      </c>
      <c r="F826">
        <v>670050</v>
      </c>
      <c r="G826" t="s">
        <v>105</v>
      </c>
      <c r="H826" t="s">
        <v>107</v>
      </c>
      <c r="I826">
        <v>0</v>
      </c>
      <c r="J826" s="1">
        <v>407080.60399999999</v>
      </c>
      <c r="K826" s="1">
        <v>285654.66399999999</v>
      </c>
      <c r="L826" s="1">
        <v>407147.76299999998</v>
      </c>
      <c r="M826" s="1">
        <v>285628.90500000003</v>
      </c>
      <c r="N826" t="s">
        <v>40</v>
      </c>
      <c r="P826" t="s">
        <v>40</v>
      </c>
      <c r="Q826">
        <v>0</v>
      </c>
      <c r="R826">
        <v>0</v>
      </c>
      <c r="S826">
        <v>0</v>
      </c>
      <c r="T826">
        <v>6</v>
      </c>
      <c r="U826">
        <v>6</v>
      </c>
      <c r="V826">
        <v>1</v>
      </c>
      <c r="W826">
        <v>1</v>
      </c>
      <c r="X826" t="s">
        <v>40</v>
      </c>
      <c r="Y826">
        <v>3</v>
      </c>
      <c r="Z826">
        <v>91</v>
      </c>
      <c r="AA826">
        <v>1</v>
      </c>
      <c r="AB826">
        <v>0</v>
      </c>
      <c r="AC826">
        <v>76.528999999999996</v>
      </c>
      <c r="AD826">
        <v>5059</v>
      </c>
      <c r="AH826">
        <v>0</v>
      </c>
      <c r="AI826">
        <v>0</v>
      </c>
      <c r="AL826" t="s">
        <v>40</v>
      </c>
      <c r="AM826" t="str">
        <f t="shared" si="66"/>
        <v>91 1</v>
      </c>
      <c r="AN826" t="str">
        <f t="shared" si="67"/>
        <v>407080.604,285654.664</v>
      </c>
      <c r="AO826" t="str">
        <f t="shared" si="68"/>
        <v>407147.763,285628.905</v>
      </c>
      <c r="AQ826" t="s">
        <v>2656</v>
      </c>
      <c r="AR826" t="s">
        <v>2657</v>
      </c>
    </row>
    <row r="827" spans="1:44" x14ac:dyDescent="0.3">
      <c r="A827">
        <v>3869</v>
      </c>
      <c r="B827">
        <v>4</v>
      </c>
      <c r="C827">
        <v>4040472</v>
      </c>
      <c r="D827">
        <v>37131</v>
      </c>
      <c r="E827">
        <v>2</v>
      </c>
      <c r="F827">
        <v>670050</v>
      </c>
      <c r="G827" t="s">
        <v>105</v>
      </c>
      <c r="H827" t="s">
        <v>107</v>
      </c>
      <c r="I827">
        <v>0</v>
      </c>
      <c r="J827" s="1">
        <v>407147.76299999998</v>
      </c>
      <c r="K827" s="1">
        <v>285628.90500000003</v>
      </c>
      <c r="L827" s="1">
        <v>407089.42300000001</v>
      </c>
      <c r="M827" s="1">
        <v>285505.33399999997</v>
      </c>
      <c r="N827" t="s">
        <v>40</v>
      </c>
      <c r="P827" t="s">
        <v>40</v>
      </c>
      <c r="Q827">
        <v>0</v>
      </c>
      <c r="R827">
        <v>0</v>
      </c>
      <c r="S827">
        <v>0</v>
      </c>
      <c r="T827">
        <v>6</v>
      </c>
      <c r="U827">
        <v>6</v>
      </c>
      <c r="V827">
        <v>1</v>
      </c>
      <c r="W827">
        <v>1</v>
      </c>
      <c r="X827" t="s">
        <v>40</v>
      </c>
      <c r="Y827">
        <v>3</v>
      </c>
      <c r="Z827">
        <v>89</v>
      </c>
      <c r="AA827">
        <v>1</v>
      </c>
      <c r="AB827">
        <v>0</v>
      </c>
      <c r="AC827">
        <v>136.66499999999999</v>
      </c>
      <c r="AD827">
        <v>5059</v>
      </c>
      <c r="AH827">
        <v>0</v>
      </c>
      <c r="AI827">
        <v>0</v>
      </c>
      <c r="AL827" t="s">
        <v>40</v>
      </c>
      <c r="AM827" t="str">
        <f t="shared" si="66"/>
        <v>89 1</v>
      </c>
      <c r="AN827" t="str">
        <f t="shared" si="67"/>
        <v>407147.763,285628.905</v>
      </c>
      <c r="AO827" t="str">
        <f t="shared" si="68"/>
        <v>407089.423,285505.334</v>
      </c>
      <c r="AQ827" t="s">
        <v>2657</v>
      </c>
      <c r="AR827" t="s">
        <v>2658</v>
      </c>
    </row>
    <row r="828" spans="1:44" x14ac:dyDescent="0.3">
      <c r="A828">
        <v>3869</v>
      </c>
      <c r="B828">
        <v>4</v>
      </c>
      <c r="C828">
        <v>4040471</v>
      </c>
      <c r="D828">
        <v>37046</v>
      </c>
      <c r="E828">
        <v>2</v>
      </c>
      <c r="F828">
        <v>670050</v>
      </c>
      <c r="G828" t="s">
        <v>105</v>
      </c>
      <c r="H828" t="s">
        <v>107</v>
      </c>
      <c r="I828">
        <v>0</v>
      </c>
      <c r="J828" s="1">
        <v>407089.42300000001</v>
      </c>
      <c r="K828" s="1">
        <v>285505.33399999997</v>
      </c>
      <c r="L828" s="1">
        <v>407088.38299999997</v>
      </c>
      <c r="M828" s="1">
        <v>285482.01899999997</v>
      </c>
      <c r="N828" t="s">
        <v>40</v>
      </c>
      <c r="P828" t="s">
        <v>40</v>
      </c>
      <c r="Q828">
        <v>0</v>
      </c>
      <c r="R828">
        <v>0</v>
      </c>
      <c r="S828">
        <v>0</v>
      </c>
      <c r="T828">
        <v>6</v>
      </c>
      <c r="U828">
        <v>6</v>
      </c>
      <c r="V828">
        <v>1</v>
      </c>
      <c r="W828">
        <v>1</v>
      </c>
      <c r="X828" t="s">
        <v>40</v>
      </c>
      <c r="Y828">
        <v>3</v>
      </c>
      <c r="Z828">
        <v>38</v>
      </c>
      <c r="AA828">
        <v>1</v>
      </c>
      <c r="AB828">
        <v>0</v>
      </c>
      <c r="AC828">
        <v>31.141999999999999</v>
      </c>
      <c r="AD828">
        <v>5059</v>
      </c>
      <c r="AH828">
        <v>0</v>
      </c>
      <c r="AI828">
        <v>0</v>
      </c>
      <c r="AL828" t="s">
        <v>40</v>
      </c>
      <c r="AM828" t="str">
        <f t="shared" si="66"/>
        <v>38 1</v>
      </c>
      <c r="AN828" t="str">
        <f t="shared" si="67"/>
        <v>407089.423,285505.334</v>
      </c>
      <c r="AO828" t="str">
        <f t="shared" si="68"/>
        <v>407088.383,285482.019</v>
      </c>
      <c r="AQ828" t="s">
        <v>2658</v>
      </c>
      <c r="AR828" t="s">
        <v>2659</v>
      </c>
    </row>
    <row r="829" spans="1:44" x14ac:dyDescent="0.3">
      <c r="A829">
        <v>3869</v>
      </c>
      <c r="B829">
        <v>4</v>
      </c>
      <c r="C829">
        <v>4040442</v>
      </c>
      <c r="D829">
        <v>121764</v>
      </c>
      <c r="E829">
        <v>2</v>
      </c>
      <c r="F829">
        <v>670050</v>
      </c>
      <c r="G829" t="s">
        <v>105</v>
      </c>
      <c r="H829" t="s">
        <v>107</v>
      </c>
      <c r="I829">
        <v>0</v>
      </c>
      <c r="J829" s="1">
        <v>407199.52399999998</v>
      </c>
      <c r="K829" s="1">
        <v>285435.55800000002</v>
      </c>
      <c r="L829" s="1">
        <v>407198.82799999998</v>
      </c>
      <c r="M829" s="1">
        <v>285427.435</v>
      </c>
      <c r="N829" t="s">
        <v>40</v>
      </c>
      <c r="P829" t="s">
        <v>40</v>
      </c>
      <c r="Q829">
        <v>0</v>
      </c>
      <c r="R829">
        <v>0</v>
      </c>
      <c r="S829">
        <v>0</v>
      </c>
      <c r="T829">
        <v>6</v>
      </c>
      <c r="U829">
        <v>6</v>
      </c>
      <c r="V829">
        <v>1</v>
      </c>
      <c r="W829">
        <v>1</v>
      </c>
      <c r="X829" t="s">
        <v>40</v>
      </c>
      <c r="Y829">
        <v>3</v>
      </c>
      <c r="Z829">
        <v>89</v>
      </c>
      <c r="AA829">
        <v>1</v>
      </c>
      <c r="AB829">
        <v>0</v>
      </c>
      <c r="AC829">
        <v>130.839</v>
      </c>
      <c r="AD829">
        <v>5059</v>
      </c>
      <c r="AH829">
        <v>0</v>
      </c>
      <c r="AI829">
        <v>0</v>
      </c>
      <c r="AL829" t="s">
        <v>40</v>
      </c>
      <c r="AM829" t="str">
        <f t="shared" si="66"/>
        <v>89 1</v>
      </c>
      <c r="AN829" s="6" t="s">
        <v>548</v>
      </c>
      <c r="AO829" s="6" t="s">
        <v>1430</v>
      </c>
      <c r="AQ829" t="s">
        <v>796</v>
      </c>
      <c r="AR829" t="s">
        <v>2659</v>
      </c>
    </row>
    <row r="830" spans="1:44" x14ac:dyDescent="0.3">
      <c r="A830">
        <v>3869</v>
      </c>
      <c r="B830">
        <v>4</v>
      </c>
      <c r="C830">
        <v>4040425</v>
      </c>
      <c r="D830">
        <v>121763</v>
      </c>
      <c r="E830">
        <v>2</v>
      </c>
      <c r="F830">
        <v>670050</v>
      </c>
      <c r="G830" t="s">
        <v>105</v>
      </c>
      <c r="H830" t="s">
        <v>107</v>
      </c>
      <c r="I830">
        <v>0</v>
      </c>
      <c r="J830" s="1">
        <v>407204.03399999999</v>
      </c>
      <c r="K830" s="1">
        <v>285434.63299999997</v>
      </c>
      <c r="L830" s="1">
        <v>407199.26400000002</v>
      </c>
      <c r="M830" s="1">
        <v>285427.31699999998</v>
      </c>
      <c r="N830" t="s">
        <v>40</v>
      </c>
      <c r="P830" t="s">
        <v>40</v>
      </c>
      <c r="Q830">
        <v>0</v>
      </c>
      <c r="R830">
        <v>0</v>
      </c>
      <c r="S830">
        <v>0</v>
      </c>
      <c r="T830">
        <v>6</v>
      </c>
      <c r="U830">
        <v>6</v>
      </c>
      <c r="V830">
        <v>1</v>
      </c>
      <c r="W830">
        <v>1</v>
      </c>
      <c r="X830" t="s">
        <v>40</v>
      </c>
      <c r="Y830">
        <v>3</v>
      </c>
      <c r="Z830">
        <v>52</v>
      </c>
      <c r="AA830">
        <v>1</v>
      </c>
      <c r="AB830">
        <v>0</v>
      </c>
      <c r="AC830">
        <v>9.3930000000000007</v>
      </c>
      <c r="AD830">
        <v>5059</v>
      </c>
      <c r="AH830">
        <v>0</v>
      </c>
      <c r="AI830">
        <v>0</v>
      </c>
      <c r="AL830" t="s">
        <v>40</v>
      </c>
      <c r="AM830" t="str">
        <f t="shared" si="66"/>
        <v>52 1</v>
      </c>
      <c r="AN830" t="str">
        <f t="shared" si="67"/>
        <v>407204.034,285434.633</v>
      </c>
      <c r="AO830" t="str">
        <f t="shared" si="68"/>
        <v>407199.264,285427.317</v>
      </c>
      <c r="AQ830" t="s">
        <v>2660</v>
      </c>
      <c r="AR830" t="s">
        <v>796</v>
      </c>
    </row>
    <row r="831" spans="1:44" x14ac:dyDescent="0.3">
      <c r="A831">
        <v>3869</v>
      </c>
      <c r="B831">
        <v>4</v>
      </c>
      <c r="C831">
        <v>4040420</v>
      </c>
      <c r="D831">
        <v>36784</v>
      </c>
      <c r="E831">
        <v>2</v>
      </c>
      <c r="F831">
        <v>670050</v>
      </c>
      <c r="G831" t="s">
        <v>105</v>
      </c>
      <c r="H831" t="s">
        <v>107</v>
      </c>
      <c r="I831">
        <v>0</v>
      </c>
      <c r="J831" s="1">
        <v>407204.03399999999</v>
      </c>
      <c r="K831" s="1">
        <v>285434.63299999997</v>
      </c>
      <c r="L831" s="1">
        <v>407206.00900000002</v>
      </c>
      <c r="M831" s="1">
        <v>285405.86599999998</v>
      </c>
      <c r="N831" t="s">
        <v>40</v>
      </c>
      <c r="P831" t="s">
        <v>40</v>
      </c>
      <c r="Q831">
        <v>0</v>
      </c>
      <c r="R831">
        <v>0</v>
      </c>
      <c r="S831">
        <v>0</v>
      </c>
      <c r="T831">
        <v>6</v>
      </c>
      <c r="U831">
        <v>6</v>
      </c>
      <c r="V831">
        <v>1</v>
      </c>
      <c r="W831">
        <v>1</v>
      </c>
      <c r="X831" t="s">
        <v>40</v>
      </c>
      <c r="Y831">
        <v>3</v>
      </c>
      <c r="Z831">
        <v>89</v>
      </c>
      <c r="AA831">
        <v>1</v>
      </c>
      <c r="AB831">
        <v>0</v>
      </c>
      <c r="AC831">
        <v>36.963999999999999</v>
      </c>
      <c r="AD831">
        <v>5059</v>
      </c>
      <c r="AH831">
        <v>0</v>
      </c>
      <c r="AI831">
        <v>0</v>
      </c>
      <c r="AL831" t="s">
        <v>40</v>
      </c>
      <c r="AM831" t="str">
        <f t="shared" si="66"/>
        <v>89 1</v>
      </c>
      <c r="AN831" t="str">
        <f t="shared" si="67"/>
        <v>407204.034,285434.633</v>
      </c>
      <c r="AO831" t="str">
        <f t="shared" si="68"/>
        <v>407206.009,285405.866</v>
      </c>
      <c r="AQ831" t="s">
        <v>2660</v>
      </c>
      <c r="AR831" t="s">
        <v>2661</v>
      </c>
    </row>
    <row r="832" spans="1:44" x14ac:dyDescent="0.3">
      <c r="A832">
        <v>3869</v>
      </c>
      <c r="B832">
        <v>4</v>
      </c>
      <c r="C832">
        <v>4040408</v>
      </c>
      <c r="D832">
        <v>36620</v>
      </c>
      <c r="E832">
        <v>2</v>
      </c>
      <c r="F832">
        <v>670050</v>
      </c>
      <c r="G832" t="s">
        <v>105</v>
      </c>
      <c r="H832" t="s">
        <v>107</v>
      </c>
      <c r="I832">
        <v>0</v>
      </c>
      <c r="J832" s="1">
        <v>407245.31400000001</v>
      </c>
      <c r="K832" s="1">
        <v>285336.74</v>
      </c>
      <c r="L832" s="1">
        <v>407254.80300000001</v>
      </c>
      <c r="M832" s="1">
        <v>285333.77100000001</v>
      </c>
      <c r="N832" t="s">
        <v>40</v>
      </c>
      <c r="P832" t="s">
        <v>40</v>
      </c>
      <c r="Q832">
        <v>0</v>
      </c>
      <c r="R832">
        <v>0</v>
      </c>
      <c r="S832">
        <v>0</v>
      </c>
      <c r="T832">
        <v>6</v>
      </c>
      <c r="U832">
        <v>6</v>
      </c>
      <c r="V832">
        <v>1</v>
      </c>
      <c r="W832">
        <v>1</v>
      </c>
      <c r="X832" t="s">
        <v>40</v>
      </c>
      <c r="Y832">
        <v>3</v>
      </c>
      <c r="Z832">
        <v>38</v>
      </c>
      <c r="AA832">
        <v>1</v>
      </c>
      <c r="AB832">
        <v>0</v>
      </c>
      <c r="AC832">
        <v>9.9920000000000009</v>
      </c>
      <c r="AD832">
        <v>5059</v>
      </c>
      <c r="AH832">
        <v>0</v>
      </c>
      <c r="AI832">
        <v>0</v>
      </c>
      <c r="AL832" t="s">
        <v>40</v>
      </c>
      <c r="AM832" t="str">
        <f t="shared" si="66"/>
        <v>38 1</v>
      </c>
      <c r="AN832" t="str">
        <f t="shared" si="67"/>
        <v>407245.314,285336.74</v>
      </c>
      <c r="AO832" t="str">
        <f t="shared" si="68"/>
        <v>407254.803,285333.771</v>
      </c>
      <c r="AQ832" t="s">
        <v>2662</v>
      </c>
      <c r="AR832" t="s">
        <v>2650</v>
      </c>
    </row>
    <row r="833" spans="1:44" x14ac:dyDescent="0.3">
      <c r="A833">
        <v>3869</v>
      </c>
      <c r="B833">
        <v>4</v>
      </c>
      <c r="C833">
        <v>4040376</v>
      </c>
      <c r="D833">
        <v>36502</v>
      </c>
      <c r="E833">
        <v>2</v>
      </c>
      <c r="F833">
        <v>670050</v>
      </c>
      <c r="G833" t="s">
        <v>105</v>
      </c>
      <c r="H833" t="s">
        <v>107</v>
      </c>
      <c r="I833">
        <v>0</v>
      </c>
      <c r="J833" s="1">
        <v>407187.39899999998</v>
      </c>
      <c r="K833" s="1">
        <v>285146.22499999998</v>
      </c>
      <c r="L833" s="1">
        <v>407236.51699999999</v>
      </c>
      <c r="M833" s="1">
        <v>285250.58600000001</v>
      </c>
      <c r="N833" t="s">
        <v>40</v>
      </c>
      <c r="P833" t="s">
        <v>40</v>
      </c>
      <c r="Q833">
        <v>0</v>
      </c>
      <c r="R833">
        <v>0</v>
      </c>
      <c r="S833">
        <v>0</v>
      </c>
      <c r="T833">
        <v>6</v>
      </c>
      <c r="U833">
        <v>6</v>
      </c>
      <c r="V833">
        <v>1</v>
      </c>
      <c r="W833">
        <v>1</v>
      </c>
      <c r="X833" t="s">
        <v>40</v>
      </c>
      <c r="Y833">
        <v>3</v>
      </c>
      <c r="Z833">
        <v>89</v>
      </c>
      <c r="AA833">
        <v>1</v>
      </c>
      <c r="AB833">
        <v>0</v>
      </c>
      <c r="AC833">
        <v>120.417</v>
      </c>
      <c r="AD833">
        <v>5059</v>
      </c>
      <c r="AH833">
        <v>0</v>
      </c>
      <c r="AI833">
        <v>0</v>
      </c>
      <c r="AL833" t="s">
        <v>40</v>
      </c>
      <c r="AM833" t="str">
        <f t="shared" si="66"/>
        <v>89 1</v>
      </c>
      <c r="AN833" t="str">
        <f t="shared" si="67"/>
        <v>407187.399,285146.225</v>
      </c>
      <c r="AO833" t="str">
        <f t="shared" si="68"/>
        <v>407236.517,285250.586</v>
      </c>
      <c r="AQ833" t="s">
        <v>797</v>
      </c>
      <c r="AR833" t="s">
        <v>2649</v>
      </c>
    </row>
    <row r="834" spans="1:44" x14ac:dyDescent="0.3">
      <c r="A834">
        <v>3869</v>
      </c>
      <c r="B834">
        <v>4</v>
      </c>
      <c r="C834">
        <v>4040352</v>
      </c>
      <c r="D834">
        <v>33226</v>
      </c>
      <c r="E834">
        <v>2</v>
      </c>
      <c r="F834">
        <v>670050</v>
      </c>
      <c r="G834" t="s">
        <v>105</v>
      </c>
      <c r="H834" t="s">
        <v>107</v>
      </c>
      <c r="I834">
        <v>0</v>
      </c>
      <c r="J834" s="1">
        <v>407246.21299999999</v>
      </c>
      <c r="K834" s="1">
        <v>285049.93599999999</v>
      </c>
      <c r="L834" s="1">
        <v>407209.84600000002</v>
      </c>
      <c r="M834" s="1">
        <v>285000</v>
      </c>
      <c r="N834" t="s">
        <v>40</v>
      </c>
      <c r="P834" t="s">
        <v>40</v>
      </c>
      <c r="Q834">
        <v>0</v>
      </c>
      <c r="R834">
        <v>0</v>
      </c>
      <c r="S834">
        <v>0</v>
      </c>
      <c r="T834">
        <v>6</v>
      </c>
      <c r="U834">
        <v>6</v>
      </c>
      <c r="V834">
        <v>1</v>
      </c>
      <c r="W834">
        <v>3</v>
      </c>
      <c r="X834" t="s">
        <v>40</v>
      </c>
      <c r="Y834">
        <v>3</v>
      </c>
      <c r="Z834">
        <v>36</v>
      </c>
      <c r="AA834">
        <v>5001</v>
      </c>
      <c r="AB834">
        <v>0</v>
      </c>
      <c r="AC834">
        <v>99.463999999999999</v>
      </c>
      <c r="AD834">
        <v>5059</v>
      </c>
      <c r="AH834">
        <v>0</v>
      </c>
      <c r="AI834">
        <v>0</v>
      </c>
      <c r="AL834" t="s">
        <v>40</v>
      </c>
      <c r="AM834" t="str">
        <f t="shared" si="66"/>
        <v>36 5001</v>
      </c>
      <c r="AN834" s="6" t="s">
        <v>535</v>
      </c>
      <c r="AO834" s="6" t="s">
        <v>1433</v>
      </c>
      <c r="AQ834" t="s">
        <v>791</v>
      </c>
      <c r="AR834" t="s">
        <v>2663</v>
      </c>
    </row>
    <row r="835" spans="1:44" x14ac:dyDescent="0.3">
      <c r="A835">
        <v>3869</v>
      </c>
      <c r="B835">
        <v>4</v>
      </c>
      <c r="C835">
        <v>4040351</v>
      </c>
      <c r="D835">
        <v>33180</v>
      </c>
      <c r="E835">
        <v>2</v>
      </c>
      <c r="F835">
        <v>670050</v>
      </c>
      <c r="G835" t="s">
        <v>105</v>
      </c>
      <c r="H835" t="s">
        <v>107</v>
      </c>
      <c r="I835">
        <v>0</v>
      </c>
      <c r="J835" s="1">
        <v>407246.21299999999</v>
      </c>
      <c r="K835" s="1">
        <v>285049.93599999999</v>
      </c>
      <c r="L835" s="1">
        <v>407300.533</v>
      </c>
      <c r="M835" s="1">
        <v>285013.66800000001</v>
      </c>
      <c r="N835" t="s">
        <v>40</v>
      </c>
      <c r="P835" t="s">
        <v>40</v>
      </c>
      <c r="Q835">
        <v>0</v>
      </c>
      <c r="R835">
        <v>0</v>
      </c>
      <c r="S835">
        <v>0</v>
      </c>
      <c r="T835">
        <v>6</v>
      </c>
      <c r="U835">
        <v>6</v>
      </c>
      <c r="V835">
        <v>1</v>
      </c>
      <c r="W835">
        <v>1</v>
      </c>
      <c r="X835" t="s">
        <v>40</v>
      </c>
      <c r="Y835">
        <v>3</v>
      </c>
      <c r="Z835">
        <v>89</v>
      </c>
      <c r="AA835">
        <v>1</v>
      </c>
      <c r="AB835">
        <v>0</v>
      </c>
      <c r="AC835">
        <v>65.872</v>
      </c>
      <c r="AD835">
        <v>5059</v>
      </c>
      <c r="AH835">
        <v>0</v>
      </c>
      <c r="AI835">
        <v>0</v>
      </c>
      <c r="AL835" t="s">
        <v>40</v>
      </c>
      <c r="AM835" t="str">
        <f t="shared" si="66"/>
        <v>89 1</v>
      </c>
      <c r="AN835" t="str">
        <f t="shared" si="67"/>
        <v>407246.213,285049.936</v>
      </c>
      <c r="AO835" t="str">
        <f t="shared" si="68"/>
        <v>407300.533,285013.668</v>
      </c>
      <c r="AQ835" t="s">
        <v>2663</v>
      </c>
      <c r="AR835" t="s">
        <v>2633</v>
      </c>
    </row>
    <row r="836" spans="1:44" x14ac:dyDescent="0.3">
      <c r="A836">
        <v>3869</v>
      </c>
      <c r="B836">
        <v>4</v>
      </c>
      <c r="C836">
        <v>4040350</v>
      </c>
      <c r="D836">
        <v>33231</v>
      </c>
      <c r="E836">
        <v>2</v>
      </c>
      <c r="F836">
        <v>670050</v>
      </c>
      <c r="G836" t="s">
        <v>105</v>
      </c>
      <c r="H836" t="s">
        <v>107</v>
      </c>
      <c r="I836">
        <v>0</v>
      </c>
      <c r="J836" s="1">
        <v>407246.21299999999</v>
      </c>
      <c r="K836" s="1">
        <v>285049.93599999999</v>
      </c>
      <c r="L836" s="1">
        <v>407181.45799999998</v>
      </c>
      <c r="M836" s="1">
        <v>285145.02600000001</v>
      </c>
      <c r="N836" t="s">
        <v>40</v>
      </c>
      <c r="P836" t="s">
        <v>40</v>
      </c>
      <c r="Q836">
        <v>0</v>
      </c>
      <c r="R836">
        <v>0</v>
      </c>
      <c r="S836">
        <v>0</v>
      </c>
      <c r="T836">
        <v>6</v>
      </c>
      <c r="U836">
        <v>6</v>
      </c>
      <c r="V836">
        <v>1</v>
      </c>
      <c r="W836">
        <v>1</v>
      </c>
      <c r="X836" t="s">
        <v>40</v>
      </c>
      <c r="Y836">
        <v>3</v>
      </c>
      <c r="Z836">
        <v>89</v>
      </c>
      <c r="AA836">
        <v>1</v>
      </c>
      <c r="AB836">
        <v>0</v>
      </c>
      <c r="AC836">
        <v>145.63200000000001</v>
      </c>
      <c r="AD836">
        <v>5059</v>
      </c>
      <c r="AH836">
        <v>0</v>
      </c>
      <c r="AI836">
        <v>0</v>
      </c>
      <c r="AL836" t="s">
        <v>40</v>
      </c>
      <c r="AM836" t="str">
        <f t="shared" si="66"/>
        <v>89 1</v>
      </c>
      <c r="AN836" t="str">
        <f t="shared" si="67"/>
        <v>407246.213,285049.936</v>
      </c>
      <c r="AO836" t="str">
        <f t="shared" si="68"/>
        <v>407181.458,285145.026</v>
      </c>
      <c r="AQ836" t="s">
        <v>2663</v>
      </c>
      <c r="AR836" t="s">
        <v>2664</v>
      </c>
    </row>
    <row r="837" spans="1:44" x14ac:dyDescent="0.3">
      <c r="A837">
        <v>3869</v>
      </c>
      <c r="B837">
        <v>4</v>
      </c>
      <c r="C837">
        <v>4040349</v>
      </c>
      <c r="D837">
        <v>36445</v>
      </c>
      <c r="E837">
        <v>2</v>
      </c>
      <c r="F837">
        <v>670050</v>
      </c>
      <c r="G837" t="s">
        <v>105</v>
      </c>
      <c r="H837" t="s">
        <v>107</v>
      </c>
      <c r="I837">
        <v>0</v>
      </c>
      <c r="J837" s="1">
        <v>407187.21</v>
      </c>
      <c r="K837" s="1">
        <v>285145.87300000002</v>
      </c>
      <c r="L837" s="1">
        <v>407181.45799999998</v>
      </c>
      <c r="M837" s="1">
        <v>285145.02600000001</v>
      </c>
      <c r="N837" t="s">
        <v>40</v>
      </c>
      <c r="P837" t="s">
        <v>40</v>
      </c>
      <c r="Q837">
        <v>0</v>
      </c>
      <c r="R837">
        <v>0</v>
      </c>
      <c r="S837">
        <v>0</v>
      </c>
      <c r="T837">
        <v>6</v>
      </c>
      <c r="U837">
        <v>6</v>
      </c>
      <c r="V837">
        <v>1</v>
      </c>
      <c r="W837">
        <v>1</v>
      </c>
      <c r="X837" t="s">
        <v>40</v>
      </c>
      <c r="Y837">
        <v>3</v>
      </c>
      <c r="Z837">
        <v>38</v>
      </c>
      <c r="AA837">
        <v>1</v>
      </c>
      <c r="AB837">
        <v>0</v>
      </c>
      <c r="AC837">
        <v>7.9409999999999998</v>
      </c>
      <c r="AD837">
        <v>5059</v>
      </c>
      <c r="AH837">
        <v>0</v>
      </c>
      <c r="AI837">
        <v>0</v>
      </c>
      <c r="AL837" t="s">
        <v>40</v>
      </c>
      <c r="AM837" t="str">
        <f t="shared" si="66"/>
        <v>38 1</v>
      </c>
      <c r="AN837" t="str">
        <f t="shared" si="67"/>
        <v>407187.21,285145.873</v>
      </c>
      <c r="AO837" t="str">
        <f t="shared" si="68"/>
        <v>407181.458,285145.026</v>
      </c>
      <c r="AQ837" t="s">
        <v>797</v>
      </c>
      <c r="AR837" t="s">
        <v>2664</v>
      </c>
    </row>
    <row r="838" spans="1:44" x14ac:dyDescent="0.3">
      <c r="A838">
        <v>3869</v>
      </c>
      <c r="B838">
        <v>4</v>
      </c>
      <c r="C838">
        <v>4040409</v>
      </c>
      <c r="D838">
        <v>37160</v>
      </c>
      <c r="E838">
        <v>2</v>
      </c>
      <c r="F838">
        <v>670050</v>
      </c>
      <c r="G838" t="s">
        <v>105</v>
      </c>
      <c r="H838" t="s">
        <v>107</v>
      </c>
      <c r="I838">
        <v>0</v>
      </c>
      <c r="J838" s="1">
        <v>407206.00900000002</v>
      </c>
      <c r="K838" s="1">
        <v>285405.86599999998</v>
      </c>
      <c r="L838" s="1">
        <v>407245.31400000001</v>
      </c>
      <c r="M838" s="1">
        <v>285336.74</v>
      </c>
      <c r="N838" t="s">
        <v>40</v>
      </c>
      <c r="P838" t="s">
        <v>40</v>
      </c>
      <c r="Q838">
        <v>0</v>
      </c>
      <c r="R838">
        <v>0</v>
      </c>
      <c r="S838">
        <v>0</v>
      </c>
      <c r="T838">
        <v>6</v>
      </c>
      <c r="U838">
        <v>6</v>
      </c>
      <c r="V838">
        <v>1</v>
      </c>
      <c r="W838">
        <v>1</v>
      </c>
      <c r="X838" t="s">
        <v>40</v>
      </c>
      <c r="Y838">
        <v>3</v>
      </c>
      <c r="Z838">
        <v>38</v>
      </c>
      <c r="AA838">
        <v>5001</v>
      </c>
      <c r="AB838">
        <v>0</v>
      </c>
      <c r="AC838">
        <v>96.733000000000004</v>
      </c>
      <c r="AD838">
        <v>5059</v>
      </c>
      <c r="AH838">
        <v>0</v>
      </c>
      <c r="AI838">
        <v>0</v>
      </c>
      <c r="AL838" t="s">
        <v>40</v>
      </c>
      <c r="AM838" t="str">
        <f t="shared" si="66"/>
        <v>38 5001</v>
      </c>
      <c r="AN838" t="str">
        <f t="shared" si="67"/>
        <v>407206.009,285405.866</v>
      </c>
      <c r="AO838" t="str">
        <f t="shared" si="68"/>
        <v>407245.314,285336.74</v>
      </c>
      <c r="AQ838" t="s">
        <v>2661</v>
      </c>
      <c r="AR838" t="s">
        <v>2662</v>
      </c>
    </row>
    <row r="839" spans="1:44" x14ac:dyDescent="0.3">
      <c r="A839">
        <v>3869</v>
      </c>
      <c r="B839">
        <v>4</v>
      </c>
      <c r="C839">
        <v>4020804</v>
      </c>
      <c r="D839">
        <v>45638</v>
      </c>
      <c r="E839">
        <v>2</v>
      </c>
      <c r="F839">
        <v>670050</v>
      </c>
      <c r="G839" t="s">
        <v>105</v>
      </c>
      <c r="H839" t="s">
        <v>53</v>
      </c>
      <c r="I839">
        <v>0</v>
      </c>
      <c r="J839" s="1">
        <v>406077.29399999999</v>
      </c>
      <c r="K839" s="1">
        <v>281658.44799999997</v>
      </c>
      <c r="L839" s="1">
        <v>406077.20600000001</v>
      </c>
      <c r="M839" s="1">
        <v>281662.67200000002</v>
      </c>
      <c r="N839" t="s">
        <v>40</v>
      </c>
      <c r="P839" t="s">
        <v>40</v>
      </c>
      <c r="Q839">
        <v>0</v>
      </c>
      <c r="R839">
        <v>0</v>
      </c>
      <c r="S839">
        <v>0</v>
      </c>
      <c r="T839">
        <v>6</v>
      </c>
      <c r="U839">
        <v>6</v>
      </c>
      <c r="V839">
        <v>1</v>
      </c>
      <c r="W839">
        <v>1</v>
      </c>
      <c r="X839" t="s">
        <v>40</v>
      </c>
      <c r="Y839">
        <v>3</v>
      </c>
      <c r="Z839">
        <v>5024</v>
      </c>
      <c r="AA839">
        <v>1</v>
      </c>
      <c r="AB839">
        <v>0</v>
      </c>
      <c r="AC839">
        <v>6.3019999999999996</v>
      </c>
      <c r="AD839">
        <v>5059</v>
      </c>
      <c r="AH839">
        <v>0</v>
      </c>
      <c r="AI839">
        <v>0</v>
      </c>
      <c r="AL839" t="s">
        <v>40</v>
      </c>
      <c r="AM839" t="str">
        <f t="shared" si="66"/>
        <v>5024 1</v>
      </c>
      <c r="AN839" t="str">
        <f t="shared" si="67"/>
        <v>406077.294,281658.448</v>
      </c>
      <c r="AO839" t="str">
        <f t="shared" si="68"/>
        <v>406077.206,281662.672</v>
      </c>
      <c r="AQ839" t="s">
        <v>2665</v>
      </c>
      <c r="AR839" t="s">
        <v>794</v>
      </c>
    </row>
    <row r="840" spans="1:44" x14ac:dyDescent="0.3">
      <c r="A840">
        <v>3869</v>
      </c>
      <c r="B840">
        <v>4</v>
      </c>
      <c r="C840">
        <v>4020834</v>
      </c>
      <c r="D840">
        <v>18090</v>
      </c>
      <c r="E840">
        <v>2</v>
      </c>
      <c r="F840">
        <v>670050</v>
      </c>
      <c r="G840" t="s">
        <v>105</v>
      </c>
      <c r="H840" t="s">
        <v>53</v>
      </c>
      <c r="I840">
        <v>0</v>
      </c>
      <c r="J840" s="1">
        <v>406329.72100000002</v>
      </c>
      <c r="K840" s="1">
        <v>281749.73700000002</v>
      </c>
      <c r="L840" s="1">
        <v>406330.29499999998</v>
      </c>
      <c r="M840" s="1">
        <v>281746.46000000002</v>
      </c>
      <c r="N840" t="s">
        <v>40</v>
      </c>
      <c r="P840" t="s">
        <v>40</v>
      </c>
      <c r="Q840">
        <v>0</v>
      </c>
      <c r="R840">
        <v>0</v>
      </c>
      <c r="S840">
        <v>0</v>
      </c>
      <c r="T840">
        <v>6</v>
      </c>
      <c r="U840">
        <v>6</v>
      </c>
      <c r="V840">
        <v>1</v>
      </c>
      <c r="W840">
        <v>1</v>
      </c>
      <c r="X840" t="s">
        <v>40</v>
      </c>
      <c r="Y840">
        <v>3</v>
      </c>
      <c r="Z840">
        <v>40</v>
      </c>
      <c r="AA840">
        <v>1</v>
      </c>
      <c r="AB840">
        <v>0</v>
      </c>
      <c r="AC840">
        <v>3.4180000000000001</v>
      </c>
      <c r="AD840">
        <v>5059</v>
      </c>
      <c r="AH840">
        <v>0</v>
      </c>
      <c r="AI840">
        <v>0</v>
      </c>
      <c r="AL840" t="s">
        <v>40</v>
      </c>
      <c r="AM840" t="str">
        <f t="shared" si="66"/>
        <v>40 1</v>
      </c>
      <c r="AN840" t="str">
        <f t="shared" si="67"/>
        <v>406329.721,281749.737</v>
      </c>
      <c r="AO840" t="str">
        <f t="shared" si="68"/>
        <v>406330.295,281746.46</v>
      </c>
      <c r="AQ840" t="s">
        <v>2654</v>
      </c>
      <c r="AR840" t="s">
        <v>2666</v>
      </c>
    </row>
    <row r="841" spans="1:44" x14ac:dyDescent="0.3">
      <c r="A841">
        <v>3869</v>
      </c>
      <c r="B841">
        <v>4</v>
      </c>
      <c r="C841">
        <v>4008340</v>
      </c>
      <c r="D841">
        <v>7190</v>
      </c>
      <c r="E841">
        <v>2</v>
      </c>
      <c r="F841">
        <v>670050</v>
      </c>
      <c r="G841" t="s">
        <v>105</v>
      </c>
      <c r="H841" t="s">
        <v>71</v>
      </c>
      <c r="I841">
        <v>0</v>
      </c>
      <c r="J841" s="1">
        <v>406835.52600000001</v>
      </c>
      <c r="K841" s="1">
        <v>283234.06400000001</v>
      </c>
      <c r="L841" s="1">
        <v>406791.766</v>
      </c>
      <c r="M841" s="1">
        <v>283027.81300000002</v>
      </c>
      <c r="N841" t="s">
        <v>40</v>
      </c>
      <c r="P841" t="s">
        <v>40</v>
      </c>
      <c r="Q841">
        <v>0</v>
      </c>
      <c r="R841">
        <v>0</v>
      </c>
      <c r="S841">
        <v>0</v>
      </c>
      <c r="T841">
        <v>7</v>
      </c>
      <c r="U841">
        <v>6</v>
      </c>
      <c r="V841">
        <v>1</v>
      </c>
      <c r="W841">
        <v>1</v>
      </c>
      <c r="X841" t="s">
        <v>40</v>
      </c>
      <c r="Y841">
        <v>3</v>
      </c>
      <c r="Z841">
        <v>256</v>
      </c>
      <c r="AA841">
        <v>18</v>
      </c>
      <c r="AB841">
        <v>0</v>
      </c>
      <c r="AC841">
        <v>610.97199999999998</v>
      </c>
      <c r="AD841">
        <v>5059</v>
      </c>
      <c r="AH841">
        <v>0</v>
      </c>
      <c r="AI841">
        <v>0</v>
      </c>
      <c r="AL841" t="s">
        <v>40</v>
      </c>
      <c r="AM841" t="str">
        <f t="shared" si="66"/>
        <v>256 18</v>
      </c>
      <c r="AN841" s="6" t="s">
        <v>1442</v>
      </c>
      <c r="AO841" s="6" t="s">
        <v>1405</v>
      </c>
      <c r="AQ841" t="s">
        <v>2667</v>
      </c>
      <c r="AR841" t="s">
        <v>2621</v>
      </c>
    </row>
    <row r="842" spans="1:44" x14ac:dyDescent="0.3">
      <c r="A842">
        <v>3869</v>
      </c>
      <c r="B842">
        <v>4</v>
      </c>
      <c r="C842">
        <v>4020817</v>
      </c>
      <c r="D842">
        <v>18210</v>
      </c>
      <c r="E842">
        <v>2</v>
      </c>
      <c r="F842">
        <v>670050</v>
      </c>
      <c r="G842" t="s">
        <v>105</v>
      </c>
      <c r="H842" t="s">
        <v>53</v>
      </c>
      <c r="I842">
        <v>0</v>
      </c>
      <c r="J842" s="1">
        <v>406077.29399999999</v>
      </c>
      <c r="K842" s="1">
        <v>281658.44799999997</v>
      </c>
      <c r="L842" s="1">
        <v>406127.32500000001</v>
      </c>
      <c r="M842" s="1">
        <v>281651.35100000002</v>
      </c>
      <c r="N842" t="s">
        <v>40</v>
      </c>
      <c r="P842" t="s">
        <v>40</v>
      </c>
      <c r="Q842">
        <v>0</v>
      </c>
      <c r="R842">
        <v>0</v>
      </c>
      <c r="S842">
        <v>0</v>
      </c>
      <c r="T842">
        <v>6</v>
      </c>
      <c r="U842">
        <v>6</v>
      </c>
      <c r="V842">
        <v>1</v>
      </c>
      <c r="W842">
        <v>1</v>
      </c>
      <c r="X842" t="s">
        <v>40</v>
      </c>
      <c r="Y842">
        <v>3</v>
      </c>
      <c r="Z842">
        <v>92</v>
      </c>
      <c r="AA842">
        <v>1</v>
      </c>
      <c r="AB842">
        <v>0</v>
      </c>
      <c r="AC842">
        <v>57.142000000000003</v>
      </c>
      <c r="AD842">
        <v>5059</v>
      </c>
      <c r="AH842">
        <v>0</v>
      </c>
      <c r="AI842">
        <v>0</v>
      </c>
      <c r="AL842" t="s">
        <v>40</v>
      </c>
      <c r="AM842" t="str">
        <f t="shared" ref="AM842:AM877" si="69">_xlfn.CONCAT(Z842, " ",AA842)</f>
        <v>92 1</v>
      </c>
      <c r="AN842" t="str">
        <f t="shared" ref="AN842:AN878" si="70">ROUND(J842,3)&amp;","&amp;ROUND(K842,3)</f>
        <v>406077.294,281658.448</v>
      </c>
      <c r="AO842" t="str">
        <f t="shared" ref="AO842:AO878" si="71">ROUND(L842,3)&amp;","&amp;ROUND(M842,3)</f>
        <v>406127.325,281651.351</v>
      </c>
      <c r="AQ842" t="s">
        <v>2665</v>
      </c>
      <c r="AR842" t="s">
        <v>2668</v>
      </c>
    </row>
    <row r="843" spans="1:44" x14ac:dyDescent="0.3">
      <c r="A843">
        <v>3869</v>
      </c>
      <c r="B843">
        <v>4</v>
      </c>
      <c r="C843">
        <v>4024179</v>
      </c>
      <c r="D843">
        <v>23232</v>
      </c>
      <c r="E843">
        <v>2</v>
      </c>
      <c r="F843">
        <v>670050</v>
      </c>
      <c r="G843" t="s">
        <v>105</v>
      </c>
      <c r="H843" t="s">
        <v>43</v>
      </c>
      <c r="I843">
        <v>0</v>
      </c>
      <c r="J843" s="1">
        <v>405382.78600000002</v>
      </c>
      <c r="K843" s="1">
        <v>281000</v>
      </c>
      <c r="L843" s="1">
        <v>405149.696</v>
      </c>
      <c r="M843" s="1">
        <v>280979.92099999997</v>
      </c>
      <c r="N843" t="s">
        <v>40</v>
      </c>
      <c r="P843" t="s">
        <v>40</v>
      </c>
      <c r="Q843">
        <v>0</v>
      </c>
      <c r="R843">
        <v>0</v>
      </c>
      <c r="S843">
        <v>0</v>
      </c>
      <c r="T843">
        <v>7</v>
      </c>
      <c r="U843">
        <v>6</v>
      </c>
      <c r="V843">
        <v>1</v>
      </c>
      <c r="W843">
        <v>1</v>
      </c>
      <c r="X843" t="s">
        <v>40</v>
      </c>
      <c r="Y843">
        <v>3</v>
      </c>
      <c r="Z843">
        <v>256</v>
      </c>
      <c r="AA843">
        <v>99</v>
      </c>
      <c r="AB843">
        <v>0</v>
      </c>
      <c r="AC843">
        <v>250.28299999999999</v>
      </c>
      <c r="AD843">
        <v>5059</v>
      </c>
      <c r="AH843">
        <v>0</v>
      </c>
      <c r="AI843">
        <v>0</v>
      </c>
      <c r="AL843" t="s">
        <v>40</v>
      </c>
      <c r="AM843" t="str">
        <f t="shared" si="69"/>
        <v>256 99</v>
      </c>
      <c r="AN843" t="str">
        <f t="shared" si="70"/>
        <v>405382.786,281000</v>
      </c>
      <c r="AO843" t="str">
        <f t="shared" si="71"/>
        <v>405149.696,280979.921</v>
      </c>
      <c r="AQ843" t="s">
        <v>2669</v>
      </c>
      <c r="AR843" t="s">
        <v>2670</v>
      </c>
    </row>
    <row r="844" spans="1:44" x14ac:dyDescent="0.3">
      <c r="A844">
        <v>3869</v>
      </c>
      <c r="B844">
        <v>4</v>
      </c>
      <c r="C844">
        <v>4020833</v>
      </c>
      <c r="D844">
        <v>18381</v>
      </c>
      <c r="E844">
        <v>2</v>
      </c>
      <c r="F844">
        <v>670050</v>
      </c>
      <c r="G844" t="s">
        <v>105</v>
      </c>
      <c r="H844" t="s">
        <v>53</v>
      </c>
      <c r="I844">
        <v>0</v>
      </c>
      <c r="J844" s="1">
        <v>406154.49099999998</v>
      </c>
      <c r="K844" s="1">
        <v>281734.755</v>
      </c>
      <c r="L844" s="1">
        <v>406330.29499999998</v>
      </c>
      <c r="M844" s="1">
        <v>281746.46000000002</v>
      </c>
      <c r="N844" t="s">
        <v>40</v>
      </c>
      <c r="P844" t="s">
        <v>40</v>
      </c>
      <c r="Q844">
        <v>0</v>
      </c>
      <c r="R844">
        <v>0</v>
      </c>
      <c r="S844">
        <v>0</v>
      </c>
      <c r="T844">
        <v>7</v>
      </c>
      <c r="U844">
        <v>6</v>
      </c>
      <c r="V844">
        <v>1</v>
      </c>
      <c r="W844">
        <v>1</v>
      </c>
      <c r="X844" t="s">
        <v>40</v>
      </c>
      <c r="Y844">
        <v>3</v>
      </c>
      <c r="Z844">
        <v>256</v>
      </c>
      <c r="AA844">
        <v>18</v>
      </c>
      <c r="AB844">
        <v>0</v>
      </c>
      <c r="AC844">
        <v>193.18700000000001</v>
      </c>
      <c r="AD844">
        <v>5059</v>
      </c>
      <c r="AH844">
        <v>0</v>
      </c>
      <c r="AI844">
        <v>0</v>
      </c>
      <c r="AL844" t="s">
        <v>40</v>
      </c>
      <c r="AM844" t="str">
        <f t="shared" si="69"/>
        <v>256 18</v>
      </c>
      <c r="AN844" t="str">
        <f t="shared" si="70"/>
        <v>406154.491,281734.755</v>
      </c>
      <c r="AO844" t="str">
        <f t="shared" si="71"/>
        <v>406330.295,281746.46</v>
      </c>
      <c r="AQ844" t="s">
        <v>2671</v>
      </c>
      <c r="AR844" t="s">
        <v>2666</v>
      </c>
    </row>
    <row r="845" spans="1:44" x14ac:dyDescent="0.3">
      <c r="A845">
        <v>3869</v>
      </c>
      <c r="B845">
        <v>4</v>
      </c>
      <c r="C845">
        <v>4020857</v>
      </c>
      <c r="D845">
        <v>18392</v>
      </c>
      <c r="E845">
        <v>2</v>
      </c>
      <c r="F845">
        <v>670050</v>
      </c>
      <c r="G845" t="s">
        <v>105</v>
      </c>
      <c r="H845" t="s">
        <v>53</v>
      </c>
      <c r="I845">
        <v>0</v>
      </c>
      <c r="J845" s="1">
        <v>406329.72100000002</v>
      </c>
      <c r="K845" s="1">
        <v>281749.73700000002</v>
      </c>
      <c r="L845" s="1">
        <v>406454.90700000001</v>
      </c>
      <c r="M845" s="1">
        <v>281696.62199999997</v>
      </c>
      <c r="N845" t="s">
        <v>40</v>
      </c>
      <c r="P845" t="s">
        <v>40</v>
      </c>
      <c r="Q845">
        <v>0</v>
      </c>
      <c r="R845">
        <v>0</v>
      </c>
      <c r="S845">
        <v>0</v>
      </c>
      <c r="T845">
        <v>6</v>
      </c>
      <c r="U845">
        <v>6</v>
      </c>
      <c r="V845">
        <v>1</v>
      </c>
      <c r="W845">
        <v>3</v>
      </c>
      <c r="X845" t="s">
        <v>40</v>
      </c>
      <c r="Y845">
        <v>3</v>
      </c>
      <c r="Z845">
        <v>36</v>
      </c>
      <c r="AA845">
        <v>5001</v>
      </c>
      <c r="AB845">
        <v>0</v>
      </c>
      <c r="AC845">
        <v>152.137</v>
      </c>
      <c r="AD845">
        <v>5059</v>
      </c>
      <c r="AH845">
        <v>0</v>
      </c>
      <c r="AI845">
        <v>0</v>
      </c>
      <c r="AL845" t="s">
        <v>40</v>
      </c>
      <c r="AM845" t="str">
        <f t="shared" si="69"/>
        <v>36 5001</v>
      </c>
      <c r="AN845" t="str">
        <f t="shared" si="70"/>
        <v>406329.721,281749.737</v>
      </c>
      <c r="AO845" t="str">
        <f t="shared" si="71"/>
        <v>406454.907,281696.622</v>
      </c>
      <c r="AQ845" t="s">
        <v>2654</v>
      </c>
      <c r="AR845" t="s">
        <v>2655</v>
      </c>
    </row>
    <row r="846" spans="1:44" x14ac:dyDescent="0.3">
      <c r="A846">
        <v>3869</v>
      </c>
      <c r="B846">
        <v>4</v>
      </c>
      <c r="C846">
        <v>4020818</v>
      </c>
      <c r="D846">
        <v>18211</v>
      </c>
      <c r="E846">
        <v>2</v>
      </c>
      <c r="F846">
        <v>670050</v>
      </c>
      <c r="G846" t="s">
        <v>105</v>
      </c>
      <c r="H846" t="s">
        <v>53</v>
      </c>
      <c r="I846">
        <v>0</v>
      </c>
      <c r="J846" s="1">
        <v>406154.49099999998</v>
      </c>
      <c r="K846" s="1">
        <v>281734.755</v>
      </c>
      <c r="L846" s="1">
        <v>406127.32500000001</v>
      </c>
      <c r="M846" s="1">
        <v>281651.35100000002</v>
      </c>
      <c r="N846" t="s">
        <v>40</v>
      </c>
      <c r="P846" t="s">
        <v>40</v>
      </c>
      <c r="Q846">
        <v>0</v>
      </c>
      <c r="R846">
        <v>0</v>
      </c>
      <c r="S846">
        <v>0</v>
      </c>
      <c r="T846">
        <v>7</v>
      </c>
      <c r="U846">
        <v>6</v>
      </c>
      <c r="V846">
        <v>1</v>
      </c>
      <c r="W846">
        <v>1</v>
      </c>
      <c r="X846" t="s">
        <v>40</v>
      </c>
      <c r="Y846">
        <v>3</v>
      </c>
      <c r="Z846">
        <v>316</v>
      </c>
      <c r="AA846">
        <v>18</v>
      </c>
      <c r="AB846">
        <v>0</v>
      </c>
      <c r="AC846">
        <v>99.05</v>
      </c>
      <c r="AD846">
        <v>5059</v>
      </c>
      <c r="AH846">
        <v>0</v>
      </c>
      <c r="AI846">
        <v>0</v>
      </c>
      <c r="AL846" t="s">
        <v>40</v>
      </c>
      <c r="AM846" t="str">
        <f t="shared" si="69"/>
        <v>316 18</v>
      </c>
      <c r="AN846" t="str">
        <f t="shared" si="70"/>
        <v>406154.491,281734.755</v>
      </c>
      <c r="AO846" t="str">
        <f t="shared" si="71"/>
        <v>406127.325,281651.351</v>
      </c>
      <c r="AQ846" t="s">
        <v>2671</v>
      </c>
      <c r="AR846" t="s">
        <v>2668</v>
      </c>
    </row>
    <row r="847" spans="1:44" x14ac:dyDescent="0.3">
      <c r="A847">
        <v>3869</v>
      </c>
      <c r="B847">
        <v>4</v>
      </c>
      <c r="C847">
        <v>4020770</v>
      </c>
      <c r="D847">
        <v>18385</v>
      </c>
      <c r="E847">
        <v>2</v>
      </c>
      <c r="F847">
        <v>670050</v>
      </c>
      <c r="G847" t="s">
        <v>105</v>
      </c>
      <c r="H847" t="s">
        <v>53</v>
      </c>
      <c r="I847">
        <v>0</v>
      </c>
      <c r="J847" s="1">
        <v>406123.25400000002</v>
      </c>
      <c r="K847" s="1">
        <v>281546.88900000002</v>
      </c>
      <c r="L847" s="1">
        <v>406126.554</v>
      </c>
      <c r="M847" s="1">
        <v>281641.18699999998</v>
      </c>
      <c r="N847" t="s">
        <v>40</v>
      </c>
      <c r="P847" t="s">
        <v>40</v>
      </c>
      <c r="Q847">
        <v>0</v>
      </c>
      <c r="R847">
        <v>0</v>
      </c>
      <c r="S847">
        <v>0</v>
      </c>
      <c r="T847">
        <v>7</v>
      </c>
      <c r="U847">
        <v>6</v>
      </c>
      <c r="V847">
        <v>1</v>
      </c>
      <c r="W847">
        <v>1</v>
      </c>
      <c r="X847" t="s">
        <v>40</v>
      </c>
      <c r="Y847">
        <v>3</v>
      </c>
      <c r="Z847">
        <v>316</v>
      </c>
      <c r="AA847">
        <v>18</v>
      </c>
      <c r="AB847">
        <v>0</v>
      </c>
      <c r="AC847">
        <v>501.50800000000004</v>
      </c>
      <c r="AD847">
        <v>5059</v>
      </c>
      <c r="AH847">
        <v>0</v>
      </c>
      <c r="AI847">
        <v>0</v>
      </c>
      <c r="AL847" t="s">
        <v>40</v>
      </c>
      <c r="AM847" t="str">
        <f t="shared" si="69"/>
        <v>316 18</v>
      </c>
      <c r="AN847" s="6" t="s">
        <v>1767</v>
      </c>
      <c r="AO847" s="6" t="s">
        <v>1756</v>
      </c>
      <c r="AQ847" t="s">
        <v>2672</v>
      </c>
      <c r="AR847" t="s">
        <v>2651</v>
      </c>
    </row>
    <row r="848" spans="1:44" x14ac:dyDescent="0.3">
      <c r="A848">
        <v>3869</v>
      </c>
      <c r="B848">
        <v>4</v>
      </c>
      <c r="C848">
        <v>4008370</v>
      </c>
      <c r="D848">
        <v>7282</v>
      </c>
      <c r="E848">
        <v>2</v>
      </c>
      <c r="F848">
        <v>670050</v>
      </c>
      <c r="G848" t="s">
        <v>105</v>
      </c>
      <c r="H848" t="s">
        <v>71</v>
      </c>
      <c r="I848">
        <v>0</v>
      </c>
      <c r="J848" s="1">
        <v>406895.88500000001</v>
      </c>
      <c r="K848" s="1">
        <v>283620.48800000001</v>
      </c>
      <c r="L848" s="1">
        <v>406915.41399999999</v>
      </c>
      <c r="M848" s="1">
        <v>283613.82</v>
      </c>
      <c r="N848" t="s">
        <v>40</v>
      </c>
      <c r="P848" t="s">
        <v>40</v>
      </c>
      <c r="Q848">
        <v>0</v>
      </c>
      <c r="R848">
        <v>0</v>
      </c>
      <c r="S848">
        <v>0</v>
      </c>
      <c r="T848">
        <v>6</v>
      </c>
      <c r="U848">
        <v>6</v>
      </c>
      <c r="V848">
        <v>1</v>
      </c>
      <c r="W848">
        <v>1</v>
      </c>
      <c r="X848" t="s">
        <v>40</v>
      </c>
      <c r="Y848">
        <v>3</v>
      </c>
      <c r="Z848">
        <v>92</v>
      </c>
      <c r="AA848">
        <v>1</v>
      </c>
      <c r="AB848">
        <v>0</v>
      </c>
      <c r="AC848">
        <v>23.477</v>
      </c>
      <c r="AD848">
        <v>5059</v>
      </c>
      <c r="AH848">
        <v>0</v>
      </c>
      <c r="AI848">
        <v>0</v>
      </c>
      <c r="AL848" t="s">
        <v>40</v>
      </c>
      <c r="AM848" t="str">
        <f t="shared" si="69"/>
        <v>92 1</v>
      </c>
      <c r="AN848" t="str">
        <f t="shared" si="70"/>
        <v>406895.885,283620.488</v>
      </c>
      <c r="AO848" t="str">
        <f t="shared" si="71"/>
        <v>406915.414,283613.82</v>
      </c>
      <c r="AQ848" t="s">
        <v>2630</v>
      </c>
      <c r="AR848" t="s">
        <v>2673</v>
      </c>
    </row>
    <row r="849" spans="1:44" x14ac:dyDescent="0.3">
      <c r="A849">
        <v>3869</v>
      </c>
      <c r="B849">
        <v>4</v>
      </c>
      <c r="C849">
        <v>4026781</v>
      </c>
      <c r="D849">
        <v>25270</v>
      </c>
      <c r="E849">
        <v>2</v>
      </c>
      <c r="F849">
        <v>670050</v>
      </c>
      <c r="G849" t="s">
        <v>105</v>
      </c>
      <c r="H849" t="s">
        <v>41</v>
      </c>
      <c r="I849">
        <v>0</v>
      </c>
      <c r="J849" s="1">
        <v>405619.05599999998</v>
      </c>
      <c r="K849" s="1">
        <v>281101.92099999997</v>
      </c>
      <c r="L849" s="1">
        <v>405656.02299999999</v>
      </c>
      <c r="M849" s="1">
        <v>281180.52100000001</v>
      </c>
      <c r="N849" t="s">
        <v>40</v>
      </c>
      <c r="P849" t="s">
        <v>40</v>
      </c>
      <c r="Q849">
        <v>0</v>
      </c>
      <c r="R849">
        <v>0</v>
      </c>
      <c r="S849">
        <v>0</v>
      </c>
      <c r="T849">
        <v>7</v>
      </c>
      <c r="U849">
        <v>6</v>
      </c>
      <c r="V849">
        <v>1</v>
      </c>
      <c r="W849">
        <v>1</v>
      </c>
      <c r="X849" t="s">
        <v>40</v>
      </c>
      <c r="Y849">
        <v>3</v>
      </c>
      <c r="Z849">
        <v>91</v>
      </c>
      <c r="AA849">
        <v>1</v>
      </c>
      <c r="AB849">
        <v>0</v>
      </c>
      <c r="AC849">
        <v>87.114999999999995</v>
      </c>
      <c r="AD849">
        <v>5059</v>
      </c>
      <c r="AH849">
        <v>0</v>
      </c>
      <c r="AI849">
        <v>0</v>
      </c>
      <c r="AL849" t="s">
        <v>40</v>
      </c>
      <c r="AM849" t="str">
        <f t="shared" si="69"/>
        <v>91 1</v>
      </c>
      <c r="AN849" t="str">
        <f t="shared" si="70"/>
        <v>405619.056,281101.921</v>
      </c>
      <c r="AO849" t="str">
        <f t="shared" si="71"/>
        <v>405656.023,281180.521</v>
      </c>
      <c r="AQ849" t="s">
        <v>2674</v>
      </c>
      <c r="AR849" t="s">
        <v>2641</v>
      </c>
    </row>
    <row r="850" spans="1:44" x14ac:dyDescent="0.3">
      <c r="A850">
        <v>3869</v>
      </c>
      <c r="B850">
        <v>4</v>
      </c>
      <c r="C850">
        <v>4026780</v>
      </c>
      <c r="D850">
        <v>24845</v>
      </c>
      <c r="E850">
        <v>2</v>
      </c>
      <c r="F850">
        <v>670050</v>
      </c>
      <c r="G850" t="s">
        <v>105</v>
      </c>
      <c r="H850" t="s">
        <v>41</v>
      </c>
      <c r="I850">
        <v>0</v>
      </c>
      <c r="J850" s="1">
        <v>405434.11599999998</v>
      </c>
      <c r="K850" s="1">
        <v>281063.46500000003</v>
      </c>
      <c r="L850" s="1">
        <v>405619.05599999998</v>
      </c>
      <c r="M850" s="1">
        <v>281101.92099999997</v>
      </c>
      <c r="N850" t="s">
        <v>40</v>
      </c>
      <c r="P850" t="s">
        <v>40</v>
      </c>
      <c r="Q850">
        <v>0</v>
      </c>
      <c r="R850">
        <v>0</v>
      </c>
      <c r="S850">
        <v>0</v>
      </c>
      <c r="T850">
        <v>7</v>
      </c>
      <c r="U850">
        <v>6</v>
      </c>
      <c r="V850">
        <v>1</v>
      </c>
      <c r="W850">
        <v>1</v>
      </c>
      <c r="X850" t="s">
        <v>40</v>
      </c>
      <c r="Y850">
        <v>3</v>
      </c>
      <c r="Z850">
        <v>316</v>
      </c>
      <c r="AA850">
        <v>18</v>
      </c>
      <c r="AB850">
        <v>0</v>
      </c>
      <c r="AC850">
        <v>199.58</v>
      </c>
      <c r="AD850">
        <v>5059</v>
      </c>
      <c r="AH850">
        <v>0</v>
      </c>
      <c r="AI850">
        <v>0</v>
      </c>
      <c r="AL850" t="s">
        <v>40</v>
      </c>
      <c r="AM850" t="str">
        <f t="shared" si="69"/>
        <v>316 18</v>
      </c>
      <c r="AN850" t="str">
        <f t="shared" si="70"/>
        <v>405434.116,281063.465</v>
      </c>
      <c r="AO850" t="str">
        <f t="shared" si="71"/>
        <v>405619.056,281101.921</v>
      </c>
      <c r="AQ850" t="s">
        <v>2675</v>
      </c>
      <c r="AR850" t="s">
        <v>2674</v>
      </c>
    </row>
    <row r="851" spans="1:44" x14ac:dyDescent="0.3">
      <c r="A851">
        <v>3869</v>
      </c>
      <c r="B851">
        <v>4</v>
      </c>
      <c r="C851">
        <v>4026766</v>
      </c>
      <c r="D851">
        <v>24381</v>
      </c>
      <c r="E851">
        <v>2</v>
      </c>
      <c r="F851">
        <v>670050</v>
      </c>
      <c r="G851" t="s">
        <v>105</v>
      </c>
      <c r="H851" t="s">
        <v>41</v>
      </c>
      <c r="I851">
        <v>0</v>
      </c>
      <c r="J851" s="1">
        <v>405434.11599999998</v>
      </c>
      <c r="K851" s="1">
        <v>281063.46500000003</v>
      </c>
      <c r="L851" s="1">
        <v>405382.78600000002</v>
      </c>
      <c r="M851" s="1">
        <v>281000</v>
      </c>
      <c r="N851" t="s">
        <v>40</v>
      </c>
      <c r="P851" t="s">
        <v>40</v>
      </c>
      <c r="Q851">
        <v>0</v>
      </c>
      <c r="R851">
        <v>0</v>
      </c>
      <c r="S851">
        <v>0</v>
      </c>
      <c r="T851">
        <v>7</v>
      </c>
      <c r="U851">
        <v>6</v>
      </c>
      <c r="V851">
        <v>1</v>
      </c>
      <c r="W851">
        <v>1</v>
      </c>
      <c r="X851" t="s">
        <v>40</v>
      </c>
      <c r="Y851">
        <v>3</v>
      </c>
      <c r="Z851">
        <v>256</v>
      </c>
      <c r="AA851">
        <v>18</v>
      </c>
      <c r="AB851">
        <v>0</v>
      </c>
      <c r="AC851">
        <v>109.964</v>
      </c>
      <c r="AD851">
        <v>5059</v>
      </c>
      <c r="AH851">
        <v>0</v>
      </c>
      <c r="AI851">
        <v>0</v>
      </c>
      <c r="AL851" t="s">
        <v>40</v>
      </c>
      <c r="AM851" t="str">
        <f t="shared" si="69"/>
        <v>256 18</v>
      </c>
      <c r="AN851" t="str">
        <f t="shared" si="70"/>
        <v>405434.116,281063.465</v>
      </c>
      <c r="AO851" t="str">
        <f t="shared" si="71"/>
        <v>405382.786,281000</v>
      </c>
      <c r="AQ851" t="s">
        <v>2675</v>
      </c>
      <c r="AR851" t="s">
        <v>2669</v>
      </c>
    </row>
    <row r="852" spans="1:44" x14ac:dyDescent="0.3">
      <c r="A852">
        <v>3869</v>
      </c>
      <c r="B852">
        <v>4</v>
      </c>
      <c r="C852">
        <v>4020788</v>
      </c>
      <c r="D852">
        <v>45639</v>
      </c>
      <c r="E852">
        <v>2</v>
      </c>
      <c r="F852">
        <v>670050</v>
      </c>
      <c r="G852" t="s">
        <v>105</v>
      </c>
      <c r="H852" t="s">
        <v>53</v>
      </c>
      <c r="I852">
        <v>0</v>
      </c>
      <c r="J852" s="1">
        <v>406075.30900000001</v>
      </c>
      <c r="K852" s="1">
        <v>281662.33500000002</v>
      </c>
      <c r="L852" s="1">
        <v>406076.81400000001</v>
      </c>
      <c r="M852" s="1">
        <v>281662.48599999998</v>
      </c>
      <c r="N852" t="s">
        <v>40</v>
      </c>
      <c r="P852" t="s">
        <v>40</v>
      </c>
      <c r="Q852">
        <v>0</v>
      </c>
      <c r="R852">
        <v>0</v>
      </c>
      <c r="S852">
        <v>0</v>
      </c>
      <c r="T852">
        <v>6</v>
      </c>
      <c r="U852">
        <v>6</v>
      </c>
      <c r="V852">
        <v>1</v>
      </c>
      <c r="W852">
        <v>3</v>
      </c>
      <c r="X852" t="s">
        <v>40</v>
      </c>
      <c r="Y852">
        <v>3</v>
      </c>
      <c r="Z852">
        <v>169</v>
      </c>
      <c r="AA852">
        <v>1</v>
      </c>
      <c r="AB852">
        <v>0</v>
      </c>
      <c r="AC852">
        <v>4.9349999999999996</v>
      </c>
      <c r="AD852">
        <v>5059</v>
      </c>
      <c r="AH852">
        <v>0</v>
      </c>
      <c r="AI852">
        <v>0</v>
      </c>
      <c r="AL852" t="s">
        <v>40</v>
      </c>
      <c r="AM852" t="str">
        <f t="shared" si="69"/>
        <v>169 1</v>
      </c>
      <c r="AN852" s="6" t="s">
        <v>543</v>
      </c>
      <c r="AO852" s="6" t="s">
        <v>1769</v>
      </c>
      <c r="AQ852" t="s">
        <v>794</v>
      </c>
      <c r="AR852" t="s">
        <v>2676</v>
      </c>
    </row>
    <row r="853" spans="1:44" x14ac:dyDescent="0.3">
      <c r="A853">
        <v>3869</v>
      </c>
      <c r="B853">
        <v>4</v>
      </c>
      <c r="C853">
        <v>4020787</v>
      </c>
      <c r="D853">
        <v>45637</v>
      </c>
      <c r="E853">
        <v>2</v>
      </c>
      <c r="F853">
        <v>670050</v>
      </c>
      <c r="G853" t="s">
        <v>105</v>
      </c>
      <c r="H853" t="s">
        <v>53</v>
      </c>
      <c r="I853">
        <v>0</v>
      </c>
      <c r="J853" s="1">
        <v>406076.88400000002</v>
      </c>
      <c r="K853" s="1">
        <v>281658.31800000003</v>
      </c>
      <c r="L853" s="1">
        <v>406077.185</v>
      </c>
      <c r="M853" s="1">
        <v>281662.174</v>
      </c>
      <c r="N853" t="s">
        <v>40</v>
      </c>
      <c r="P853" t="s">
        <v>40</v>
      </c>
      <c r="Q853">
        <v>0</v>
      </c>
      <c r="R853">
        <v>0</v>
      </c>
      <c r="S853">
        <v>0</v>
      </c>
      <c r="T853">
        <v>6</v>
      </c>
      <c r="U853">
        <v>6</v>
      </c>
      <c r="V853">
        <v>1</v>
      </c>
      <c r="W853">
        <v>1</v>
      </c>
      <c r="X853" t="s">
        <v>40</v>
      </c>
      <c r="Y853">
        <v>3</v>
      </c>
      <c r="Z853">
        <v>5024</v>
      </c>
      <c r="AA853">
        <v>1</v>
      </c>
      <c r="AB853">
        <v>0</v>
      </c>
      <c r="AC853">
        <v>3.8780000000000001</v>
      </c>
      <c r="AD853">
        <v>5059</v>
      </c>
      <c r="AH853">
        <v>0</v>
      </c>
      <c r="AI853">
        <v>0</v>
      </c>
      <c r="AL853" t="s">
        <v>40</v>
      </c>
      <c r="AM853" t="str">
        <f t="shared" si="69"/>
        <v>5024 1</v>
      </c>
      <c r="AN853" t="str">
        <f t="shared" si="70"/>
        <v>406076.884,281658.318</v>
      </c>
      <c r="AO853" t="str">
        <f t="shared" si="71"/>
        <v>406077.185,281662.174</v>
      </c>
      <c r="AQ853" t="s">
        <v>2677</v>
      </c>
      <c r="AR853" t="s">
        <v>793</v>
      </c>
    </row>
    <row r="854" spans="1:44" x14ac:dyDescent="0.3">
      <c r="A854">
        <v>3869</v>
      </c>
      <c r="B854">
        <v>4</v>
      </c>
      <c r="C854">
        <v>4020771</v>
      </c>
      <c r="D854">
        <v>18209</v>
      </c>
      <c r="E854">
        <v>2</v>
      </c>
      <c r="F854">
        <v>670050</v>
      </c>
      <c r="G854" t="s">
        <v>105</v>
      </c>
      <c r="H854" t="s">
        <v>53</v>
      </c>
      <c r="I854">
        <v>0</v>
      </c>
      <c r="J854" s="1">
        <v>406076.88400000002</v>
      </c>
      <c r="K854" s="1">
        <v>281658.31800000003</v>
      </c>
      <c r="L854" s="1">
        <v>406126.554</v>
      </c>
      <c r="M854" s="1">
        <v>281641.18699999998</v>
      </c>
      <c r="N854" t="s">
        <v>40</v>
      </c>
      <c r="P854" t="s">
        <v>40</v>
      </c>
      <c r="Q854">
        <v>0</v>
      </c>
      <c r="R854">
        <v>0</v>
      </c>
      <c r="S854">
        <v>0</v>
      </c>
      <c r="T854">
        <v>6</v>
      </c>
      <c r="U854">
        <v>6</v>
      </c>
      <c r="V854">
        <v>1</v>
      </c>
      <c r="W854">
        <v>1</v>
      </c>
      <c r="X854" t="s">
        <v>40</v>
      </c>
      <c r="Y854">
        <v>3</v>
      </c>
      <c r="Z854">
        <v>92</v>
      </c>
      <c r="AA854">
        <v>1</v>
      </c>
      <c r="AB854">
        <v>0</v>
      </c>
      <c r="AC854">
        <v>61.737000000000002</v>
      </c>
      <c r="AD854">
        <v>5059</v>
      </c>
      <c r="AH854">
        <v>0</v>
      </c>
      <c r="AI854">
        <v>0</v>
      </c>
      <c r="AL854" t="s">
        <v>40</v>
      </c>
      <c r="AM854" t="str">
        <f t="shared" si="69"/>
        <v>92 1</v>
      </c>
      <c r="AN854" t="str">
        <f t="shared" si="70"/>
        <v>406076.884,281658.318</v>
      </c>
      <c r="AO854" t="str">
        <f t="shared" si="71"/>
        <v>406126.554,281641.187</v>
      </c>
      <c r="AQ854" t="s">
        <v>2677</v>
      </c>
      <c r="AR854" t="s">
        <v>2672</v>
      </c>
    </row>
    <row r="855" spans="1:44" x14ac:dyDescent="0.3">
      <c r="A855">
        <v>3869</v>
      </c>
      <c r="B855">
        <v>4</v>
      </c>
      <c r="C855">
        <v>4008369</v>
      </c>
      <c r="D855">
        <v>7230</v>
      </c>
      <c r="E855">
        <v>2</v>
      </c>
      <c r="F855">
        <v>670050</v>
      </c>
      <c r="G855" t="s">
        <v>105</v>
      </c>
      <c r="H855" t="s">
        <v>71</v>
      </c>
      <c r="I855">
        <v>0</v>
      </c>
      <c r="J855" s="1">
        <v>406915.41399999999</v>
      </c>
      <c r="K855" s="1">
        <v>283613.82</v>
      </c>
      <c r="L855" s="1">
        <v>406914.58500000002</v>
      </c>
      <c r="M855" s="1">
        <v>283608.68</v>
      </c>
      <c r="N855" t="s">
        <v>40</v>
      </c>
      <c r="P855" t="s">
        <v>40</v>
      </c>
      <c r="Q855">
        <v>0</v>
      </c>
      <c r="R855">
        <v>0</v>
      </c>
      <c r="S855">
        <v>0</v>
      </c>
      <c r="T855">
        <v>6</v>
      </c>
      <c r="U855">
        <v>6</v>
      </c>
      <c r="V855">
        <v>1</v>
      </c>
      <c r="W855">
        <v>1</v>
      </c>
      <c r="X855" t="s">
        <v>40</v>
      </c>
      <c r="Y855">
        <v>3</v>
      </c>
      <c r="Z855">
        <v>40</v>
      </c>
      <c r="AA855">
        <v>5001</v>
      </c>
      <c r="AB855">
        <v>0</v>
      </c>
      <c r="AC855">
        <v>5.2240000000000002</v>
      </c>
      <c r="AD855">
        <v>5059</v>
      </c>
      <c r="AH855">
        <v>0</v>
      </c>
      <c r="AI855">
        <v>0</v>
      </c>
      <c r="AL855" t="s">
        <v>40</v>
      </c>
      <c r="AM855" t="str">
        <f t="shared" si="69"/>
        <v>40 5001</v>
      </c>
      <c r="AN855" t="str">
        <f t="shared" si="70"/>
        <v>406915.414,283613.82</v>
      </c>
      <c r="AO855" t="str">
        <f t="shared" si="71"/>
        <v>406914.585,283608.68</v>
      </c>
      <c r="AQ855" t="s">
        <v>2673</v>
      </c>
      <c r="AR855" t="s">
        <v>2678</v>
      </c>
    </row>
    <row r="856" spans="1:44" x14ac:dyDescent="0.3">
      <c r="A856">
        <v>3869</v>
      </c>
      <c r="B856">
        <v>4</v>
      </c>
      <c r="C856">
        <v>4008356</v>
      </c>
      <c r="D856">
        <v>7163</v>
      </c>
      <c r="E856">
        <v>2</v>
      </c>
      <c r="F856">
        <v>670050</v>
      </c>
      <c r="G856" t="s">
        <v>105</v>
      </c>
      <c r="H856" t="s">
        <v>71</v>
      </c>
      <c r="I856">
        <v>0</v>
      </c>
      <c r="J856" s="1">
        <v>406881.18900000001</v>
      </c>
      <c r="K856" s="1">
        <v>283449.29800000001</v>
      </c>
      <c r="L856" s="1">
        <v>406914.58500000002</v>
      </c>
      <c r="M856" s="1">
        <v>283608.68</v>
      </c>
      <c r="N856" t="s">
        <v>40</v>
      </c>
      <c r="P856" t="s">
        <v>40</v>
      </c>
      <c r="Q856">
        <v>0</v>
      </c>
      <c r="R856">
        <v>0</v>
      </c>
      <c r="S856">
        <v>0</v>
      </c>
      <c r="T856">
        <v>7</v>
      </c>
      <c r="U856">
        <v>6</v>
      </c>
      <c r="V856">
        <v>1</v>
      </c>
      <c r="W856">
        <v>1</v>
      </c>
      <c r="X856" t="s">
        <v>40</v>
      </c>
      <c r="Y856">
        <v>3</v>
      </c>
      <c r="Z856">
        <v>316</v>
      </c>
      <c r="AA856">
        <v>18</v>
      </c>
      <c r="AB856">
        <v>0</v>
      </c>
      <c r="AC856">
        <v>162.84399999999999</v>
      </c>
      <c r="AD856">
        <v>5059</v>
      </c>
      <c r="AH856">
        <v>0</v>
      </c>
      <c r="AI856">
        <v>0</v>
      </c>
      <c r="AL856" t="s">
        <v>40</v>
      </c>
      <c r="AM856" t="str">
        <f t="shared" si="69"/>
        <v>316 18</v>
      </c>
      <c r="AN856" t="str">
        <f t="shared" si="70"/>
        <v>406881.189,283449.298</v>
      </c>
      <c r="AO856" t="str">
        <f t="shared" si="71"/>
        <v>406914.585,283608.68</v>
      </c>
      <c r="AQ856" t="s">
        <v>2667</v>
      </c>
      <c r="AR856" t="s">
        <v>2678</v>
      </c>
    </row>
    <row r="857" spans="1:44" x14ac:dyDescent="0.3">
      <c r="A857">
        <v>3869</v>
      </c>
      <c r="B857">
        <v>4</v>
      </c>
      <c r="C857">
        <v>4016811</v>
      </c>
      <c r="D857">
        <v>124</v>
      </c>
      <c r="E857">
        <v>2</v>
      </c>
      <c r="F857">
        <v>670050</v>
      </c>
      <c r="G857" t="s">
        <v>109</v>
      </c>
      <c r="H857" t="s">
        <v>83</v>
      </c>
      <c r="I857">
        <v>0</v>
      </c>
      <c r="J857" s="1">
        <v>405000</v>
      </c>
      <c r="K857" s="1">
        <v>279835.60800000001</v>
      </c>
      <c r="L857" s="1">
        <v>404867.24900000001</v>
      </c>
      <c r="M857" s="1">
        <v>279778.87400000001</v>
      </c>
      <c r="N857" t="s">
        <v>40</v>
      </c>
      <c r="P857" t="s">
        <v>40</v>
      </c>
      <c r="Q857">
        <v>0</v>
      </c>
      <c r="R857">
        <v>0</v>
      </c>
      <c r="S857">
        <v>0</v>
      </c>
      <c r="T857">
        <v>6</v>
      </c>
      <c r="U857">
        <v>6</v>
      </c>
      <c r="V857">
        <v>1</v>
      </c>
      <c r="W857">
        <v>1</v>
      </c>
      <c r="X857" t="s">
        <v>40</v>
      </c>
      <c r="Y857">
        <v>3</v>
      </c>
      <c r="Z857">
        <v>92</v>
      </c>
      <c r="AA857">
        <v>1</v>
      </c>
      <c r="AB857">
        <v>0</v>
      </c>
      <c r="AC857">
        <v>967.17600000000004</v>
      </c>
      <c r="AD857">
        <v>5059</v>
      </c>
      <c r="AH857">
        <v>0</v>
      </c>
      <c r="AI857">
        <v>0</v>
      </c>
      <c r="AL857" t="s">
        <v>40</v>
      </c>
      <c r="AM857" t="str">
        <f t="shared" si="69"/>
        <v>92 1</v>
      </c>
      <c r="AN857" s="6" t="s">
        <v>1443</v>
      </c>
      <c r="AO857" s="6" t="s">
        <v>1454</v>
      </c>
      <c r="AQ857" t="s">
        <v>2679</v>
      </c>
      <c r="AR857" t="s">
        <v>2680</v>
      </c>
    </row>
    <row r="858" spans="1:44" x14ac:dyDescent="0.3">
      <c r="A858">
        <v>3869</v>
      </c>
      <c r="B858">
        <v>4</v>
      </c>
      <c r="C858">
        <v>4024141</v>
      </c>
      <c r="D858">
        <v>21647</v>
      </c>
      <c r="E858">
        <v>2</v>
      </c>
      <c r="F858">
        <v>670050</v>
      </c>
      <c r="G858" t="s">
        <v>109</v>
      </c>
      <c r="H858" t="s">
        <v>43</v>
      </c>
      <c r="I858">
        <v>0</v>
      </c>
      <c r="J858" s="1">
        <v>405457.489</v>
      </c>
      <c r="K858" s="1">
        <v>280301.46899999998</v>
      </c>
      <c r="L858" s="1">
        <v>405452.97399999999</v>
      </c>
      <c r="M858" s="1">
        <v>280290.30200000003</v>
      </c>
      <c r="N858" t="s">
        <v>40</v>
      </c>
      <c r="P858" t="s">
        <v>40</v>
      </c>
      <c r="Q858">
        <v>0</v>
      </c>
      <c r="R858">
        <v>0</v>
      </c>
      <c r="S858">
        <v>0</v>
      </c>
      <c r="T858">
        <v>6</v>
      </c>
      <c r="U858">
        <v>6</v>
      </c>
      <c r="V858">
        <v>1</v>
      </c>
      <c r="W858">
        <v>1</v>
      </c>
      <c r="X858" t="s">
        <v>40</v>
      </c>
      <c r="Y858">
        <v>3</v>
      </c>
      <c r="Z858">
        <v>5028</v>
      </c>
      <c r="AA858">
        <v>1</v>
      </c>
      <c r="AB858">
        <v>0</v>
      </c>
      <c r="AC858">
        <v>32.177999999999997</v>
      </c>
      <c r="AD858">
        <v>5059</v>
      </c>
      <c r="AH858">
        <v>0</v>
      </c>
      <c r="AI858">
        <v>0</v>
      </c>
      <c r="AL858" t="s">
        <v>40</v>
      </c>
      <c r="AM858" t="str">
        <f t="shared" si="69"/>
        <v>5028 1</v>
      </c>
      <c r="AN858" s="6" t="s">
        <v>1445</v>
      </c>
      <c r="AO858" s="6" t="s">
        <v>1444</v>
      </c>
      <c r="AQ858" t="s">
        <v>2681</v>
      </c>
      <c r="AR858" t="s">
        <v>2682</v>
      </c>
    </row>
    <row r="859" spans="1:44" x14ac:dyDescent="0.3">
      <c r="A859">
        <v>3869</v>
      </c>
      <c r="B859">
        <v>4</v>
      </c>
      <c r="C859">
        <v>4024156</v>
      </c>
      <c r="D859">
        <v>21643</v>
      </c>
      <c r="E859">
        <v>2</v>
      </c>
      <c r="F859">
        <v>670050</v>
      </c>
      <c r="G859" t="s">
        <v>109</v>
      </c>
      <c r="H859" t="s">
        <v>43</v>
      </c>
      <c r="I859">
        <v>0</v>
      </c>
      <c r="J859" s="1">
        <v>405452.97399999999</v>
      </c>
      <c r="K859" s="1">
        <v>280290.30200000003</v>
      </c>
      <c r="L859" s="1">
        <v>405452.84499999997</v>
      </c>
      <c r="M859" s="1">
        <v>280289.18300000002</v>
      </c>
      <c r="N859" t="s">
        <v>40</v>
      </c>
      <c r="P859" t="s">
        <v>40</v>
      </c>
      <c r="Q859">
        <v>0</v>
      </c>
      <c r="R859">
        <v>0</v>
      </c>
      <c r="S859">
        <v>0</v>
      </c>
      <c r="T859">
        <v>6</v>
      </c>
      <c r="U859">
        <v>6</v>
      </c>
      <c r="V859">
        <v>1</v>
      </c>
      <c r="W859">
        <v>1</v>
      </c>
      <c r="X859" t="s">
        <v>40</v>
      </c>
      <c r="Y859">
        <v>3</v>
      </c>
      <c r="Z859">
        <v>5030</v>
      </c>
      <c r="AA859">
        <v>1</v>
      </c>
      <c r="AB859">
        <v>0</v>
      </c>
      <c r="AC859">
        <v>1.1259999999999999</v>
      </c>
      <c r="AD859">
        <v>5059</v>
      </c>
      <c r="AH859">
        <v>0</v>
      </c>
      <c r="AI859">
        <v>0</v>
      </c>
      <c r="AL859" t="s">
        <v>40</v>
      </c>
      <c r="AM859" t="str">
        <f t="shared" si="69"/>
        <v>5030 1</v>
      </c>
      <c r="AN859" t="str">
        <f t="shared" si="70"/>
        <v>405452.974,280290.302</v>
      </c>
      <c r="AO859" t="str">
        <f t="shared" si="71"/>
        <v>405452.845,280289.183</v>
      </c>
      <c r="AQ859" t="s">
        <v>2681</v>
      </c>
      <c r="AR859" t="s">
        <v>2679</v>
      </c>
    </row>
    <row r="860" spans="1:44" x14ac:dyDescent="0.3">
      <c r="A860">
        <v>3869</v>
      </c>
      <c r="B860">
        <v>4</v>
      </c>
      <c r="C860">
        <v>4024139</v>
      </c>
      <c r="D860">
        <v>21656</v>
      </c>
      <c r="E860">
        <v>2</v>
      </c>
      <c r="F860">
        <v>670050</v>
      </c>
      <c r="G860" t="s">
        <v>109</v>
      </c>
      <c r="H860" t="s">
        <v>43</v>
      </c>
      <c r="I860">
        <v>0</v>
      </c>
      <c r="J860" s="1">
        <v>405440.408</v>
      </c>
      <c r="K860" s="1">
        <v>280311.69</v>
      </c>
      <c r="L860" s="1">
        <v>405442.88</v>
      </c>
      <c r="M860" s="1">
        <v>280309.84999999998</v>
      </c>
      <c r="N860" t="s">
        <v>40</v>
      </c>
      <c r="P860" t="s">
        <v>40</v>
      </c>
      <c r="Q860">
        <v>0</v>
      </c>
      <c r="R860">
        <v>0</v>
      </c>
      <c r="S860">
        <v>0</v>
      </c>
      <c r="T860">
        <v>6</v>
      </c>
      <c r="U860">
        <v>6</v>
      </c>
      <c r="V860">
        <v>1</v>
      </c>
      <c r="W860">
        <v>1</v>
      </c>
      <c r="X860" t="s">
        <v>40</v>
      </c>
      <c r="Y860">
        <v>3</v>
      </c>
      <c r="Z860">
        <v>5030</v>
      </c>
      <c r="AA860">
        <v>1</v>
      </c>
      <c r="AB860">
        <v>0</v>
      </c>
      <c r="AC860">
        <v>3.0819999999999999</v>
      </c>
      <c r="AD860">
        <v>5059</v>
      </c>
      <c r="AH860">
        <v>0</v>
      </c>
      <c r="AI860">
        <v>0</v>
      </c>
      <c r="AL860" t="s">
        <v>40</v>
      </c>
      <c r="AM860" t="str">
        <f t="shared" si="69"/>
        <v>5030 1</v>
      </c>
      <c r="AN860" t="str">
        <f t="shared" si="70"/>
        <v>405440.408,280311.69</v>
      </c>
      <c r="AO860" t="str">
        <f t="shared" si="71"/>
        <v>405442.88,280309.85</v>
      </c>
      <c r="AQ860" t="s">
        <v>2683</v>
      </c>
      <c r="AR860" t="s">
        <v>2682</v>
      </c>
    </row>
    <row r="861" spans="1:44" x14ac:dyDescent="0.3">
      <c r="A861">
        <v>3869</v>
      </c>
      <c r="B861">
        <v>4</v>
      </c>
      <c r="C861">
        <v>4024123</v>
      </c>
      <c r="D861">
        <v>21954</v>
      </c>
      <c r="E861">
        <v>2</v>
      </c>
      <c r="F861">
        <v>670050</v>
      </c>
      <c r="G861" t="s">
        <v>109</v>
      </c>
      <c r="H861" t="s">
        <v>43</v>
      </c>
      <c r="I861">
        <v>0</v>
      </c>
      <c r="J861" s="1">
        <v>405289.77500000002</v>
      </c>
      <c r="K861" s="1">
        <v>280485.08399999997</v>
      </c>
      <c r="L861" s="1">
        <v>405440.408</v>
      </c>
      <c r="M861" s="1">
        <v>280311.69</v>
      </c>
      <c r="N861" t="s">
        <v>40</v>
      </c>
      <c r="P861" t="s">
        <v>40</v>
      </c>
      <c r="Q861">
        <v>0</v>
      </c>
      <c r="R861">
        <v>0</v>
      </c>
      <c r="S861">
        <v>0</v>
      </c>
      <c r="T861">
        <v>6</v>
      </c>
      <c r="U861">
        <v>6</v>
      </c>
      <c r="V861">
        <v>1</v>
      </c>
      <c r="W861">
        <v>1</v>
      </c>
      <c r="X861" t="s">
        <v>40</v>
      </c>
      <c r="Y861">
        <v>3</v>
      </c>
      <c r="Z861">
        <v>92</v>
      </c>
      <c r="AA861">
        <v>1</v>
      </c>
      <c r="AB861">
        <v>0</v>
      </c>
      <c r="AC861">
        <v>413.61400000000003</v>
      </c>
      <c r="AD861">
        <v>5059</v>
      </c>
      <c r="AH861">
        <v>0</v>
      </c>
      <c r="AI861">
        <v>0</v>
      </c>
      <c r="AL861" t="s">
        <v>40</v>
      </c>
      <c r="AM861" t="str">
        <f t="shared" si="69"/>
        <v>92 1</v>
      </c>
      <c r="AN861" s="6" t="s">
        <v>1446</v>
      </c>
      <c r="AO861" s="6" t="s">
        <v>1447</v>
      </c>
      <c r="AQ861" t="s">
        <v>2683</v>
      </c>
      <c r="AR861" t="s">
        <v>2684</v>
      </c>
    </row>
    <row r="862" spans="1:44" x14ac:dyDescent="0.3">
      <c r="A862">
        <v>3869</v>
      </c>
      <c r="B862">
        <v>4</v>
      </c>
      <c r="C862">
        <v>4024108</v>
      </c>
      <c r="D862">
        <v>107861</v>
      </c>
      <c r="E862">
        <v>2</v>
      </c>
      <c r="F862">
        <v>670050</v>
      </c>
      <c r="G862" t="s">
        <v>109</v>
      </c>
      <c r="H862" t="s">
        <v>43</v>
      </c>
      <c r="I862">
        <v>0</v>
      </c>
      <c r="J862" s="1">
        <v>405188.48800000001</v>
      </c>
      <c r="K862" s="1">
        <v>280637.37199999997</v>
      </c>
      <c r="L862" s="1">
        <v>405151.52799999999</v>
      </c>
      <c r="M862" s="1">
        <v>280631.57400000002</v>
      </c>
      <c r="N862" t="s">
        <v>40</v>
      </c>
      <c r="P862" t="s">
        <v>40</v>
      </c>
      <c r="Q862">
        <v>0</v>
      </c>
      <c r="R862">
        <v>0</v>
      </c>
      <c r="S862">
        <v>0</v>
      </c>
      <c r="T862">
        <v>6</v>
      </c>
      <c r="U862">
        <v>6</v>
      </c>
      <c r="V862">
        <v>1</v>
      </c>
      <c r="W862">
        <v>1</v>
      </c>
      <c r="X862" t="s">
        <v>40</v>
      </c>
      <c r="Y862">
        <v>3</v>
      </c>
      <c r="Z862">
        <v>72</v>
      </c>
      <c r="AA862">
        <v>1</v>
      </c>
      <c r="AB862">
        <v>0</v>
      </c>
      <c r="AC862">
        <v>39.274999999999999</v>
      </c>
      <c r="AD862">
        <v>5059</v>
      </c>
      <c r="AH862">
        <v>0</v>
      </c>
      <c r="AI862">
        <v>0</v>
      </c>
      <c r="AL862" t="s">
        <v>40</v>
      </c>
      <c r="AM862" t="str">
        <f t="shared" si="69"/>
        <v>72 1</v>
      </c>
      <c r="AN862" t="str">
        <f t="shared" si="70"/>
        <v>405188.488,280637.372</v>
      </c>
      <c r="AO862" t="str">
        <f t="shared" si="71"/>
        <v>405151.528,280631.574</v>
      </c>
      <c r="AQ862" t="s">
        <v>2684</v>
      </c>
      <c r="AR862" t="s">
        <v>798</v>
      </c>
    </row>
    <row r="863" spans="1:44" x14ac:dyDescent="0.3">
      <c r="A863">
        <v>3869</v>
      </c>
      <c r="B863">
        <v>4</v>
      </c>
      <c r="C863">
        <v>4024092</v>
      </c>
      <c r="D863">
        <v>107863</v>
      </c>
      <c r="E863">
        <v>2</v>
      </c>
      <c r="F863">
        <v>670050</v>
      </c>
      <c r="G863" t="s">
        <v>109</v>
      </c>
      <c r="H863" t="s">
        <v>43</v>
      </c>
      <c r="I863">
        <v>0</v>
      </c>
      <c r="J863" s="1">
        <v>405149.321</v>
      </c>
      <c r="K863" s="1">
        <v>280633.223</v>
      </c>
      <c r="L863" s="1">
        <v>405151.223</v>
      </c>
      <c r="M863" s="1">
        <v>280631.19500000001</v>
      </c>
      <c r="N863" t="s">
        <v>40</v>
      </c>
      <c r="P863" t="s">
        <v>40</v>
      </c>
      <c r="Q863">
        <v>0</v>
      </c>
      <c r="R863">
        <v>0</v>
      </c>
      <c r="S863">
        <v>0</v>
      </c>
      <c r="T863">
        <v>6</v>
      </c>
      <c r="U863">
        <v>6</v>
      </c>
      <c r="V863">
        <v>1</v>
      </c>
      <c r="W863">
        <v>3</v>
      </c>
      <c r="X863" t="s">
        <v>40</v>
      </c>
      <c r="Y863">
        <v>3</v>
      </c>
      <c r="Z863">
        <v>72</v>
      </c>
      <c r="AA863">
        <v>1</v>
      </c>
      <c r="AB863">
        <v>0</v>
      </c>
      <c r="AC863">
        <v>7.4489999999999998</v>
      </c>
      <c r="AD863">
        <v>5059</v>
      </c>
      <c r="AH863">
        <v>0</v>
      </c>
      <c r="AI863">
        <v>0</v>
      </c>
      <c r="AL863" t="s">
        <v>40</v>
      </c>
      <c r="AM863" t="str">
        <f t="shared" si="69"/>
        <v>72 1</v>
      </c>
      <c r="AN863" t="str">
        <f t="shared" si="70"/>
        <v>405149.321,280633.223</v>
      </c>
      <c r="AO863" t="str">
        <f t="shared" si="71"/>
        <v>405151.223,280631.195</v>
      </c>
      <c r="AQ863" t="s">
        <v>1899</v>
      </c>
      <c r="AR863" t="s">
        <v>799</v>
      </c>
    </row>
    <row r="864" spans="1:44" x14ac:dyDescent="0.3">
      <c r="A864">
        <v>3869</v>
      </c>
      <c r="B864">
        <v>4</v>
      </c>
      <c r="C864">
        <v>4024091</v>
      </c>
      <c r="D864">
        <v>107862</v>
      </c>
      <c r="E864">
        <v>2</v>
      </c>
      <c r="F864">
        <v>670050</v>
      </c>
      <c r="G864" t="s">
        <v>109</v>
      </c>
      <c r="H864" t="s">
        <v>43</v>
      </c>
      <c r="I864">
        <v>0</v>
      </c>
      <c r="J864" s="1">
        <v>405185.21500000003</v>
      </c>
      <c r="K864" s="1">
        <v>280642.95500000002</v>
      </c>
      <c r="L864" s="1">
        <v>405150.94699999999</v>
      </c>
      <c r="M864" s="1">
        <v>280631.54200000002</v>
      </c>
      <c r="N864" t="s">
        <v>40</v>
      </c>
      <c r="P864" t="s">
        <v>40</v>
      </c>
      <c r="Q864">
        <v>0</v>
      </c>
      <c r="R864">
        <v>0</v>
      </c>
      <c r="S864">
        <v>0</v>
      </c>
      <c r="T864">
        <v>6</v>
      </c>
      <c r="U864">
        <v>6</v>
      </c>
      <c r="V864">
        <v>1</v>
      </c>
      <c r="W864">
        <v>1</v>
      </c>
      <c r="X864" t="s">
        <v>40</v>
      </c>
      <c r="Y864">
        <v>3</v>
      </c>
      <c r="Z864">
        <v>72</v>
      </c>
      <c r="AA864">
        <v>1</v>
      </c>
      <c r="AB864">
        <v>0</v>
      </c>
      <c r="AC864">
        <v>41.093000000000004</v>
      </c>
      <c r="AD864">
        <v>5059</v>
      </c>
      <c r="AH864">
        <v>0</v>
      </c>
      <c r="AI864">
        <v>0</v>
      </c>
      <c r="AL864" t="s">
        <v>40</v>
      </c>
      <c r="AM864" t="str">
        <f t="shared" si="69"/>
        <v>72 1</v>
      </c>
      <c r="AN864" t="str">
        <f t="shared" si="70"/>
        <v>405185.215,280642.955</v>
      </c>
      <c r="AO864" t="str">
        <f t="shared" si="71"/>
        <v>405150.947,280631.542</v>
      </c>
      <c r="AQ864" t="s">
        <v>2685</v>
      </c>
      <c r="AR864" t="s">
        <v>799</v>
      </c>
    </row>
    <row r="865" spans="1:44" x14ac:dyDescent="0.3">
      <c r="A865">
        <v>3869</v>
      </c>
      <c r="B865">
        <v>4</v>
      </c>
      <c r="C865">
        <v>4024072</v>
      </c>
      <c r="D865">
        <v>22475</v>
      </c>
      <c r="E865">
        <v>2</v>
      </c>
      <c r="F865">
        <v>670050</v>
      </c>
      <c r="G865" t="s">
        <v>109</v>
      </c>
      <c r="H865" t="s">
        <v>43</v>
      </c>
      <c r="I865">
        <v>0</v>
      </c>
      <c r="J865" s="1">
        <v>405175.59299999999</v>
      </c>
      <c r="K865" s="1">
        <v>280664.15700000001</v>
      </c>
      <c r="L865" s="1">
        <v>405181.734</v>
      </c>
      <c r="M865" s="1">
        <v>280649.57799999998</v>
      </c>
      <c r="N865" t="s">
        <v>40</v>
      </c>
      <c r="P865" t="s">
        <v>40</v>
      </c>
      <c r="Q865">
        <v>0</v>
      </c>
      <c r="R865">
        <v>0</v>
      </c>
      <c r="S865">
        <v>0</v>
      </c>
      <c r="T865">
        <v>6</v>
      </c>
      <c r="U865">
        <v>6</v>
      </c>
      <c r="V865">
        <v>1</v>
      </c>
      <c r="W865">
        <v>1</v>
      </c>
      <c r="X865" t="s">
        <v>40</v>
      </c>
      <c r="Y865">
        <v>3</v>
      </c>
      <c r="Z865">
        <v>40</v>
      </c>
      <c r="AA865">
        <v>5001</v>
      </c>
      <c r="AB865">
        <v>0</v>
      </c>
      <c r="AC865">
        <v>15.83</v>
      </c>
      <c r="AD865">
        <v>5059</v>
      </c>
      <c r="AH865">
        <v>0</v>
      </c>
      <c r="AI865">
        <v>0</v>
      </c>
      <c r="AL865" t="s">
        <v>40</v>
      </c>
      <c r="AM865" t="str">
        <f t="shared" si="69"/>
        <v>40 5001</v>
      </c>
      <c r="AN865" t="str">
        <f t="shared" si="70"/>
        <v>405175.593,280664.157</v>
      </c>
      <c r="AO865" t="str">
        <f t="shared" si="71"/>
        <v>405181.734,280649.578</v>
      </c>
      <c r="AQ865" t="s">
        <v>2686</v>
      </c>
      <c r="AR865" t="s">
        <v>2687</v>
      </c>
    </row>
    <row r="866" spans="1:44" x14ac:dyDescent="0.3">
      <c r="A866">
        <v>3869</v>
      </c>
      <c r="B866">
        <v>4</v>
      </c>
      <c r="C866">
        <v>4024043</v>
      </c>
      <c r="D866">
        <v>22968</v>
      </c>
      <c r="E866">
        <v>2</v>
      </c>
      <c r="F866">
        <v>670050</v>
      </c>
      <c r="G866" t="s">
        <v>109</v>
      </c>
      <c r="H866" t="s">
        <v>43</v>
      </c>
      <c r="I866">
        <v>0</v>
      </c>
      <c r="J866" s="1">
        <v>405109.51799999998</v>
      </c>
      <c r="K866" s="1">
        <v>280969.65000000002</v>
      </c>
      <c r="L866" s="1">
        <v>405123.1</v>
      </c>
      <c r="M866" s="1">
        <v>280972.10399999999</v>
      </c>
      <c r="N866" t="s">
        <v>40</v>
      </c>
      <c r="P866" t="s">
        <v>40</v>
      </c>
      <c r="Q866">
        <v>0</v>
      </c>
      <c r="R866">
        <v>0</v>
      </c>
      <c r="S866">
        <v>0</v>
      </c>
      <c r="T866">
        <v>6</v>
      </c>
      <c r="U866">
        <v>6</v>
      </c>
      <c r="V866">
        <v>1</v>
      </c>
      <c r="W866">
        <v>1</v>
      </c>
      <c r="X866" t="s">
        <v>40</v>
      </c>
      <c r="Y866">
        <v>3</v>
      </c>
      <c r="Z866">
        <v>92</v>
      </c>
      <c r="AA866">
        <v>1</v>
      </c>
      <c r="AB866">
        <v>0</v>
      </c>
      <c r="AC866">
        <v>329.49599999999998</v>
      </c>
      <c r="AD866">
        <v>5059</v>
      </c>
      <c r="AH866">
        <v>0</v>
      </c>
      <c r="AI866">
        <v>0</v>
      </c>
      <c r="AL866" t="s">
        <v>40</v>
      </c>
      <c r="AM866" t="str">
        <f t="shared" si="69"/>
        <v>92 1</v>
      </c>
      <c r="AN866" s="6" t="s">
        <v>1451</v>
      </c>
      <c r="AO866" s="6" t="s">
        <v>1450</v>
      </c>
      <c r="AQ866" t="s">
        <v>2688</v>
      </c>
      <c r="AR866" t="s">
        <v>2686</v>
      </c>
    </row>
    <row r="867" spans="1:44" x14ac:dyDescent="0.3">
      <c r="A867">
        <v>3869</v>
      </c>
      <c r="B867">
        <v>4</v>
      </c>
      <c r="C867">
        <v>4024042</v>
      </c>
      <c r="D867">
        <v>22960</v>
      </c>
      <c r="E867">
        <v>2</v>
      </c>
      <c r="F867">
        <v>670050</v>
      </c>
      <c r="G867" t="s">
        <v>109</v>
      </c>
      <c r="H867" t="s">
        <v>43</v>
      </c>
      <c r="I867">
        <v>0</v>
      </c>
      <c r="J867" s="1">
        <v>405123.1</v>
      </c>
      <c r="K867" s="1">
        <v>280972.10399999999</v>
      </c>
      <c r="L867" s="1">
        <v>405124.58500000002</v>
      </c>
      <c r="M867" s="1">
        <v>280974.06199999998</v>
      </c>
      <c r="N867" t="s">
        <v>40</v>
      </c>
      <c r="P867" t="s">
        <v>40</v>
      </c>
      <c r="Q867">
        <v>0</v>
      </c>
      <c r="R867">
        <v>0</v>
      </c>
      <c r="S867">
        <v>0</v>
      </c>
      <c r="T867">
        <v>6</v>
      </c>
      <c r="U867">
        <v>6</v>
      </c>
      <c r="V867">
        <v>1</v>
      </c>
      <c r="W867">
        <v>1</v>
      </c>
      <c r="X867" t="s">
        <v>40</v>
      </c>
      <c r="Y867">
        <v>3</v>
      </c>
      <c r="Z867">
        <v>92</v>
      </c>
      <c r="AA867">
        <v>99</v>
      </c>
      <c r="AB867">
        <v>0</v>
      </c>
      <c r="AC867">
        <v>2.508</v>
      </c>
      <c r="AD867">
        <v>5059</v>
      </c>
      <c r="AH867">
        <v>0</v>
      </c>
      <c r="AI867">
        <v>0</v>
      </c>
      <c r="AL867" t="s">
        <v>40</v>
      </c>
      <c r="AM867" t="str">
        <f t="shared" si="69"/>
        <v>92 99</v>
      </c>
      <c r="AN867" t="str">
        <f t="shared" si="70"/>
        <v>405123.1,280972.104</v>
      </c>
      <c r="AO867" t="str">
        <f t="shared" si="71"/>
        <v>405124.585,280974.062</v>
      </c>
      <c r="AQ867" t="s">
        <v>2688</v>
      </c>
      <c r="AR867" t="s">
        <v>1900</v>
      </c>
    </row>
    <row r="868" spans="1:44" x14ac:dyDescent="0.3">
      <c r="A868">
        <v>3869</v>
      </c>
      <c r="B868">
        <v>4</v>
      </c>
      <c r="C868">
        <v>4024085</v>
      </c>
      <c r="D868">
        <v>22480</v>
      </c>
      <c r="E868">
        <v>2</v>
      </c>
      <c r="F868">
        <v>670050</v>
      </c>
      <c r="G868" t="s">
        <v>109</v>
      </c>
      <c r="H868" t="s">
        <v>43</v>
      </c>
      <c r="I868">
        <v>0</v>
      </c>
      <c r="J868" s="1">
        <v>405181.734</v>
      </c>
      <c r="K868" s="1">
        <v>280649.57799999998</v>
      </c>
      <c r="L868" s="1">
        <v>405185.21500000003</v>
      </c>
      <c r="M868" s="1">
        <v>280642.95500000002</v>
      </c>
      <c r="N868" t="s">
        <v>40</v>
      </c>
      <c r="P868" t="s">
        <v>40</v>
      </c>
      <c r="Q868">
        <v>0</v>
      </c>
      <c r="R868">
        <v>0</v>
      </c>
      <c r="S868">
        <v>0</v>
      </c>
      <c r="T868">
        <v>6</v>
      </c>
      <c r="U868">
        <v>6</v>
      </c>
      <c r="V868">
        <v>1</v>
      </c>
      <c r="W868">
        <v>1</v>
      </c>
      <c r="X868" t="s">
        <v>40</v>
      </c>
      <c r="Y868">
        <v>3</v>
      </c>
      <c r="Z868">
        <v>92</v>
      </c>
      <c r="AA868">
        <v>1</v>
      </c>
      <c r="AB868">
        <v>0</v>
      </c>
      <c r="AC868">
        <v>7.484</v>
      </c>
      <c r="AD868">
        <v>5059</v>
      </c>
      <c r="AH868">
        <v>0</v>
      </c>
      <c r="AI868">
        <v>0</v>
      </c>
      <c r="AL868" t="s">
        <v>40</v>
      </c>
      <c r="AM868" t="str">
        <f t="shared" si="69"/>
        <v>92 1</v>
      </c>
      <c r="AN868" t="str">
        <f t="shared" si="70"/>
        <v>405181.734,280649.578</v>
      </c>
      <c r="AO868" t="str">
        <f t="shared" si="71"/>
        <v>405185.215,280642.955</v>
      </c>
      <c r="AQ868" t="s">
        <v>2687</v>
      </c>
      <c r="AR868" t="s">
        <v>2685</v>
      </c>
    </row>
    <row r="869" spans="1:44" x14ac:dyDescent="0.3">
      <c r="A869">
        <v>3869</v>
      </c>
      <c r="B869">
        <v>4</v>
      </c>
      <c r="C869">
        <v>4016825</v>
      </c>
      <c r="D869">
        <v>14987</v>
      </c>
      <c r="E869">
        <v>2</v>
      </c>
      <c r="F869">
        <v>670050</v>
      </c>
      <c r="G869" t="s">
        <v>109</v>
      </c>
      <c r="H869" t="s">
        <v>83</v>
      </c>
      <c r="I869">
        <v>0</v>
      </c>
      <c r="J869" s="1">
        <v>404374.38299999997</v>
      </c>
      <c r="K869" s="1">
        <v>279330.02600000001</v>
      </c>
      <c r="L869" s="1">
        <v>404398.50199999998</v>
      </c>
      <c r="M869" s="1">
        <v>279335.55200000003</v>
      </c>
      <c r="N869" t="s">
        <v>40</v>
      </c>
      <c r="P869" t="s">
        <v>40</v>
      </c>
      <c r="Q869">
        <v>0</v>
      </c>
      <c r="R869">
        <v>0</v>
      </c>
      <c r="S869">
        <v>0</v>
      </c>
      <c r="T869">
        <v>6</v>
      </c>
      <c r="U869">
        <v>6</v>
      </c>
      <c r="V869">
        <v>1</v>
      </c>
      <c r="W869">
        <v>1</v>
      </c>
      <c r="X869" t="s">
        <v>40</v>
      </c>
      <c r="Y869">
        <v>3</v>
      </c>
      <c r="Z869">
        <v>92</v>
      </c>
      <c r="AA869">
        <v>1</v>
      </c>
      <c r="AB869">
        <v>0</v>
      </c>
      <c r="AC869">
        <v>587.85500000000002</v>
      </c>
      <c r="AD869">
        <v>5059</v>
      </c>
      <c r="AH869">
        <v>0</v>
      </c>
      <c r="AI869">
        <v>0</v>
      </c>
      <c r="AL869" t="s">
        <v>40</v>
      </c>
      <c r="AM869" t="str">
        <f t="shared" si="69"/>
        <v>92 1</v>
      </c>
      <c r="AN869" s="6" t="s">
        <v>1453</v>
      </c>
      <c r="AO869" s="6" t="s">
        <v>1455</v>
      </c>
      <c r="AQ869" t="s">
        <v>2689</v>
      </c>
      <c r="AR869" t="s">
        <v>2690</v>
      </c>
    </row>
    <row r="870" spans="1:44" x14ac:dyDescent="0.3">
      <c r="A870">
        <v>3869</v>
      </c>
      <c r="B870">
        <v>4</v>
      </c>
      <c r="C870">
        <v>4016817</v>
      </c>
      <c r="D870">
        <v>16111</v>
      </c>
      <c r="E870">
        <v>2</v>
      </c>
      <c r="F870">
        <v>670050</v>
      </c>
      <c r="G870" t="s">
        <v>109</v>
      </c>
      <c r="H870" t="s">
        <v>83</v>
      </c>
      <c r="I870">
        <v>0</v>
      </c>
      <c r="J870" s="1">
        <v>404811.47700000001</v>
      </c>
      <c r="K870" s="1">
        <v>279586.527</v>
      </c>
      <c r="L870" s="1">
        <v>404811.56599999999</v>
      </c>
      <c r="M870" s="1">
        <v>279646.326</v>
      </c>
      <c r="N870" t="s">
        <v>40</v>
      </c>
      <c r="P870" t="s">
        <v>40</v>
      </c>
      <c r="Q870">
        <v>0</v>
      </c>
      <c r="R870">
        <v>0</v>
      </c>
      <c r="S870">
        <v>0</v>
      </c>
      <c r="T870">
        <v>6</v>
      </c>
      <c r="U870">
        <v>6</v>
      </c>
      <c r="V870">
        <v>1</v>
      </c>
      <c r="W870">
        <v>1</v>
      </c>
      <c r="X870" t="s">
        <v>40</v>
      </c>
      <c r="Y870">
        <v>3</v>
      </c>
      <c r="Z870">
        <v>40</v>
      </c>
      <c r="AA870">
        <v>1</v>
      </c>
      <c r="AB870">
        <v>0</v>
      </c>
      <c r="AC870">
        <v>59.878</v>
      </c>
      <c r="AD870">
        <v>5059</v>
      </c>
      <c r="AH870">
        <v>0</v>
      </c>
      <c r="AI870">
        <v>0</v>
      </c>
      <c r="AL870" t="s">
        <v>40</v>
      </c>
      <c r="AM870" t="str">
        <f t="shared" si="69"/>
        <v>40 1</v>
      </c>
      <c r="AN870" t="str">
        <f t="shared" si="70"/>
        <v>404811.477,279586.527</v>
      </c>
      <c r="AO870" t="str">
        <f t="shared" si="71"/>
        <v>404811.566,279646.326</v>
      </c>
      <c r="AQ870" t="s">
        <v>2690</v>
      </c>
      <c r="AR870" t="s">
        <v>2680</v>
      </c>
    </row>
    <row r="871" spans="1:44" x14ac:dyDescent="0.3">
      <c r="A871">
        <v>3869</v>
      </c>
      <c r="B871">
        <v>4</v>
      </c>
      <c r="C871">
        <v>4016826</v>
      </c>
      <c r="D871">
        <v>14985</v>
      </c>
      <c r="E871">
        <v>2</v>
      </c>
      <c r="F871">
        <v>670050</v>
      </c>
      <c r="G871" t="s">
        <v>109</v>
      </c>
      <c r="H871" t="s">
        <v>83</v>
      </c>
      <c r="I871">
        <v>0</v>
      </c>
      <c r="J871" s="1">
        <v>404337.55900000001</v>
      </c>
      <c r="K871" s="1">
        <v>279324.86200000002</v>
      </c>
      <c r="L871" s="1">
        <v>404374.38299999997</v>
      </c>
      <c r="M871" s="1">
        <v>279330.02600000001</v>
      </c>
      <c r="N871" t="s">
        <v>40</v>
      </c>
      <c r="P871" t="s">
        <v>40</v>
      </c>
      <c r="Q871">
        <v>0</v>
      </c>
      <c r="R871">
        <v>0</v>
      </c>
      <c r="S871">
        <v>0</v>
      </c>
      <c r="T871">
        <v>6</v>
      </c>
      <c r="U871">
        <v>6</v>
      </c>
      <c r="V871">
        <v>1</v>
      </c>
      <c r="W871">
        <v>1</v>
      </c>
      <c r="X871" t="s">
        <v>40</v>
      </c>
      <c r="Y871">
        <v>3</v>
      </c>
      <c r="Z871">
        <v>72</v>
      </c>
      <c r="AA871">
        <v>1</v>
      </c>
      <c r="AB871">
        <v>0</v>
      </c>
      <c r="AC871">
        <v>46.99</v>
      </c>
      <c r="AD871">
        <v>5059</v>
      </c>
      <c r="AH871">
        <v>0</v>
      </c>
      <c r="AI871">
        <v>0</v>
      </c>
      <c r="AL871" t="s">
        <v>40</v>
      </c>
      <c r="AM871" t="str">
        <f t="shared" si="69"/>
        <v>72 1</v>
      </c>
      <c r="AN871" s="6" t="s">
        <v>1453</v>
      </c>
      <c r="AO871" s="6" t="s">
        <v>517</v>
      </c>
      <c r="AQ871" t="s">
        <v>2689</v>
      </c>
      <c r="AR871" t="s">
        <v>785</v>
      </c>
    </row>
    <row r="872" spans="1:44" x14ac:dyDescent="0.3">
      <c r="A872">
        <v>3869</v>
      </c>
      <c r="B872">
        <v>4</v>
      </c>
      <c r="C872">
        <v>4023685</v>
      </c>
      <c r="D872">
        <v>23021</v>
      </c>
      <c r="E872">
        <v>2</v>
      </c>
      <c r="F872">
        <v>670050</v>
      </c>
      <c r="G872" t="s">
        <v>110</v>
      </c>
      <c r="H872" t="s">
        <v>43</v>
      </c>
      <c r="I872">
        <v>0</v>
      </c>
      <c r="J872" s="1">
        <v>405192.94699999999</v>
      </c>
      <c r="K872" s="1">
        <v>280980.56699999998</v>
      </c>
      <c r="L872" s="1">
        <v>405149.4</v>
      </c>
      <c r="M872" s="1">
        <v>280982.22700000001</v>
      </c>
      <c r="N872" t="s">
        <v>40</v>
      </c>
      <c r="P872" t="s">
        <v>40</v>
      </c>
      <c r="Q872">
        <v>0</v>
      </c>
      <c r="R872">
        <v>0</v>
      </c>
      <c r="S872">
        <v>0</v>
      </c>
      <c r="T872">
        <v>6</v>
      </c>
      <c r="U872">
        <v>6</v>
      </c>
      <c r="V872">
        <v>1</v>
      </c>
      <c r="W872">
        <v>1</v>
      </c>
      <c r="X872" t="s">
        <v>40</v>
      </c>
      <c r="Y872">
        <v>3</v>
      </c>
      <c r="Z872">
        <v>92</v>
      </c>
      <c r="AA872">
        <v>99</v>
      </c>
      <c r="AB872">
        <v>0</v>
      </c>
      <c r="AC872">
        <v>44.823</v>
      </c>
      <c r="AD872">
        <v>5059</v>
      </c>
      <c r="AH872">
        <v>0</v>
      </c>
      <c r="AI872">
        <v>0</v>
      </c>
      <c r="AL872" t="s">
        <v>40</v>
      </c>
      <c r="AM872" t="str">
        <f t="shared" si="69"/>
        <v>92 99</v>
      </c>
      <c r="AN872" t="str">
        <f t="shared" si="70"/>
        <v>405192.947,280980.567</v>
      </c>
      <c r="AO872" t="str">
        <f t="shared" si="71"/>
        <v>405149.4,280982.227</v>
      </c>
      <c r="AQ872" t="s">
        <v>2691</v>
      </c>
      <c r="AR872" t="s">
        <v>2692</v>
      </c>
    </row>
    <row r="873" spans="1:44" x14ac:dyDescent="0.3">
      <c r="A873">
        <v>3869</v>
      </c>
      <c r="B873">
        <v>4</v>
      </c>
      <c r="C873">
        <v>4023926</v>
      </c>
      <c r="D873">
        <v>103166</v>
      </c>
      <c r="E873">
        <v>2</v>
      </c>
      <c r="F873">
        <v>670050</v>
      </c>
      <c r="G873" t="s">
        <v>110</v>
      </c>
      <c r="H873" t="s">
        <v>43</v>
      </c>
      <c r="I873">
        <v>0</v>
      </c>
      <c r="J873" s="1">
        <v>405862.74200000003</v>
      </c>
      <c r="K873" s="1">
        <v>280785.81800000003</v>
      </c>
      <c r="L873" s="1">
        <v>405864.60399999999</v>
      </c>
      <c r="M873" s="1">
        <v>280785.05900000001</v>
      </c>
      <c r="N873" t="s">
        <v>40</v>
      </c>
      <c r="P873" t="s">
        <v>40</v>
      </c>
      <c r="Q873">
        <v>0</v>
      </c>
      <c r="R873">
        <v>0</v>
      </c>
      <c r="S873">
        <v>0</v>
      </c>
      <c r="T873">
        <v>6</v>
      </c>
      <c r="U873">
        <v>6</v>
      </c>
      <c r="V873">
        <v>1</v>
      </c>
      <c r="W873">
        <v>3</v>
      </c>
      <c r="X873" t="s">
        <v>40</v>
      </c>
      <c r="Y873">
        <v>3</v>
      </c>
      <c r="Z873">
        <v>38</v>
      </c>
      <c r="AA873">
        <v>5001</v>
      </c>
      <c r="AB873">
        <v>0</v>
      </c>
      <c r="AC873">
        <v>6.0549999999999997</v>
      </c>
      <c r="AD873">
        <v>5059</v>
      </c>
      <c r="AH873">
        <v>0</v>
      </c>
      <c r="AI873">
        <v>0</v>
      </c>
      <c r="AL873" t="s">
        <v>40</v>
      </c>
      <c r="AM873" t="str">
        <f t="shared" si="69"/>
        <v>38 5001</v>
      </c>
      <c r="AN873" t="str">
        <f t="shared" si="70"/>
        <v>405862.742,280785.818</v>
      </c>
      <c r="AO873" t="str">
        <f t="shared" si="71"/>
        <v>405864.604,280785.059</v>
      </c>
      <c r="AQ873" t="s">
        <v>2693</v>
      </c>
      <c r="AR873" t="s">
        <v>806</v>
      </c>
    </row>
    <row r="874" spans="1:44" x14ac:dyDescent="0.3">
      <c r="A874">
        <v>3869</v>
      </c>
      <c r="B874">
        <v>4</v>
      </c>
      <c r="C874">
        <v>4023925</v>
      </c>
      <c r="D874">
        <v>103165</v>
      </c>
      <c r="E874">
        <v>2</v>
      </c>
      <c r="F874">
        <v>670050</v>
      </c>
      <c r="G874" t="s">
        <v>110</v>
      </c>
      <c r="H874" t="s">
        <v>43</v>
      </c>
      <c r="I874">
        <v>0</v>
      </c>
      <c r="J874" s="1">
        <v>405862.74200000003</v>
      </c>
      <c r="K874" s="1">
        <v>280785.81800000003</v>
      </c>
      <c r="L874" s="1">
        <v>405859.26400000002</v>
      </c>
      <c r="M874" s="1">
        <v>280784.03899999999</v>
      </c>
      <c r="N874" t="s">
        <v>40</v>
      </c>
      <c r="P874" t="s">
        <v>40</v>
      </c>
      <c r="Q874">
        <v>0</v>
      </c>
      <c r="R874">
        <v>0</v>
      </c>
      <c r="S874">
        <v>0</v>
      </c>
      <c r="T874">
        <v>6</v>
      </c>
      <c r="U874">
        <v>6</v>
      </c>
      <c r="V874">
        <v>1</v>
      </c>
      <c r="W874">
        <v>3</v>
      </c>
      <c r="X874" t="s">
        <v>40</v>
      </c>
      <c r="Y874">
        <v>3</v>
      </c>
      <c r="Z874">
        <v>86</v>
      </c>
      <c r="AA874">
        <v>1</v>
      </c>
      <c r="AB874">
        <v>0</v>
      </c>
      <c r="AC874">
        <v>6.0670000000000002</v>
      </c>
      <c r="AD874">
        <v>5059</v>
      </c>
      <c r="AH874">
        <v>0</v>
      </c>
      <c r="AI874">
        <v>0</v>
      </c>
      <c r="AL874" t="s">
        <v>40</v>
      </c>
      <c r="AM874" t="str">
        <f t="shared" si="69"/>
        <v>86 1</v>
      </c>
      <c r="AN874" t="str">
        <f t="shared" si="70"/>
        <v>405862.742,280785.818</v>
      </c>
      <c r="AO874" t="str">
        <f t="shared" si="71"/>
        <v>405859.264,280784.039</v>
      </c>
      <c r="AQ874" t="s">
        <v>2693</v>
      </c>
      <c r="AR874" t="s">
        <v>1901</v>
      </c>
    </row>
    <row r="875" spans="1:44" x14ac:dyDescent="0.3">
      <c r="A875">
        <v>3869</v>
      </c>
      <c r="B875">
        <v>4</v>
      </c>
      <c r="C875">
        <v>4023699</v>
      </c>
      <c r="D875">
        <v>22508</v>
      </c>
      <c r="E875">
        <v>2</v>
      </c>
      <c r="F875">
        <v>670050</v>
      </c>
      <c r="G875" t="s">
        <v>110</v>
      </c>
      <c r="H875" t="s">
        <v>43</v>
      </c>
      <c r="I875">
        <v>0</v>
      </c>
      <c r="J875" s="1">
        <v>405317.52500000002</v>
      </c>
      <c r="K875" s="1">
        <v>280691.18599999999</v>
      </c>
      <c r="L875" s="1">
        <v>405210.90700000001</v>
      </c>
      <c r="M875" s="1">
        <v>280982.93300000002</v>
      </c>
      <c r="N875" t="s">
        <v>40</v>
      </c>
      <c r="P875" t="s">
        <v>40</v>
      </c>
      <c r="Q875">
        <v>0</v>
      </c>
      <c r="R875">
        <v>0</v>
      </c>
      <c r="S875">
        <v>0</v>
      </c>
      <c r="T875">
        <v>6</v>
      </c>
      <c r="U875">
        <v>6</v>
      </c>
      <c r="V875">
        <v>1</v>
      </c>
      <c r="W875">
        <v>1</v>
      </c>
      <c r="X875" t="s">
        <v>40</v>
      </c>
      <c r="Y875">
        <v>3</v>
      </c>
      <c r="Z875">
        <v>92</v>
      </c>
      <c r="AA875">
        <v>1</v>
      </c>
      <c r="AB875">
        <v>0</v>
      </c>
      <c r="AC875">
        <v>456.89400000000006</v>
      </c>
      <c r="AD875">
        <v>5059</v>
      </c>
      <c r="AH875">
        <v>0</v>
      </c>
      <c r="AI875">
        <v>0</v>
      </c>
      <c r="AL875" t="s">
        <v>40</v>
      </c>
      <c r="AM875" t="str">
        <f t="shared" si="69"/>
        <v>92 1</v>
      </c>
      <c r="AN875" s="6" t="s">
        <v>1463</v>
      </c>
      <c r="AO875" s="6" t="s">
        <v>1456</v>
      </c>
      <c r="AQ875" t="s">
        <v>2694</v>
      </c>
      <c r="AR875" t="s">
        <v>2691</v>
      </c>
    </row>
    <row r="876" spans="1:44" x14ac:dyDescent="0.3">
      <c r="A876">
        <v>3869</v>
      </c>
      <c r="B876">
        <v>4</v>
      </c>
      <c r="C876">
        <v>4023927</v>
      </c>
      <c r="D876">
        <v>103167</v>
      </c>
      <c r="E876">
        <v>2</v>
      </c>
      <c r="F876">
        <v>670050</v>
      </c>
      <c r="G876" t="s">
        <v>110</v>
      </c>
      <c r="H876" t="s">
        <v>43</v>
      </c>
      <c r="I876">
        <v>0</v>
      </c>
      <c r="J876" s="1">
        <v>405863.12199999997</v>
      </c>
      <c r="K876" s="1">
        <v>280784.87199999997</v>
      </c>
      <c r="L876" s="1">
        <v>405864.60399999999</v>
      </c>
      <c r="M876" s="1">
        <v>280785.05900000001</v>
      </c>
      <c r="N876" t="s">
        <v>40</v>
      </c>
      <c r="P876" t="s">
        <v>40</v>
      </c>
      <c r="Q876">
        <v>0</v>
      </c>
      <c r="R876">
        <v>0</v>
      </c>
      <c r="S876">
        <v>0</v>
      </c>
      <c r="T876">
        <v>6</v>
      </c>
      <c r="U876">
        <v>6</v>
      </c>
      <c r="V876">
        <v>1</v>
      </c>
      <c r="W876">
        <v>3</v>
      </c>
      <c r="X876" t="s">
        <v>40</v>
      </c>
      <c r="Y876">
        <v>3</v>
      </c>
      <c r="Z876">
        <v>36</v>
      </c>
      <c r="AA876">
        <v>5001</v>
      </c>
      <c r="AB876">
        <v>0</v>
      </c>
      <c r="AC876">
        <v>2.222</v>
      </c>
      <c r="AD876">
        <v>5059</v>
      </c>
      <c r="AH876">
        <v>0</v>
      </c>
      <c r="AI876">
        <v>0</v>
      </c>
      <c r="AL876" t="s">
        <v>40</v>
      </c>
      <c r="AM876" t="str">
        <f t="shared" si="69"/>
        <v>36 5001</v>
      </c>
      <c r="AN876" t="str">
        <f t="shared" si="70"/>
        <v>405863.122,280784.872</v>
      </c>
      <c r="AO876" t="str">
        <f t="shared" si="71"/>
        <v>405864.604,280785.059</v>
      </c>
      <c r="AQ876" t="s">
        <v>2695</v>
      </c>
      <c r="AR876" t="s">
        <v>806</v>
      </c>
    </row>
    <row r="877" spans="1:44" x14ac:dyDescent="0.3">
      <c r="A877">
        <v>3869</v>
      </c>
      <c r="B877">
        <v>4</v>
      </c>
      <c r="C877">
        <v>4023952</v>
      </c>
      <c r="D877">
        <v>21054</v>
      </c>
      <c r="E877">
        <v>2</v>
      </c>
      <c r="F877">
        <v>670050</v>
      </c>
      <c r="G877" t="s">
        <v>110</v>
      </c>
      <c r="H877" t="s">
        <v>43</v>
      </c>
      <c r="I877">
        <v>0</v>
      </c>
      <c r="J877" s="1">
        <v>406000</v>
      </c>
      <c r="K877" s="1">
        <v>280462.91200000001</v>
      </c>
      <c r="L877" s="1">
        <v>405859.152</v>
      </c>
      <c r="M877" s="1">
        <v>280595.08500000002</v>
      </c>
      <c r="N877" t="s">
        <v>40</v>
      </c>
      <c r="P877" t="s">
        <v>40</v>
      </c>
      <c r="Q877">
        <v>0</v>
      </c>
      <c r="R877">
        <v>0</v>
      </c>
      <c r="S877">
        <v>0</v>
      </c>
      <c r="T877">
        <v>6</v>
      </c>
      <c r="U877">
        <v>6</v>
      </c>
      <c r="V877">
        <v>1</v>
      </c>
      <c r="W877">
        <v>1</v>
      </c>
      <c r="X877" t="s">
        <v>40</v>
      </c>
      <c r="Y877">
        <v>3</v>
      </c>
      <c r="Z877">
        <v>89</v>
      </c>
      <c r="AA877">
        <v>1</v>
      </c>
      <c r="AB877">
        <v>0</v>
      </c>
      <c r="AC877">
        <v>276.60299999999995</v>
      </c>
      <c r="AD877">
        <v>5059</v>
      </c>
      <c r="AH877">
        <v>0</v>
      </c>
      <c r="AI877">
        <v>0</v>
      </c>
      <c r="AL877" t="s">
        <v>40</v>
      </c>
      <c r="AM877" t="str">
        <f t="shared" si="69"/>
        <v>89 1</v>
      </c>
      <c r="AN877" s="6" t="s">
        <v>1482</v>
      </c>
      <c r="AO877" s="6" t="s">
        <v>1775</v>
      </c>
      <c r="AQ877" t="s">
        <v>2696</v>
      </c>
      <c r="AR877" t="s">
        <v>2697</v>
      </c>
    </row>
    <row r="878" spans="1:44" x14ac:dyDescent="0.3">
      <c r="A878">
        <v>3869</v>
      </c>
      <c r="B878">
        <v>4</v>
      </c>
      <c r="C878">
        <v>4016397</v>
      </c>
      <c r="D878">
        <v>18300</v>
      </c>
      <c r="E878">
        <v>2</v>
      </c>
      <c r="F878">
        <v>670050</v>
      </c>
      <c r="G878" t="s">
        <v>110</v>
      </c>
      <c r="H878" t="s">
        <v>111</v>
      </c>
      <c r="I878">
        <v>0</v>
      </c>
      <c r="J878" s="1">
        <v>406358.37199999997</v>
      </c>
      <c r="K878" s="1">
        <v>279935.97399999999</v>
      </c>
      <c r="L878" s="1">
        <v>406358.07299999997</v>
      </c>
      <c r="M878" s="1">
        <v>279936.97200000001</v>
      </c>
      <c r="N878" t="s">
        <v>40</v>
      </c>
      <c r="P878" t="s">
        <v>40</v>
      </c>
      <c r="Q878">
        <v>0</v>
      </c>
      <c r="R878">
        <v>0</v>
      </c>
      <c r="S878">
        <v>0</v>
      </c>
      <c r="T878">
        <v>6</v>
      </c>
      <c r="U878">
        <v>6</v>
      </c>
      <c r="V878">
        <v>1</v>
      </c>
      <c r="W878">
        <v>1</v>
      </c>
      <c r="X878" t="s">
        <v>40</v>
      </c>
      <c r="Y878">
        <v>3</v>
      </c>
      <c r="Z878">
        <v>38</v>
      </c>
      <c r="AA878">
        <v>5001</v>
      </c>
      <c r="AB878">
        <v>0</v>
      </c>
      <c r="AC878">
        <v>1.284</v>
      </c>
      <c r="AD878">
        <v>5059</v>
      </c>
      <c r="AH878">
        <v>0</v>
      </c>
      <c r="AI878">
        <v>0</v>
      </c>
      <c r="AL878" t="s">
        <v>40</v>
      </c>
      <c r="AM878" t="str">
        <f t="shared" ref="AM878:AM916" si="72">_xlfn.CONCAT(Z878, " ",AA878)</f>
        <v>38 5001</v>
      </c>
      <c r="AN878" t="str">
        <f t="shared" si="70"/>
        <v>406358.372,279935.974</v>
      </c>
      <c r="AO878" t="str">
        <f t="shared" si="71"/>
        <v>406358.073,279936.972</v>
      </c>
      <c r="AQ878" t="s">
        <v>2698</v>
      </c>
      <c r="AR878" t="s">
        <v>2699</v>
      </c>
    </row>
    <row r="879" spans="1:44" x14ac:dyDescent="0.3">
      <c r="A879">
        <v>3869</v>
      </c>
      <c r="B879">
        <v>4</v>
      </c>
      <c r="C879">
        <v>4018914</v>
      </c>
      <c r="D879">
        <v>20769</v>
      </c>
      <c r="E879">
        <v>2</v>
      </c>
      <c r="F879">
        <v>670050</v>
      </c>
      <c r="G879" t="s">
        <v>110</v>
      </c>
      <c r="H879" t="s">
        <v>43</v>
      </c>
      <c r="I879">
        <v>0</v>
      </c>
      <c r="J879" s="1">
        <v>405669.37800000003</v>
      </c>
      <c r="K879" s="1">
        <v>280608.473</v>
      </c>
      <c r="L879" s="1">
        <v>405670.04100000003</v>
      </c>
      <c r="M879" s="1">
        <v>280610.16100000002</v>
      </c>
      <c r="N879" t="s">
        <v>40</v>
      </c>
      <c r="P879" t="s">
        <v>40</v>
      </c>
      <c r="Q879">
        <v>0</v>
      </c>
      <c r="R879">
        <v>0</v>
      </c>
      <c r="S879">
        <v>0</v>
      </c>
      <c r="T879">
        <v>6</v>
      </c>
      <c r="U879">
        <v>6</v>
      </c>
      <c r="V879">
        <v>1</v>
      </c>
      <c r="W879">
        <v>3</v>
      </c>
      <c r="X879" t="s">
        <v>40</v>
      </c>
      <c r="Y879">
        <v>3</v>
      </c>
      <c r="Z879">
        <v>90</v>
      </c>
      <c r="AA879">
        <v>99</v>
      </c>
      <c r="AB879">
        <v>0</v>
      </c>
      <c r="AC879">
        <v>2.3439999999999999</v>
      </c>
      <c r="AD879">
        <v>5059</v>
      </c>
      <c r="AH879">
        <v>0</v>
      </c>
      <c r="AI879">
        <v>0</v>
      </c>
      <c r="AL879" t="s">
        <v>40</v>
      </c>
      <c r="AM879" t="str">
        <f t="shared" si="72"/>
        <v>90 99</v>
      </c>
      <c r="AN879" t="str">
        <f t="shared" ref="AN879:AN918" si="73">ROUND(J879,3)&amp;","&amp;ROUND(K879,3)</f>
        <v>405669.378,280608.473</v>
      </c>
      <c r="AO879" t="str">
        <f t="shared" ref="AO879:AO918" si="74">ROUND(L879,3)&amp;","&amp;ROUND(M879,3)</f>
        <v>405670.041,280610.161</v>
      </c>
      <c r="AQ879" t="s">
        <v>1902</v>
      </c>
      <c r="AR879" t="s">
        <v>1982</v>
      </c>
    </row>
    <row r="880" spans="1:44" x14ac:dyDescent="0.3">
      <c r="A880">
        <v>3869</v>
      </c>
      <c r="B880">
        <v>4</v>
      </c>
      <c r="C880">
        <v>4023967</v>
      </c>
      <c r="D880">
        <v>20198</v>
      </c>
      <c r="E880">
        <v>2</v>
      </c>
      <c r="F880">
        <v>670050</v>
      </c>
      <c r="G880" t="s">
        <v>110</v>
      </c>
      <c r="H880" t="s">
        <v>43</v>
      </c>
      <c r="I880">
        <v>0</v>
      </c>
      <c r="J880" s="1">
        <v>405856.95</v>
      </c>
      <c r="K880" s="1">
        <v>280313.64399999997</v>
      </c>
      <c r="L880" s="1">
        <v>405855.41700000002</v>
      </c>
      <c r="M880" s="1">
        <v>280312.00300000003</v>
      </c>
      <c r="N880" t="s">
        <v>40</v>
      </c>
      <c r="P880" t="s">
        <v>40</v>
      </c>
      <c r="Q880">
        <v>0</v>
      </c>
      <c r="R880">
        <v>0</v>
      </c>
      <c r="S880">
        <v>0</v>
      </c>
      <c r="T880">
        <v>6</v>
      </c>
      <c r="U880">
        <v>6</v>
      </c>
      <c r="V880">
        <v>1</v>
      </c>
      <c r="W880">
        <v>1</v>
      </c>
      <c r="X880" t="s">
        <v>40</v>
      </c>
      <c r="Y880">
        <v>3</v>
      </c>
      <c r="Z880">
        <v>5024</v>
      </c>
      <c r="AA880">
        <v>1</v>
      </c>
      <c r="AB880">
        <v>0</v>
      </c>
      <c r="AC880">
        <v>23.939</v>
      </c>
      <c r="AD880">
        <v>5059</v>
      </c>
      <c r="AH880">
        <v>0</v>
      </c>
      <c r="AI880">
        <v>0</v>
      </c>
      <c r="AL880" t="s">
        <v>40</v>
      </c>
      <c r="AM880" t="str">
        <f t="shared" si="72"/>
        <v>5024 1</v>
      </c>
      <c r="AN880" s="6" t="s">
        <v>566</v>
      </c>
      <c r="AO880" s="6" t="s">
        <v>1774</v>
      </c>
      <c r="AQ880" t="s">
        <v>801</v>
      </c>
      <c r="AR880" t="s">
        <v>2700</v>
      </c>
    </row>
    <row r="881" spans="1:44" x14ac:dyDescent="0.3">
      <c r="A881">
        <v>3869</v>
      </c>
      <c r="B881">
        <v>4</v>
      </c>
      <c r="C881">
        <v>4023955</v>
      </c>
      <c r="D881">
        <v>21055</v>
      </c>
      <c r="E881">
        <v>2</v>
      </c>
      <c r="F881">
        <v>670050</v>
      </c>
      <c r="G881" t="s">
        <v>110</v>
      </c>
      <c r="H881" t="s">
        <v>43</v>
      </c>
      <c r="I881">
        <v>0</v>
      </c>
      <c r="J881" s="1">
        <v>406000</v>
      </c>
      <c r="K881" s="1">
        <v>280427.79800000001</v>
      </c>
      <c r="L881" s="1">
        <v>405873.299</v>
      </c>
      <c r="M881" s="1">
        <v>280301.821</v>
      </c>
      <c r="N881" t="s">
        <v>40</v>
      </c>
      <c r="P881" t="s">
        <v>40</v>
      </c>
      <c r="Q881">
        <v>0</v>
      </c>
      <c r="R881">
        <v>0</v>
      </c>
      <c r="S881">
        <v>0</v>
      </c>
      <c r="T881">
        <v>6</v>
      </c>
      <c r="U881">
        <v>6</v>
      </c>
      <c r="V881">
        <v>1</v>
      </c>
      <c r="W881">
        <v>1</v>
      </c>
      <c r="X881" t="s">
        <v>40</v>
      </c>
      <c r="Y881">
        <v>3</v>
      </c>
      <c r="Z881">
        <v>89</v>
      </c>
      <c r="AA881">
        <v>1</v>
      </c>
      <c r="AB881">
        <v>0</v>
      </c>
      <c r="AC881">
        <v>191.06800000000001</v>
      </c>
      <c r="AD881">
        <v>5059</v>
      </c>
      <c r="AH881">
        <v>0</v>
      </c>
      <c r="AI881">
        <v>0</v>
      </c>
      <c r="AL881" t="s">
        <v>40</v>
      </c>
      <c r="AM881" t="str">
        <f t="shared" si="72"/>
        <v>89 1</v>
      </c>
      <c r="AN881" s="6" t="s">
        <v>1774</v>
      </c>
      <c r="AO881" s="6" t="s">
        <v>1480</v>
      </c>
      <c r="AQ881" t="s">
        <v>2700</v>
      </c>
      <c r="AR881" t="s">
        <v>2701</v>
      </c>
    </row>
    <row r="882" spans="1:44" x14ac:dyDescent="0.3">
      <c r="A882">
        <v>3869</v>
      </c>
      <c r="B882">
        <v>4</v>
      </c>
      <c r="C882">
        <v>4023715</v>
      </c>
      <c r="D882">
        <v>21987</v>
      </c>
      <c r="E882">
        <v>2</v>
      </c>
      <c r="F882">
        <v>670050</v>
      </c>
      <c r="G882" t="s">
        <v>110</v>
      </c>
      <c r="H882" t="s">
        <v>43</v>
      </c>
      <c r="I882">
        <v>0</v>
      </c>
      <c r="J882" s="1">
        <v>405330.652</v>
      </c>
      <c r="K882" s="1">
        <v>280615.43800000002</v>
      </c>
      <c r="L882" s="1">
        <v>405341.98800000001</v>
      </c>
      <c r="M882" s="1">
        <v>280602.89399999997</v>
      </c>
      <c r="N882" t="s">
        <v>40</v>
      </c>
      <c r="P882" t="s">
        <v>40</v>
      </c>
      <c r="Q882">
        <v>0</v>
      </c>
      <c r="R882">
        <v>0</v>
      </c>
      <c r="S882">
        <v>0</v>
      </c>
      <c r="T882">
        <v>6</v>
      </c>
      <c r="U882">
        <v>6</v>
      </c>
      <c r="V882">
        <v>1</v>
      </c>
      <c r="W882">
        <v>1</v>
      </c>
      <c r="X882" t="s">
        <v>40</v>
      </c>
      <c r="Y882">
        <v>3</v>
      </c>
      <c r="Z882">
        <v>40</v>
      </c>
      <c r="AA882">
        <v>1</v>
      </c>
      <c r="AB882">
        <v>0</v>
      </c>
      <c r="AC882">
        <v>22.097000000000001</v>
      </c>
      <c r="AD882">
        <v>5059</v>
      </c>
      <c r="AH882">
        <v>0</v>
      </c>
      <c r="AI882">
        <v>0</v>
      </c>
      <c r="AL882" t="s">
        <v>40</v>
      </c>
      <c r="AM882" t="str">
        <f t="shared" si="72"/>
        <v>40 1</v>
      </c>
      <c r="AN882" t="str">
        <f t="shared" si="73"/>
        <v>405330.652,280615.438</v>
      </c>
      <c r="AO882" t="str">
        <f t="shared" si="74"/>
        <v>405341.988,280602.894</v>
      </c>
      <c r="AQ882" t="s">
        <v>2694</v>
      </c>
      <c r="AR882" t="s">
        <v>2702</v>
      </c>
    </row>
    <row r="883" spans="1:44" x14ac:dyDescent="0.3">
      <c r="A883">
        <v>3869</v>
      </c>
      <c r="B883">
        <v>4</v>
      </c>
      <c r="C883">
        <v>4023937</v>
      </c>
      <c r="D883">
        <v>21014</v>
      </c>
      <c r="E883">
        <v>2</v>
      </c>
      <c r="F883">
        <v>670050</v>
      </c>
      <c r="G883" t="s">
        <v>110</v>
      </c>
      <c r="H883" t="s">
        <v>43</v>
      </c>
      <c r="I883">
        <v>0</v>
      </c>
      <c r="J883" s="1">
        <v>405754.685</v>
      </c>
      <c r="K883" s="1">
        <v>280649.32699999999</v>
      </c>
      <c r="L883" s="1">
        <v>405825.52500000002</v>
      </c>
      <c r="M883" s="1">
        <v>280666.761</v>
      </c>
      <c r="N883" t="s">
        <v>40</v>
      </c>
      <c r="P883" t="s">
        <v>40</v>
      </c>
      <c r="Q883">
        <v>0</v>
      </c>
      <c r="R883">
        <v>0</v>
      </c>
      <c r="S883">
        <v>0</v>
      </c>
      <c r="T883">
        <v>6</v>
      </c>
      <c r="U883">
        <v>6</v>
      </c>
      <c r="V883">
        <v>1</v>
      </c>
      <c r="W883">
        <v>1</v>
      </c>
      <c r="X883" t="s">
        <v>40</v>
      </c>
      <c r="Y883">
        <v>3</v>
      </c>
      <c r="Z883">
        <v>90</v>
      </c>
      <c r="AA883">
        <v>1</v>
      </c>
      <c r="AB883">
        <v>0</v>
      </c>
      <c r="AC883">
        <v>76.394000000000005</v>
      </c>
      <c r="AD883">
        <v>5059</v>
      </c>
      <c r="AH883">
        <v>0</v>
      </c>
      <c r="AI883">
        <v>0</v>
      </c>
      <c r="AL883" t="s">
        <v>40</v>
      </c>
      <c r="AM883" t="str">
        <f t="shared" si="72"/>
        <v>90 1</v>
      </c>
      <c r="AN883" t="str">
        <f t="shared" si="73"/>
        <v>405754.685,280649.327</v>
      </c>
      <c r="AO883" t="str">
        <f t="shared" si="74"/>
        <v>405825.525,280666.761</v>
      </c>
      <c r="AQ883" t="s">
        <v>2703</v>
      </c>
      <c r="AR883" t="s">
        <v>2697</v>
      </c>
    </row>
    <row r="884" spans="1:44" x14ac:dyDescent="0.3">
      <c r="A884">
        <v>3869</v>
      </c>
      <c r="B884">
        <v>4</v>
      </c>
      <c r="C884">
        <v>4023936</v>
      </c>
      <c r="D884">
        <v>20829</v>
      </c>
      <c r="E884">
        <v>2</v>
      </c>
      <c r="F884">
        <v>670050</v>
      </c>
      <c r="G884" t="s">
        <v>110</v>
      </c>
      <c r="H884" t="s">
        <v>43</v>
      </c>
      <c r="I884">
        <v>0</v>
      </c>
      <c r="J884" s="1">
        <v>405738.57699999999</v>
      </c>
      <c r="K884" s="1">
        <v>280709.99599999998</v>
      </c>
      <c r="L884" s="1">
        <v>405754.685</v>
      </c>
      <c r="M884" s="1">
        <v>280649.32699999999</v>
      </c>
      <c r="N884" t="s">
        <v>40</v>
      </c>
      <c r="P884" t="s">
        <v>40</v>
      </c>
      <c r="Q884">
        <v>0</v>
      </c>
      <c r="R884">
        <v>0</v>
      </c>
      <c r="S884">
        <v>0</v>
      </c>
      <c r="T884">
        <v>6</v>
      </c>
      <c r="U884">
        <v>6</v>
      </c>
      <c r="V884">
        <v>1</v>
      </c>
      <c r="W884">
        <v>3</v>
      </c>
      <c r="X884" t="s">
        <v>40</v>
      </c>
      <c r="Y884">
        <v>3</v>
      </c>
      <c r="Z884">
        <v>52</v>
      </c>
      <c r="AA884">
        <v>1</v>
      </c>
      <c r="AB884">
        <v>0</v>
      </c>
      <c r="AC884">
        <v>64.507999999999996</v>
      </c>
      <c r="AD884">
        <v>5059</v>
      </c>
      <c r="AH884">
        <v>0</v>
      </c>
      <c r="AI884">
        <v>0</v>
      </c>
      <c r="AL884" t="s">
        <v>40</v>
      </c>
      <c r="AM884" t="str">
        <f t="shared" si="72"/>
        <v>52 1</v>
      </c>
      <c r="AN884" t="str">
        <f t="shared" si="73"/>
        <v>405738.577,280709.996</v>
      </c>
      <c r="AO884" t="str">
        <f t="shared" si="74"/>
        <v>405754.685,280649.327</v>
      </c>
      <c r="AQ884" t="s">
        <v>2704</v>
      </c>
      <c r="AR884" t="s">
        <v>2703</v>
      </c>
    </row>
    <row r="885" spans="1:44" x14ac:dyDescent="0.3">
      <c r="A885">
        <v>3869</v>
      </c>
      <c r="B885">
        <v>4</v>
      </c>
      <c r="C885">
        <v>4023935</v>
      </c>
      <c r="D885">
        <v>20821</v>
      </c>
      <c r="E885">
        <v>2</v>
      </c>
      <c r="F885">
        <v>670050</v>
      </c>
      <c r="G885" t="s">
        <v>110</v>
      </c>
      <c r="H885" t="s">
        <v>43</v>
      </c>
      <c r="I885">
        <v>0</v>
      </c>
      <c r="J885" s="1">
        <v>405738.44099999999</v>
      </c>
      <c r="K885" s="1">
        <v>280712.01699999999</v>
      </c>
      <c r="L885" s="1">
        <v>405738.57699999999</v>
      </c>
      <c r="M885" s="1">
        <v>280709.99599999998</v>
      </c>
      <c r="N885" t="s">
        <v>40</v>
      </c>
      <c r="P885" t="s">
        <v>40</v>
      </c>
      <c r="Q885">
        <v>0</v>
      </c>
      <c r="R885">
        <v>0</v>
      </c>
      <c r="S885">
        <v>0</v>
      </c>
      <c r="T885">
        <v>6</v>
      </c>
      <c r="U885">
        <v>6</v>
      </c>
      <c r="V885">
        <v>1</v>
      </c>
      <c r="W885">
        <v>3</v>
      </c>
      <c r="X885" t="s">
        <v>40</v>
      </c>
      <c r="Y885">
        <v>3</v>
      </c>
      <c r="Z885">
        <v>38</v>
      </c>
      <c r="AA885">
        <v>5001</v>
      </c>
      <c r="AB885">
        <v>0</v>
      </c>
      <c r="AC885">
        <v>2.0259999999999998</v>
      </c>
      <c r="AD885">
        <v>5059</v>
      </c>
      <c r="AH885">
        <v>0</v>
      </c>
      <c r="AI885">
        <v>0</v>
      </c>
      <c r="AL885" t="s">
        <v>40</v>
      </c>
      <c r="AM885" t="str">
        <f t="shared" si="72"/>
        <v>38 5001</v>
      </c>
      <c r="AN885" t="str">
        <f t="shared" si="73"/>
        <v>405738.441,280712.017</v>
      </c>
      <c r="AO885" t="str">
        <f t="shared" si="74"/>
        <v>405738.577,280709.996</v>
      </c>
      <c r="AQ885" t="s">
        <v>2705</v>
      </c>
      <c r="AR885" t="s">
        <v>2704</v>
      </c>
    </row>
    <row r="886" spans="1:44" x14ac:dyDescent="0.3">
      <c r="A886">
        <v>3869</v>
      </c>
      <c r="B886">
        <v>4</v>
      </c>
      <c r="C886">
        <v>4023934</v>
      </c>
      <c r="D886">
        <v>20824</v>
      </c>
      <c r="E886">
        <v>2</v>
      </c>
      <c r="F886">
        <v>670050</v>
      </c>
      <c r="G886" t="s">
        <v>110</v>
      </c>
      <c r="H886" t="s">
        <v>43</v>
      </c>
      <c r="I886">
        <v>0</v>
      </c>
      <c r="J886" s="1">
        <v>405738.24099999998</v>
      </c>
      <c r="K886" s="1">
        <v>280716.65000000002</v>
      </c>
      <c r="L886" s="1">
        <v>405738.44099999999</v>
      </c>
      <c r="M886" s="1">
        <v>280712.01699999999</v>
      </c>
      <c r="N886" t="s">
        <v>40</v>
      </c>
      <c r="P886" t="s">
        <v>40</v>
      </c>
      <c r="Q886">
        <v>0</v>
      </c>
      <c r="R886">
        <v>0</v>
      </c>
      <c r="S886">
        <v>0</v>
      </c>
      <c r="T886">
        <v>6</v>
      </c>
      <c r="U886">
        <v>6</v>
      </c>
      <c r="V886">
        <v>1</v>
      </c>
      <c r="W886">
        <v>3</v>
      </c>
      <c r="X886" t="s">
        <v>40</v>
      </c>
      <c r="Y886">
        <v>3</v>
      </c>
      <c r="Z886">
        <v>52</v>
      </c>
      <c r="AA886">
        <v>1</v>
      </c>
      <c r="AB886">
        <v>0</v>
      </c>
      <c r="AC886">
        <v>157.18</v>
      </c>
      <c r="AD886">
        <v>5059</v>
      </c>
      <c r="AH886">
        <v>0</v>
      </c>
      <c r="AI886">
        <v>0</v>
      </c>
      <c r="AL886" t="s">
        <v>40</v>
      </c>
      <c r="AM886" t="str">
        <f t="shared" si="72"/>
        <v>52 1</v>
      </c>
      <c r="AN886" s="6" t="s">
        <v>1466</v>
      </c>
      <c r="AO886" s="6" t="s">
        <v>1458</v>
      </c>
      <c r="AQ886" t="s">
        <v>2705</v>
      </c>
      <c r="AR886" t="s">
        <v>2706</v>
      </c>
    </row>
    <row r="887" spans="1:44" x14ac:dyDescent="0.3">
      <c r="A887">
        <v>3869</v>
      </c>
      <c r="B887">
        <v>4</v>
      </c>
      <c r="C887">
        <v>4023782</v>
      </c>
      <c r="D887">
        <v>22360</v>
      </c>
      <c r="E887">
        <v>2</v>
      </c>
      <c r="F887">
        <v>670050</v>
      </c>
      <c r="G887" t="s">
        <v>110</v>
      </c>
      <c r="H887" t="s">
        <v>43</v>
      </c>
      <c r="I887">
        <v>0</v>
      </c>
      <c r="J887" s="1">
        <v>405603.38099999999</v>
      </c>
      <c r="K887" s="1">
        <v>280601.478</v>
      </c>
      <c r="L887" s="1">
        <v>405583.103</v>
      </c>
      <c r="M887" s="1">
        <v>280690.34499999997</v>
      </c>
      <c r="N887" t="s">
        <v>40</v>
      </c>
      <c r="P887" t="s">
        <v>40</v>
      </c>
      <c r="Q887">
        <v>0</v>
      </c>
      <c r="R887">
        <v>0</v>
      </c>
      <c r="S887">
        <v>0</v>
      </c>
      <c r="T887">
        <v>6</v>
      </c>
      <c r="U887">
        <v>6</v>
      </c>
      <c r="V887">
        <v>1</v>
      </c>
      <c r="W887">
        <v>1</v>
      </c>
      <c r="X887" t="s">
        <v>40</v>
      </c>
      <c r="Y887">
        <v>3</v>
      </c>
      <c r="Z887">
        <v>90</v>
      </c>
      <c r="AA887">
        <v>1</v>
      </c>
      <c r="AB887">
        <v>0</v>
      </c>
      <c r="AC887">
        <v>98.438999999999993</v>
      </c>
      <c r="AD887">
        <v>5059</v>
      </c>
      <c r="AH887">
        <v>0</v>
      </c>
      <c r="AI887">
        <v>0</v>
      </c>
      <c r="AL887" t="s">
        <v>40</v>
      </c>
      <c r="AM887" t="str">
        <f t="shared" si="72"/>
        <v>90 1</v>
      </c>
      <c r="AN887" t="str">
        <f t="shared" si="73"/>
        <v>405603.381,280601.478</v>
      </c>
      <c r="AO887" t="str">
        <f t="shared" si="74"/>
        <v>405583.103,280690.345</v>
      </c>
      <c r="AQ887" t="s">
        <v>2707</v>
      </c>
      <c r="AR887" t="s">
        <v>802</v>
      </c>
    </row>
    <row r="888" spans="1:44" x14ac:dyDescent="0.3">
      <c r="A888">
        <v>3869</v>
      </c>
      <c r="B888">
        <v>4</v>
      </c>
      <c r="C888">
        <v>4023822</v>
      </c>
      <c r="D888">
        <v>20782</v>
      </c>
      <c r="E888">
        <v>2</v>
      </c>
      <c r="F888">
        <v>670050</v>
      </c>
      <c r="G888" t="s">
        <v>110</v>
      </c>
      <c r="H888" t="s">
        <v>43</v>
      </c>
      <c r="I888">
        <v>0</v>
      </c>
      <c r="J888" s="1">
        <v>405668.88199999998</v>
      </c>
      <c r="K888" s="1">
        <v>280609.83500000002</v>
      </c>
      <c r="L888" s="1">
        <v>405647.12300000002</v>
      </c>
      <c r="M888" s="1">
        <v>280618.29800000001</v>
      </c>
      <c r="N888" t="s">
        <v>40</v>
      </c>
      <c r="P888" t="s">
        <v>40</v>
      </c>
      <c r="Q888">
        <v>0</v>
      </c>
      <c r="R888">
        <v>0</v>
      </c>
      <c r="S888">
        <v>0</v>
      </c>
      <c r="T888">
        <v>6</v>
      </c>
      <c r="U888">
        <v>6</v>
      </c>
      <c r="V888">
        <v>1</v>
      </c>
      <c r="W888">
        <v>1</v>
      </c>
      <c r="X888" t="s">
        <v>40</v>
      </c>
      <c r="Y888">
        <v>3</v>
      </c>
      <c r="Z888">
        <v>90</v>
      </c>
      <c r="AA888">
        <v>1</v>
      </c>
      <c r="AB888">
        <v>0</v>
      </c>
      <c r="AC888">
        <v>57.510999999999996</v>
      </c>
      <c r="AD888">
        <v>5059</v>
      </c>
      <c r="AH888">
        <v>0</v>
      </c>
      <c r="AI888">
        <v>0</v>
      </c>
      <c r="AL888" t="s">
        <v>40</v>
      </c>
      <c r="AM888" t="str">
        <f t="shared" si="72"/>
        <v>90 1</v>
      </c>
      <c r="AN888" s="6" t="s">
        <v>1462</v>
      </c>
      <c r="AO888" s="6" t="s">
        <v>1473</v>
      </c>
      <c r="AQ888" t="s">
        <v>1902</v>
      </c>
      <c r="AR888" t="s">
        <v>2708</v>
      </c>
    </row>
    <row r="889" spans="1:44" x14ac:dyDescent="0.3">
      <c r="A889">
        <v>3869</v>
      </c>
      <c r="B889">
        <v>4</v>
      </c>
      <c r="C889">
        <v>4024809</v>
      </c>
      <c r="D889">
        <v>68603</v>
      </c>
      <c r="E889">
        <v>2</v>
      </c>
      <c r="F889">
        <v>670050</v>
      </c>
      <c r="G889" t="s">
        <v>110</v>
      </c>
      <c r="H889" t="s">
        <v>61</v>
      </c>
      <c r="I889">
        <v>0</v>
      </c>
      <c r="J889" s="1">
        <v>406441.47700000001</v>
      </c>
      <c r="K889" s="1">
        <v>280590.67</v>
      </c>
      <c r="L889" s="1">
        <v>406445.91100000002</v>
      </c>
      <c r="M889" s="1">
        <v>280589.47499999998</v>
      </c>
      <c r="N889" t="s">
        <v>40</v>
      </c>
      <c r="P889" t="s">
        <v>40</v>
      </c>
      <c r="Q889">
        <v>0</v>
      </c>
      <c r="R889">
        <v>0</v>
      </c>
      <c r="S889">
        <v>0</v>
      </c>
      <c r="T889">
        <v>6</v>
      </c>
      <c r="U889">
        <v>6</v>
      </c>
      <c r="V889">
        <v>1</v>
      </c>
      <c r="W889">
        <v>1</v>
      </c>
      <c r="X889" t="s">
        <v>40</v>
      </c>
      <c r="Y889">
        <v>3</v>
      </c>
      <c r="Z889">
        <v>38</v>
      </c>
      <c r="AA889">
        <v>5001</v>
      </c>
      <c r="AB889">
        <v>0</v>
      </c>
      <c r="AC889">
        <v>6.3010000000000002</v>
      </c>
      <c r="AD889">
        <v>5059</v>
      </c>
      <c r="AH889">
        <v>0</v>
      </c>
      <c r="AI889">
        <v>0</v>
      </c>
      <c r="AL889" t="s">
        <v>40</v>
      </c>
      <c r="AM889" t="str">
        <f t="shared" si="72"/>
        <v>38 5001</v>
      </c>
      <c r="AN889" t="str">
        <f t="shared" si="73"/>
        <v>406441.477,280590.67</v>
      </c>
      <c r="AO889" t="str">
        <f t="shared" si="74"/>
        <v>406445.911,280589.475</v>
      </c>
      <c r="AQ889" t="s">
        <v>2709</v>
      </c>
      <c r="AR889" t="s">
        <v>768</v>
      </c>
    </row>
    <row r="890" spans="1:44" x14ac:dyDescent="0.3">
      <c r="A890">
        <v>3869</v>
      </c>
      <c r="B890">
        <v>4</v>
      </c>
      <c r="C890">
        <v>4024808</v>
      </c>
      <c r="D890">
        <v>21712</v>
      </c>
      <c r="E890">
        <v>2</v>
      </c>
      <c r="F890">
        <v>670050</v>
      </c>
      <c r="G890" t="s">
        <v>110</v>
      </c>
      <c r="H890" t="s">
        <v>61</v>
      </c>
      <c r="I890">
        <v>0</v>
      </c>
      <c r="J890" s="1">
        <v>406441.47700000001</v>
      </c>
      <c r="K890" s="1">
        <v>280590.67</v>
      </c>
      <c r="L890" s="1">
        <v>406357.01299999998</v>
      </c>
      <c r="M890" s="1">
        <v>280550.53899999999</v>
      </c>
      <c r="N890" t="s">
        <v>40</v>
      </c>
      <c r="P890" t="s">
        <v>40</v>
      </c>
      <c r="Q890">
        <v>0</v>
      </c>
      <c r="R890">
        <v>0</v>
      </c>
      <c r="S890">
        <v>0</v>
      </c>
      <c r="T890">
        <v>6</v>
      </c>
      <c r="U890">
        <v>6</v>
      </c>
      <c r="V890">
        <v>1</v>
      </c>
      <c r="W890">
        <v>1</v>
      </c>
      <c r="X890" t="s">
        <v>40</v>
      </c>
      <c r="Y890">
        <v>3</v>
      </c>
      <c r="Z890">
        <v>89</v>
      </c>
      <c r="AA890">
        <v>1</v>
      </c>
      <c r="AB890">
        <v>0</v>
      </c>
      <c r="AC890">
        <v>318.916</v>
      </c>
      <c r="AD890">
        <v>5059</v>
      </c>
      <c r="AH890">
        <v>0</v>
      </c>
      <c r="AI890">
        <v>0</v>
      </c>
      <c r="AL890" t="s">
        <v>40</v>
      </c>
      <c r="AM890" t="str">
        <f t="shared" si="72"/>
        <v>89 1</v>
      </c>
      <c r="AN890" s="6" t="s">
        <v>562</v>
      </c>
      <c r="AO890" s="6" t="s">
        <v>1468</v>
      </c>
      <c r="AQ890" t="s">
        <v>800</v>
      </c>
      <c r="AR890" t="s">
        <v>2709</v>
      </c>
    </row>
    <row r="891" spans="1:44" x14ac:dyDescent="0.3">
      <c r="A891">
        <v>3869</v>
      </c>
      <c r="B891">
        <v>4</v>
      </c>
      <c r="C891">
        <v>4024778</v>
      </c>
      <c r="D891">
        <v>81563</v>
      </c>
      <c r="E891">
        <v>2</v>
      </c>
      <c r="F891">
        <v>670050</v>
      </c>
      <c r="G891" t="s">
        <v>110</v>
      </c>
      <c r="H891" t="s">
        <v>61</v>
      </c>
      <c r="I891">
        <v>0</v>
      </c>
      <c r="J891" s="1">
        <v>406419.83500000002</v>
      </c>
      <c r="K891" s="1">
        <v>280365.18300000002</v>
      </c>
      <c r="L891" s="1">
        <v>406420.00599999999</v>
      </c>
      <c r="M891" s="1">
        <v>280366.91200000001</v>
      </c>
      <c r="N891" t="s">
        <v>40</v>
      </c>
      <c r="P891" t="s">
        <v>40</v>
      </c>
      <c r="Q891">
        <v>0</v>
      </c>
      <c r="R891">
        <v>0</v>
      </c>
      <c r="S891">
        <v>200012</v>
      </c>
      <c r="T891">
        <v>6</v>
      </c>
      <c r="U891">
        <v>6</v>
      </c>
      <c r="V891">
        <v>1</v>
      </c>
      <c r="W891">
        <v>1</v>
      </c>
      <c r="X891" t="s">
        <v>40</v>
      </c>
      <c r="Y891">
        <v>3</v>
      </c>
      <c r="Z891">
        <v>71</v>
      </c>
      <c r="AA891">
        <v>1</v>
      </c>
      <c r="AB891">
        <v>0</v>
      </c>
      <c r="AC891">
        <v>1.762</v>
      </c>
      <c r="AD891">
        <v>5059</v>
      </c>
      <c r="AH891">
        <v>0</v>
      </c>
      <c r="AI891">
        <v>0</v>
      </c>
      <c r="AL891" t="s">
        <v>40</v>
      </c>
      <c r="AM891" t="str">
        <f t="shared" si="72"/>
        <v>71 1</v>
      </c>
      <c r="AN891" t="str">
        <f t="shared" si="73"/>
        <v>406419.835,280365.183</v>
      </c>
      <c r="AO891" t="str">
        <f t="shared" si="74"/>
        <v>406420.006,280366.912</v>
      </c>
      <c r="AQ891" t="s">
        <v>2710</v>
      </c>
      <c r="AR891" t="s">
        <v>801</v>
      </c>
    </row>
    <row r="892" spans="1:44" x14ac:dyDescent="0.3">
      <c r="A892">
        <v>3869</v>
      </c>
      <c r="B892">
        <v>4</v>
      </c>
      <c r="C892">
        <v>4024768</v>
      </c>
      <c r="D892">
        <v>21542</v>
      </c>
      <c r="E892">
        <v>2</v>
      </c>
      <c r="F892">
        <v>670050</v>
      </c>
      <c r="G892" t="s">
        <v>110</v>
      </c>
      <c r="H892" t="s">
        <v>61</v>
      </c>
      <c r="I892">
        <v>0</v>
      </c>
      <c r="J892" s="1">
        <v>406469.26</v>
      </c>
      <c r="K892" s="1">
        <v>280185.06800000003</v>
      </c>
      <c r="L892" s="1">
        <v>406419.83500000002</v>
      </c>
      <c r="M892" s="1">
        <v>280365.18300000002</v>
      </c>
      <c r="N892" t="s">
        <v>40</v>
      </c>
      <c r="P892" t="s">
        <v>40</v>
      </c>
      <c r="Q892">
        <v>0</v>
      </c>
      <c r="R892">
        <v>0</v>
      </c>
      <c r="S892">
        <v>0</v>
      </c>
      <c r="T892">
        <v>6</v>
      </c>
      <c r="U892">
        <v>6</v>
      </c>
      <c r="V892">
        <v>1</v>
      </c>
      <c r="W892">
        <v>1</v>
      </c>
      <c r="X892" t="s">
        <v>40</v>
      </c>
      <c r="Y892">
        <v>3</v>
      </c>
      <c r="Z892">
        <v>89</v>
      </c>
      <c r="AA892">
        <v>1</v>
      </c>
      <c r="AB892">
        <v>0</v>
      </c>
      <c r="AC892">
        <v>567.553</v>
      </c>
      <c r="AD892">
        <v>5059</v>
      </c>
      <c r="AH892">
        <v>0</v>
      </c>
      <c r="AI892">
        <v>0</v>
      </c>
      <c r="AL892" t="s">
        <v>40</v>
      </c>
      <c r="AM892" t="str">
        <f t="shared" si="72"/>
        <v>89 1</v>
      </c>
      <c r="AN892" s="6" t="s">
        <v>1460</v>
      </c>
      <c r="AO892" s="6" t="s">
        <v>1469</v>
      </c>
      <c r="AQ892" t="s">
        <v>2698</v>
      </c>
      <c r="AR892" t="s">
        <v>2710</v>
      </c>
    </row>
    <row r="893" spans="1:44" x14ac:dyDescent="0.3">
      <c r="A893">
        <v>3869</v>
      </c>
      <c r="B893">
        <v>4</v>
      </c>
      <c r="C893">
        <v>4016383</v>
      </c>
      <c r="D893">
        <v>18297</v>
      </c>
      <c r="E893">
        <v>2</v>
      </c>
      <c r="F893">
        <v>670050</v>
      </c>
      <c r="G893" t="s">
        <v>110</v>
      </c>
      <c r="H893" t="s">
        <v>111</v>
      </c>
      <c r="I893">
        <v>0</v>
      </c>
      <c r="J893" s="1">
        <v>406356.652</v>
      </c>
      <c r="K893" s="1">
        <v>279935.679</v>
      </c>
      <c r="L893" s="1">
        <v>406358.07299999997</v>
      </c>
      <c r="M893" s="1">
        <v>279936.97200000001</v>
      </c>
      <c r="N893" t="s">
        <v>40</v>
      </c>
      <c r="P893" t="s">
        <v>40</v>
      </c>
      <c r="Q893">
        <v>0</v>
      </c>
      <c r="R893">
        <v>0</v>
      </c>
      <c r="S893">
        <v>0</v>
      </c>
      <c r="T893">
        <v>6</v>
      </c>
      <c r="U893">
        <v>6</v>
      </c>
      <c r="V893">
        <v>1</v>
      </c>
      <c r="W893">
        <v>1</v>
      </c>
      <c r="X893" t="s">
        <v>40</v>
      </c>
      <c r="Y893">
        <v>3</v>
      </c>
      <c r="Z893">
        <v>38</v>
      </c>
      <c r="AA893">
        <v>5001</v>
      </c>
      <c r="AB893">
        <v>0</v>
      </c>
      <c r="AC893">
        <v>1.9219999999999999</v>
      </c>
      <c r="AD893">
        <v>5059</v>
      </c>
      <c r="AH893">
        <v>0</v>
      </c>
      <c r="AI893">
        <v>0</v>
      </c>
      <c r="AL893" t="s">
        <v>40</v>
      </c>
      <c r="AM893" t="str">
        <f t="shared" si="72"/>
        <v>38 5001</v>
      </c>
      <c r="AN893" t="str">
        <f t="shared" si="73"/>
        <v>406356.652,279935.679</v>
      </c>
      <c r="AO893" t="str">
        <f t="shared" si="74"/>
        <v>406358.073,279936.972</v>
      </c>
      <c r="AQ893" t="s">
        <v>2711</v>
      </c>
      <c r="AR893" t="s">
        <v>2699</v>
      </c>
    </row>
    <row r="894" spans="1:44" x14ac:dyDescent="0.3">
      <c r="A894">
        <v>3869</v>
      </c>
      <c r="B894">
        <v>4</v>
      </c>
      <c r="C894">
        <v>4023839</v>
      </c>
      <c r="D894">
        <v>20415</v>
      </c>
      <c r="E894">
        <v>2</v>
      </c>
      <c r="F894">
        <v>670050</v>
      </c>
      <c r="G894" t="s">
        <v>110</v>
      </c>
      <c r="H894" t="s">
        <v>43</v>
      </c>
      <c r="I894">
        <v>0</v>
      </c>
      <c r="J894" s="1">
        <v>405669.37800000003</v>
      </c>
      <c r="K894" s="1">
        <v>280608.473</v>
      </c>
      <c r="L894" s="1">
        <v>405674.08299999998</v>
      </c>
      <c r="M894" s="1">
        <v>280595.55</v>
      </c>
      <c r="N894" t="s">
        <v>40</v>
      </c>
      <c r="P894" t="s">
        <v>40</v>
      </c>
      <c r="Q894">
        <v>0</v>
      </c>
      <c r="R894">
        <v>0</v>
      </c>
      <c r="S894">
        <v>0</v>
      </c>
      <c r="T894">
        <v>6</v>
      </c>
      <c r="U894">
        <v>6</v>
      </c>
      <c r="V894">
        <v>1</v>
      </c>
      <c r="W894">
        <v>1</v>
      </c>
      <c r="X894" t="s">
        <v>40</v>
      </c>
      <c r="Y894">
        <v>3</v>
      </c>
      <c r="Z894">
        <v>90</v>
      </c>
      <c r="AA894">
        <v>1</v>
      </c>
      <c r="AB894">
        <v>0</v>
      </c>
      <c r="AC894">
        <v>13.753</v>
      </c>
      <c r="AD894">
        <v>5059</v>
      </c>
      <c r="AH894">
        <v>0</v>
      </c>
      <c r="AI894">
        <v>0</v>
      </c>
      <c r="AL894" t="s">
        <v>40</v>
      </c>
      <c r="AM894" t="str">
        <f t="shared" si="72"/>
        <v>90 1</v>
      </c>
      <c r="AN894" t="str">
        <f t="shared" si="73"/>
        <v>405669.378,280608.473</v>
      </c>
      <c r="AO894" t="str">
        <f t="shared" si="74"/>
        <v>405674.083,280595.55</v>
      </c>
      <c r="AQ894" t="s">
        <v>1902</v>
      </c>
      <c r="AR894" t="s">
        <v>2712</v>
      </c>
    </row>
    <row r="895" spans="1:44" x14ac:dyDescent="0.3">
      <c r="A895">
        <v>3869</v>
      </c>
      <c r="B895">
        <v>4</v>
      </c>
      <c r="C895">
        <v>4023854</v>
      </c>
      <c r="D895">
        <v>103142</v>
      </c>
      <c r="E895">
        <v>2</v>
      </c>
      <c r="F895">
        <v>670050</v>
      </c>
      <c r="G895" t="s">
        <v>110</v>
      </c>
      <c r="H895" t="s">
        <v>43</v>
      </c>
      <c r="I895">
        <v>0</v>
      </c>
      <c r="J895" s="1">
        <v>405674.08299999998</v>
      </c>
      <c r="K895" s="1">
        <v>280595.55</v>
      </c>
      <c r="L895" s="1">
        <v>405674.136</v>
      </c>
      <c r="M895" s="1">
        <v>280592.59700000001</v>
      </c>
      <c r="N895" t="s">
        <v>40</v>
      </c>
      <c r="P895" t="s">
        <v>40</v>
      </c>
      <c r="Q895">
        <v>0</v>
      </c>
      <c r="R895">
        <v>0</v>
      </c>
      <c r="S895">
        <v>0</v>
      </c>
      <c r="T895">
        <v>6</v>
      </c>
      <c r="U895">
        <v>6</v>
      </c>
      <c r="V895">
        <v>1</v>
      </c>
      <c r="W895">
        <v>1</v>
      </c>
      <c r="X895" t="s">
        <v>40</v>
      </c>
      <c r="Y895">
        <v>3</v>
      </c>
      <c r="Z895">
        <v>38</v>
      </c>
      <c r="AA895">
        <v>5001</v>
      </c>
      <c r="AB895">
        <v>0</v>
      </c>
      <c r="AC895">
        <v>4.8899999999999997</v>
      </c>
      <c r="AD895">
        <v>5059</v>
      </c>
      <c r="AH895">
        <v>0</v>
      </c>
      <c r="AI895">
        <v>0</v>
      </c>
      <c r="AL895" t="s">
        <v>40</v>
      </c>
      <c r="AM895" t="str">
        <f t="shared" si="72"/>
        <v>38 5001</v>
      </c>
      <c r="AN895" t="str">
        <f t="shared" si="73"/>
        <v>405674.083,280595.55</v>
      </c>
      <c r="AO895" t="str">
        <f t="shared" si="74"/>
        <v>405674.136,280592.597</v>
      </c>
      <c r="AQ895" t="s">
        <v>2712</v>
      </c>
      <c r="AR895" t="s">
        <v>805</v>
      </c>
    </row>
    <row r="896" spans="1:44" x14ac:dyDescent="0.3">
      <c r="A896">
        <v>3869</v>
      </c>
      <c r="B896">
        <v>4</v>
      </c>
      <c r="C896">
        <v>4023754</v>
      </c>
      <c r="D896">
        <v>103084</v>
      </c>
      <c r="E896">
        <v>2</v>
      </c>
      <c r="F896">
        <v>670050</v>
      </c>
      <c r="G896" t="s">
        <v>110</v>
      </c>
      <c r="H896" t="s">
        <v>43</v>
      </c>
      <c r="I896">
        <v>0</v>
      </c>
      <c r="J896" s="1">
        <v>405402.44</v>
      </c>
      <c r="K896" s="1">
        <v>280612.11900000001</v>
      </c>
      <c r="L896" s="1">
        <v>405570.76199999999</v>
      </c>
      <c r="M896" s="1">
        <v>280687.20799999998</v>
      </c>
      <c r="N896" t="s">
        <v>40</v>
      </c>
      <c r="P896" t="s">
        <v>40</v>
      </c>
      <c r="Q896">
        <v>0</v>
      </c>
      <c r="R896">
        <v>0</v>
      </c>
      <c r="S896">
        <v>0</v>
      </c>
      <c r="T896">
        <v>6</v>
      </c>
      <c r="U896">
        <v>6</v>
      </c>
      <c r="V896">
        <v>1</v>
      </c>
      <c r="W896">
        <v>1</v>
      </c>
      <c r="X896" t="s">
        <v>40</v>
      </c>
      <c r="Y896">
        <v>3</v>
      </c>
      <c r="Z896">
        <v>92</v>
      </c>
      <c r="AA896">
        <v>1</v>
      </c>
      <c r="AB896">
        <v>0</v>
      </c>
      <c r="AC896">
        <v>274.14100000000002</v>
      </c>
      <c r="AD896">
        <v>5059</v>
      </c>
      <c r="AH896">
        <v>0</v>
      </c>
      <c r="AI896">
        <v>0</v>
      </c>
      <c r="AL896" t="s">
        <v>40</v>
      </c>
      <c r="AM896" t="str">
        <f t="shared" si="72"/>
        <v>92 1</v>
      </c>
      <c r="AN896" s="6" t="s">
        <v>568</v>
      </c>
      <c r="AO896" s="6" t="s">
        <v>1472</v>
      </c>
      <c r="AQ896" t="s">
        <v>802</v>
      </c>
      <c r="AR896" t="s">
        <v>2702</v>
      </c>
    </row>
    <row r="897" spans="1:44" x14ac:dyDescent="0.3">
      <c r="A897">
        <v>3869</v>
      </c>
      <c r="B897">
        <v>4</v>
      </c>
      <c r="C897">
        <v>4024747</v>
      </c>
      <c r="D897">
        <v>111</v>
      </c>
      <c r="E897">
        <v>2</v>
      </c>
      <c r="F897">
        <v>670050</v>
      </c>
      <c r="G897" t="s">
        <v>110</v>
      </c>
      <c r="H897" t="s">
        <v>61</v>
      </c>
      <c r="I897">
        <v>0</v>
      </c>
      <c r="J897" s="1">
        <v>406118.01299999998</v>
      </c>
      <c r="K897" s="1">
        <v>280000</v>
      </c>
      <c r="L897" s="1">
        <v>406100.30699999997</v>
      </c>
      <c r="M897" s="1">
        <v>280018.79100000003</v>
      </c>
      <c r="N897" t="s">
        <v>40</v>
      </c>
      <c r="P897" t="s">
        <v>40</v>
      </c>
      <c r="Q897">
        <v>0</v>
      </c>
      <c r="R897">
        <v>0</v>
      </c>
      <c r="S897">
        <v>0</v>
      </c>
      <c r="T897">
        <v>6</v>
      </c>
      <c r="U897">
        <v>6</v>
      </c>
      <c r="V897">
        <v>1</v>
      </c>
      <c r="W897">
        <v>1</v>
      </c>
      <c r="X897" t="s">
        <v>40</v>
      </c>
      <c r="Y897">
        <v>3</v>
      </c>
      <c r="Z897">
        <v>52</v>
      </c>
      <c r="AA897">
        <v>99</v>
      </c>
      <c r="AB897">
        <v>0</v>
      </c>
      <c r="AC897">
        <v>125.11099999999999</v>
      </c>
      <c r="AD897">
        <v>5059</v>
      </c>
      <c r="AH897">
        <v>0</v>
      </c>
      <c r="AI897">
        <v>0</v>
      </c>
      <c r="AL897" t="s">
        <v>40</v>
      </c>
      <c r="AM897" t="str">
        <f t="shared" si="72"/>
        <v>52 99</v>
      </c>
      <c r="AN897" s="6" t="s">
        <v>1776</v>
      </c>
      <c r="AO897" s="6" t="s">
        <v>1477</v>
      </c>
      <c r="AQ897" t="s">
        <v>2713</v>
      </c>
      <c r="AR897" t="s">
        <v>2714</v>
      </c>
    </row>
    <row r="898" spans="1:44" x14ac:dyDescent="0.3">
      <c r="A898">
        <v>3869</v>
      </c>
      <c r="B898">
        <v>4</v>
      </c>
      <c r="C898">
        <v>4023871</v>
      </c>
      <c r="D898">
        <v>103143</v>
      </c>
      <c r="E898">
        <v>2</v>
      </c>
      <c r="F898">
        <v>670050</v>
      </c>
      <c r="G898" t="s">
        <v>110</v>
      </c>
      <c r="H898" t="s">
        <v>43</v>
      </c>
      <c r="I898">
        <v>0</v>
      </c>
      <c r="J898" s="1">
        <v>405754.685</v>
      </c>
      <c r="K898" s="1">
        <v>280649.32699999999</v>
      </c>
      <c r="L898" s="1">
        <v>405673.89199999999</v>
      </c>
      <c r="M898" s="1">
        <v>280593.31099999999</v>
      </c>
      <c r="N898" t="s">
        <v>40</v>
      </c>
      <c r="P898" t="s">
        <v>40</v>
      </c>
      <c r="Q898">
        <v>0</v>
      </c>
      <c r="R898">
        <v>0</v>
      </c>
      <c r="S898">
        <v>0</v>
      </c>
      <c r="T898">
        <v>6</v>
      </c>
      <c r="U898">
        <v>6</v>
      </c>
      <c r="V898">
        <v>1</v>
      </c>
      <c r="W898">
        <v>1</v>
      </c>
      <c r="X898" t="s">
        <v>40</v>
      </c>
      <c r="Y898">
        <v>3</v>
      </c>
      <c r="Z898">
        <v>90</v>
      </c>
      <c r="AA898">
        <v>1</v>
      </c>
      <c r="AB898">
        <v>0</v>
      </c>
      <c r="AC898">
        <v>114.43600000000001</v>
      </c>
      <c r="AD898">
        <v>5059</v>
      </c>
      <c r="AH898">
        <v>0</v>
      </c>
      <c r="AI898">
        <v>0</v>
      </c>
      <c r="AL898" t="s">
        <v>40</v>
      </c>
      <c r="AM898" t="str">
        <f t="shared" si="72"/>
        <v>90 1</v>
      </c>
      <c r="AN898" t="str">
        <f t="shared" si="73"/>
        <v>405754.685,280649.327</v>
      </c>
      <c r="AO898" t="str">
        <f t="shared" si="74"/>
        <v>405673.892,280593.311</v>
      </c>
      <c r="AQ898" t="s">
        <v>2703</v>
      </c>
      <c r="AR898" t="s">
        <v>806</v>
      </c>
    </row>
    <row r="899" spans="1:44" x14ac:dyDescent="0.3">
      <c r="A899">
        <v>3869</v>
      </c>
      <c r="B899">
        <v>4</v>
      </c>
      <c r="C899">
        <v>4023805</v>
      </c>
      <c r="D899">
        <v>20757</v>
      </c>
      <c r="E899">
        <v>2</v>
      </c>
      <c r="F899">
        <v>670050</v>
      </c>
      <c r="G899" t="s">
        <v>110</v>
      </c>
      <c r="H899" t="s">
        <v>43</v>
      </c>
      <c r="I899">
        <v>0</v>
      </c>
      <c r="J899" s="1">
        <v>405626.61800000002</v>
      </c>
      <c r="K899" s="1">
        <v>280606.47100000002</v>
      </c>
      <c r="L899" s="1">
        <v>405602.53</v>
      </c>
      <c r="M899" s="1">
        <v>280598.68699999998</v>
      </c>
      <c r="N899" t="s">
        <v>40</v>
      </c>
      <c r="P899" t="s">
        <v>40</v>
      </c>
      <c r="Q899">
        <v>0</v>
      </c>
      <c r="R899">
        <v>0</v>
      </c>
      <c r="S899">
        <v>0</v>
      </c>
      <c r="T899">
        <v>6</v>
      </c>
      <c r="U899">
        <v>6</v>
      </c>
      <c r="V899">
        <v>1</v>
      </c>
      <c r="W899">
        <v>1</v>
      </c>
      <c r="X899" t="s">
        <v>40</v>
      </c>
      <c r="Y899">
        <v>3</v>
      </c>
      <c r="Z899">
        <v>40</v>
      </c>
      <c r="AA899">
        <v>1</v>
      </c>
      <c r="AB899">
        <v>0</v>
      </c>
      <c r="AC899">
        <v>26.260999999999999</v>
      </c>
      <c r="AD899">
        <v>5059</v>
      </c>
      <c r="AH899">
        <v>0</v>
      </c>
      <c r="AI899">
        <v>0</v>
      </c>
      <c r="AL899" t="s">
        <v>40</v>
      </c>
      <c r="AM899" t="str">
        <f t="shared" si="72"/>
        <v>40 1</v>
      </c>
      <c r="AN899" t="str">
        <f t="shared" si="73"/>
        <v>405626.618,280606.471</v>
      </c>
      <c r="AO899" t="str">
        <f t="shared" si="74"/>
        <v>405602.53,280598.687</v>
      </c>
      <c r="AQ899" t="s">
        <v>2708</v>
      </c>
      <c r="AR899" t="s">
        <v>2715</v>
      </c>
    </row>
    <row r="900" spans="1:44" x14ac:dyDescent="0.3">
      <c r="A900">
        <v>3869</v>
      </c>
      <c r="B900">
        <v>4</v>
      </c>
      <c r="C900">
        <v>4024746</v>
      </c>
      <c r="D900">
        <v>108</v>
      </c>
      <c r="E900">
        <v>2</v>
      </c>
      <c r="F900">
        <v>670050</v>
      </c>
      <c r="G900" t="s">
        <v>110</v>
      </c>
      <c r="H900" t="s">
        <v>61</v>
      </c>
      <c r="I900">
        <v>0</v>
      </c>
      <c r="J900" s="1">
        <v>406066.48300000001</v>
      </c>
      <c r="K900" s="1">
        <v>280000</v>
      </c>
      <c r="L900" s="1">
        <v>406100.30699999997</v>
      </c>
      <c r="M900" s="1">
        <v>280018.79100000003</v>
      </c>
      <c r="N900" t="s">
        <v>40</v>
      </c>
      <c r="P900" t="s">
        <v>40</v>
      </c>
      <c r="Q900">
        <v>0</v>
      </c>
      <c r="R900">
        <v>0</v>
      </c>
      <c r="S900">
        <v>201110</v>
      </c>
      <c r="T900">
        <v>6</v>
      </c>
      <c r="U900">
        <v>6</v>
      </c>
      <c r="V900">
        <v>1</v>
      </c>
      <c r="W900">
        <v>1</v>
      </c>
      <c r="X900" t="s">
        <v>40</v>
      </c>
      <c r="Y900">
        <v>3</v>
      </c>
      <c r="Z900">
        <v>5023</v>
      </c>
      <c r="AA900">
        <v>99</v>
      </c>
      <c r="AB900">
        <v>0</v>
      </c>
      <c r="AC900">
        <v>83.707999999999998</v>
      </c>
      <c r="AD900">
        <v>5059</v>
      </c>
      <c r="AE900" t="s">
        <v>112</v>
      </c>
      <c r="AH900">
        <v>0</v>
      </c>
      <c r="AI900">
        <v>0</v>
      </c>
      <c r="AL900" t="s">
        <v>40</v>
      </c>
      <c r="AM900" t="str">
        <f t="shared" si="72"/>
        <v>5023 99</v>
      </c>
      <c r="AN900" s="6" t="s">
        <v>1776</v>
      </c>
      <c r="AO900" s="6" t="s">
        <v>559</v>
      </c>
      <c r="AQ900" t="s">
        <v>2713</v>
      </c>
      <c r="AR900" t="s">
        <v>799</v>
      </c>
    </row>
    <row r="901" spans="1:44" x14ac:dyDescent="0.3">
      <c r="A901">
        <v>3869</v>
      </c>
      <c r="B901">
        <v>4</v>
      </c>
      <c r="C901">
        <v>4024745</v>
      </c>
      <c r="D901">
        <v>109</v>
      </c>
      <c r="E901">
        <v>2</v>
      </c>
      <c r="F901">
        <v>670050</v>
      </c>
      <c r="G901" t="s">
        <v>110</v>
      </c>
      <c r="H901" t="s">
        <v>61</v>
      </c>
      <c r="I901">
        <v>0</v>
      </c>
      <c r="J901" s="1">
        <v>406065.97100000002</v>
      </c>
      <c r="K901" s="1">
        <v>280000</v>
      </c>
      <c r="L901" s="1">
        <v>406091.29700000002</v>
      </c>
      <c r="M901" s="1">
        <v>280027.04700000002</v>
      </c>
      <c r="N901" t="s">
        <v>40</v>
      </c>
      <c r="P901" t="s">
        <v>40</v>
      </c>
      <c r="Q901">
        <v>0</v>
      </c>
      <c r="R901">
        <v>0</v>
      </c>
      <c r="S901">
        <v>201110</v>
      </c>
      <c r="T901">
        <v>6</v>
      </c>
      <c r="U901">
        <v>6</v>
      </c>
      <c r="V901">
        <v>1</v>
      </c>
      <c r="W901">
        <v>1</v>
      </c>
      <c r="X901" t="s">
        <v>40</v>
      </c>
      <c r="Y901">
        <v>3</v>
      </c>
      <c r="Z901">
        <v>5023</v>
      </c>
      <c r="AA901">
        <v>1</v>
      </c>
      <c r="AB901">
        <v>0</v>
      </c>
      <c r="AC901">
        <v>92.823999999999998</v>
      </c>
      <c r="AD901">
        <v>5059</v>
      </c>
      <c r="AH901">
        <v>0</v>
      </c>
      <c r="AI901">
        <v>0</v>
      </c>
      <c r="AL901" t="s">
        <v>40</v>
      </c>
      <c r="AM901" t="str">
        <f t="shared" si="72"/>
        <v>5023 1</v>
      </c>
      <c r="AN901" s="6" t="s">
        <v>1777</v>
      </c>
      <c r="AO901" s="6" t="s">
        <v>560</v>
      </c>
      <c r="AQ901" t="s">
        <v>2716</v>
      </c>
      <c r="AR901" t="s">
        <v>800</v>
      </c>
    </row>
    <row r="902" spans="1:44" x14ac:dyDescent="0.3">
      <c r="A902">
        <v>3869</v>
      </c>
      <c r="B902">
        <v>4</v>
      </c>
      <c r="C902">
        <v>4024744</v>
      </c>
      <c r="D902">
        <v>19944</v>
      </c>
      <c r="E902">
        <v>2</v>
      </c>
      <c r="F902">
        <v>670050</v>
      </c>
      <c r="G902" t="s">
        <v>110</v>
      </c>
      <c r="H902" t="s">
        <v>61</v>
      </c>
      <c r="I902">
        <v>0</v>
      </c>
      <c r="J902" s="1">
        <v>406000</v>
      </c>
      <c r="K902" s="1">
        <v>280106.81199999998</v>
      </c>
      <c r="L902" s="1">
        <v>406091.29700000002</v>
      </c>
      <c r="M902" s="1">
        <v>280027.04700000002</v>
      </c>
      <c r="N902" t="s">
        <v>40</v>
      </c>
      <c r="P902" t="s">
        <v>40</v>
      </c>
      <c r="Q902">
        <v>0</v>
      </c>
      <c r="R902">
        <v>0</v>
      </c>
      <c r="S902">
        <v>0</v>
      </c>
      <c r="T902">
        <v>6</v>
      </c>
      <c r="U902">
        <v>6</v>
      </c>
      <c r="V902">
        <v>1</v>
      </c>
      <c r="W902">
        <v>1</v>
      </c>
      <c r="X902" t="s">
        <v>40</v>
      </c>
      <c r="Y902">
        <v>3</v>
      </c>
      <c r="Z902">
        <v>52</v>
      </c>
      <c r="AA902">
        <v>1</v>
      </c>
      <c r="AB902">
        <v>0</v>
      </c>
      <c r="AC902">
        <v>264.48500000000001</v>
      </c>
      <c r="AD902">
        <v>5059</v>
      </c>
      <c r="AH902">
        <v>0</v>
      </c>
      <c r="AI902">
        <v>0</v>
      </c>
      <c r="AL902" t="s">
        <v>40</v>
      </c>
      <c r="AM902" t="str">
        <f t="shared" si="72"/>
        <v>52 1</v>
      </c>
      <c r="AN902" s="6" t="s">
        <v>1777</v>
      </c>
      <c r="AO902" s="6" t="s">
        <v>1476</v>
      </c>
      <c r="AQ902" t="s">
        <v>2716</v>
      </c>
      <c r="AR902" t="s">
        <v>2717</v>
      </c>
    </row>
    <row r="903" spans="1:44" x14ac:dyDescent="0.3">
      <c r="A903">
        <v>3869</v>
      </c>
      <c r="B903">
        <v>4</v>
      </c>
      <c r="C903">
        <v>4023804</v>
      </c>
      <c r="D903">
        <v>21894</v>
      </c>
      <c r="E903">
        <v>2</v>
      </c>
      <c r="F903">
        <v>670050</v>
      </c>
      <c r="G903" t="s">
        <v>110</v>
      </c>
      <c r="H903" t="s">
        <v>43</v>
      </c>
      <c r="I903">
        <v>0</v>
      </c>
      <c r="J903" s="1">
        <v>405602.53</v>
      </c>
      <c r="K903" s="1">
        <v>280598.68699999998</v>
      </c>
      <c r="L903" s="1">
        <v>405593.89899999998</v>
      </c>
      <c r="M903" s="1">
        <v>280597.01799999998</v>
      </c>
      <c r="N903" t="s">
        <v>40</v>
      </c>
      <c r="P903" t="s">
        <v>40</v>
      </c>
      <c r="Q903">
        <v>0</v>
      </c>
      <c r="R903">
        <v>0</v>
      </c>
      <c r="S903">
        <v>200904</v>
      </c>
      <c r="T903">
        <v>6</v>
      </c>
      <c r="U903">
        <v>6</v>
      </c>
      <c r="V903">
        <v>1</v>
      </c>
      <c r="W903">
        <v>1</v>
      </c>
      <c r="X903" t="s">
        <v>40</v>
      </c>
      <c r="Y903">
        <v>3</v>
      </c>
      <c r="Z903">
        <v>5028</v>
      </c>
      <c r="AA903">
        <v>1</v>
      </c>
      <c r="AB903">
        <v>0</v>
      </c>
      <c r="AC903">
        <v>11.909000000000001</v>
      </c>
      <c r="AD903">
        <v>5059</v>
      </c>
      <c r="AH903">
        <v>0</v>
      </c>
      <c r="AI903">
        <v>0</v>
      </c>
      <c r="AL903" t="s">
        <v>40</v>
      </c>
      <c r="AM903" t="str">
        <f t="shared" si="72"/>
        <v>5028 1</v>
      </c>
      <c r="AN903" t="str">
        <f t="shared" si="73"/>
        <v>405602.53,280598.687</v>
      </c>
      <c r="AO903" t="str">
        <f t="shared" si="74"/>
        <v>405593.899,280597.018</v>
      </c>
      <c r="AQ903" t="s">
        <v>2715</v>
      </c>
      <c r="AR903" t="s">
        <v>803</v>
      </c>
    </row>
    <row r="904" spans="1:44" x14ac:dyDescent="0.3">
      <c r="A904">
        <v>3869</v>
      </c>
      <c r="B904">
        <v>4</v>
      </c>
      <c r="C904">
        <v>4023917</v>
      </c>
      <c r="D904">
        <v>20944</v>
      </c>
      <c r="E904">
        <v>2</v>
      </c>
      <c r="F904">
        <v>670050</v>
      </c>
      <c r="G904" t="s">
        <v>110</v>
      </c>
      <c r="H904" t="s">
        <v>43</v>
      </c>
      <c r="I904">
        <v>0</v>
      </c>
      <c r="J904" s="1">
        <v>405863.12199999997</v>
      </c>
      <c r="K904" s="1">
        <v>280784.87199999997</v>
      </c>
      <c r="L904" s="1">
        <v>405865.72200000001</v>
      </c>
      <c r="M904" s="1">
        <v>280774.64899999998</v>
      </c>
      <c r="N904" t="s">
        <v>40</v>
      </c>
      <c r="P904" t="s">
        <v>40</v>
      </c>
      <c r="Q904">
        <v>0</v>
      </c>
      <c r="R904">
        <v>0</v>
      </c>
      <c r="S904">
        <v>0</v>
      </c>
      <c r="T904">
        <v>6</v>
      </c>
      <c r="U904">
        <v>6</v>
      </c>
      <c r="V904">
        <v>1</v>
      </c>
      <c r="W904">
        <v>3</v>
      </c>
      <c r="X904" t="s">
        <v>40</v>
      </c>
      <c r="Y904">
        <v>3</v>
      </c>
      <c r="Z904">
        <v>38</v>
      </c>
      <c r="AA904">
        <v>1</v>
      </c>
      <c r="AB904">
        <v>0</v>
      </c>
      <c r="AC904">
        <v>10.887</v>
      </c>
      <c r="AD904">
        <v>5059</v>
      </c>
      <c r="AH904">
        <v>0</v>
      </c>
      <c r="AI904">
        <v>0</v>
      </c>
      <c r="AL904" t="s">
        <v>40</v>
      </c>
      <c r="AM904" t="str">
        <f t="shared" si="72"/>
        <v>38 1</v>
      </c>
      <c r="AN904" t="str">
        <f t="shared" si="73"/>
        <v>405863.122,280784.872</v>
      </c>
      <c r="AO904" t="str">
        <f t="shared" si="74"/>
        <v>405865.722,280774.649</v>
      </c>
      <c r="AQ904" t="s">
        <v>2695</v>
      </c>
      <c r="AR904" t="s">
        <v>2706</v>
      </c>
    </row>
    <row r="905" spans="1:44" x14ac:dyDescent="0.3">
      <c r="A905">
        <v>3869</v>
      </c>
      <c r="B905">
        <v>4</v>
      </c>
      <c r="C905">
        <v>4023752</v>
      </c>
      <c r="D905">
        <v>21677</v>
      </c>
      <c r="E905">
        <v>2</v>
      </c>
      <c r="F905">
        <v>670050</v>
      </c>
      <c r="G905" t="s">
        <v>110</v>
      </c>
      <c r="H905" t="s">
        <v>43</v>
      </c>
      <c r="I905">
        <v>0</v>
      </c>
      <c r="J905" s="1">
        <v>405454.03899999999</v>
      </c>
      <c r="K905" s="1">
        <v>280385.098</v>
      </c>
      <c r="L905" s="1">
        <v>405445.29200000002</v>
      </c>
      <c r="M905" s="1">
        <v>280309.31300000002</v>
      </c>
      <c r="N905" t="s">
        <v>40</v>
      </c>
      <c r="P905" t="s">
        <v>40</v>
      </c>
      <c r="Q905">
        <v>0</v>
      </c>
      <c r="R905">
        <v>0</v>
      </c>
      <c r="S905">
        <v>0</v>
      </c>
      <c r="T905">
        <v>6</v>
      </c>
      <c r="U905">
        <v>6</v>
      </c>
      <c r="V905">
        <v>1</v>
      </c>
      <c r="W905">
        <v>3</v>
      </c>
      <c r="X905" t="s">
        <v>40</v>
      </c>
      <c r="Y905">
        <v>3</v>
      </c>
      <c r="Z905">
        <v>92</v>
      </c>
      <c r="AA905">
        <v>1</v>
      </c>
      <c r="AB905">
        <v>0</v>
      </c>
      <c r="AC905">
        <v>501.173</v>
      </c>
      <c r="AD905">
        <v>5059</v>
      </c>
      <c r="AH905">
        <v>0</v>
      </c>
      <c r="AI905">
        <v>0</v>
      </c>
      <c r="AL905" t="s">
        <v>40</v>
      </c>
      <c r="AM905" t="str">
        <f t="shared" si="72"/>
        <v>92 1</v>
      </c>
      <c r="AN905" s="6" t="s">
        <v>1778</v>
      </c>
      <c r="AO905" s="6" t="s">
        <v>570</v>
      </c>
      <c r="AQ905" t="s">
        <v>2718</v>
      </c>
      <c r="AR905" t="s">
        <v>803</v>
      </c>
    </row>
    <row r="906" spans="1:44" x14ac:dyDescent="0.3">
      <c r="A906">
        <v>3869</v>
      </c>
      <c r="B906">
        <v>4</v>
      </c>
      <c r="C906">
        <v>4023855</v>
      </c>
      <c r="D906">
        <v>103144</v>
      </c>
      <c r="E906">
        <v>2</v>
      </c>
      <c r="F906">
        <v>670050</v>
      </c>
      <c r="G906" t="s">
        <v>110</v>
      </c>
      <c r="H906" t="s">
        <v>43</v>
      </c>
      <c r="I906">
        <v>0</v>
      </c>
      <c r="J906" s="1">
        <v>405672.62400000001</v>
      </c>
      <c r="K906" s="1">
        <v>280594.685</v>
      </c>
      <c r="L906" s="1">
        <v>405673.63099999999</v>
      </c>
      <c r="M906" s="1">
        <v>280592.80200000003</v>
      </c>
      <c r="N906" t="s">
        <v>40</v>
      </c>
      <c r="P906" t="s">
        <v>40</v>
      </c>
      <c r="Q906">
        <v>0</v>
      </c>
      <c r="R906">
        <v>0</v>
      </c>
      <c r="S906">
        <v>0</v>
      </c>
      <c r="T906">
        <v>6</v>
      </c>
      <c r="U906">
        <v>6</v>
      </c>
      <c r="V906">
        <v>1</v>
      </c>
      <c r="W906">
        <v>3</v>
      </c>
      <c r="X906" t="s">
        <v>40</v>
      </c>
      <c r="Y906">
        <v>3</v>
      </c>
      <c r="Z906">
        <v>36</v>
      </c>
      <c r="AA906">
        <v>5001</v>
      </c>
      <c r="AB906">
        <v>0</v>
      </c>
      <c r="AC906">
        <v>2.7429999999999999</v>
      </c>
      <c r="AD906">
        <v>5059</v>
      </c>
      <c r="AH906">
        <v>0</v>
      </c>
      <c r="AI906">
        <v>0</v>
      </c>
      <c r="AL906" t="s">
        <v>40</v>
      </c>
      <c r="AM906" t="str">
        <f t="shared" si="72"/>
        <v>36 5001</v>
      </c>
      <c r="AN906" t="str">
        <f t="shared" si="73"/>
        <v>405672.624,280594.685</v>
      </c>
      <c r="AO906" t="str">
        <f t="shared" si="74"/>
        <v>405673.631,280592.802</v>
      </c>
      <c r="AQ906" t="s">
        <v>2719</v>
      </c>
      <c r="AR906" t="s">
        <v>806</v>
      </c>
    </row>
    <row r="907" spans="1:44" x14ac:dyDescent="0.3">
      <c r="A907">
        <v>3869</v>
      </c>
      <c r="B907">
        <v>4</v>
      </c>
      <c r="C907">
        <v>4024008</v>
      </c>
      <c r="D907">
        <v>20185</v>
      </c>
      <c r="E907">
        <v>2</v>
      </c>
      <c r="F907">
        <v>670050</v>
      </c>
      <c r="G907" t="s">
        <v>110</v>
      </c>
      <c r="H907" t="s">
        <v>43</v>
      </c>
      <c r="I907">
        <v>0</v>
      </c>
      <c r="J907" s="1">
        <v>405872.79700000002</v>
      </c>
      <c r="K907" s="1">
        <v>280221.46600000001</v>
      </c>
      <c r="L907" s="1">
        <v>405893.73700000002</v>
      </c>
      <c r="M907" s="1">
        <v>280202.52399999998</v>
      </c>
      <c r="N907" t="s">
        <v>40</v>
      </c>
      <c r="P907" t="s">
        <v>40</v>
      </c>
      <c r="Q907">
        <v>0</v>
      </c>
      <c r="R907">
        <v>0</v>
      </c>
      <c r="S907">
        <v>0</v>
      </c>
      <c r="T907">
        <v>6</v>
      </c>
      <c r="U907">
        <v>6</v>
      </c>
      <c r="V907">
        <v>1</v>
      </c>
      <c r="W907">
        <v>1</v>
      </c>
      <c r="X907" t="s">
        <v>40</v>
      </c>
      <c r="Y907">
        <v>3</v>
      </c>
      <c r="Z907">
        <v>89</v>
      </c>
      <c r="AA907">
        <v>1</v>
      </c>
      <c r="AB907">
        <v>0</v>
      </c>
      <c r="AC907">
        <v>28.236000000000001</v>
      </c>
      <c r="AD907">
        <v>5059</v>
      </c>
      <c r="AH907">
        <v>0</v>
      </c>
      <c r="AI907">
        <v>0</v>
      </c>
      <c r="AL907" t="s">
        <v>40</v>
      </c>
      <c r="AM907" t="str">
        <f t="shared" si="72"/>
        <v>89 1</v>
      </c>
      <c r="AN907" t="str">
        <f t="shared" si="73"/>
        <v>405872.797,280221.466</v>
      </c>
      <c r="AO907" t="str">
        <f t="shared" si="74"/>
        <v>405893.737,280202.524</v>
      </c>
      <c r="AQ907" t="s">
        <v>2720</v>
      </c>
      <c r="AR907" t="s">
        <v>2717</v>
      </c>
    </row>
    <row r="908" spans="1:44" x14ac:dyDescent="0.3">
      <c r="A908">
        <v>3869</v>
      </c>
      <c r="B908">
        <v>4</v>
      </c>
      <c r="C908">
        <v>4016375</v>
      </c>
      <c r="D908">
        <v>15147</v>
      </c>
      <c r="E908">
        <v>2</v>
      </c>
      <c r="F908">
        <v>670050</v>
      </c>
      <c r="G908" t="s">
        <v>110</v>
      </c>
      <c r="H908" t="s">
        <v>111</v>
      </c>
      <c r="I908">
        <v>0</v>
      </c>
      <c r="J908" s="1">
        <v>406301.45699999999</v>
      </c>
      <c r="K908" s="1">
        <v>279856.962</v>
      </c>
      <c r="L908" s="1">
        <v>406190.511</v>
      </c>
      <c r="M908" s="1">
        <v>279955.734</v>
      </c>
      <c r="N908" t="s">
        <v>40</v>
      </c>
      <c r="P908" t="s">
        <v>40</v>
      </c>
      <c r="Q908">
        <v>0</v>
      </c>
      <c r="R908">
        <v>0</v>
      </c>
      <c r="S908">
        <v>0</v>
      </c>
      <c r="T908">
        <v>6</v>
      </c>
      <c r="U908">
        <v>6</v>
      </c>
      <c r="V908">
        <v>1</v>
      </c>
      <c r="W908">
        <v>1</v>
      </c>
      <c r="X908" t="s">
        <v>40</v>
      </c>
      <c r="Y908">
        <v>3</v>
      </c>
      <c r="Z908">
        <v>89</v>
      </c>
      <c r="AA908">
        <v>99</v>
      </c>
      <c r="AB908">
        <v>0</v>
      </c>
      <c r="AC908">
        <v>289.80600000000004</v>
      </c>
      <c r="AD908">
        <v>5059</v>
      </c>
      <c r="AH908">
        <v>0</v>
      </c>
      <c r="AI908">
        <v>0</v>
      </c>
      <c r="AL908" t="s">
        <v>40</v>
      </c>
      <c r="AM908" t="str">
        <f t="shared" si="72"/>
        <v>89 99</v>
      </c>
      <c r="AN908" s="6" t="s">
        <v>1477</v>
      </c>
      <c r="AO908" s="6" t="s">
        <v>1470</v>
      </c>
      <c r="AQ908" t="s">
        <v>2714</v>
      </c>
      <c r="AR908" t="s">
        <v>2711</v>
      </c>
    </row>
    <row r="909" spans="1:44" x14ac:dyDescent="0.3">
      <c r="A909">
        <v>3869</v>
      </c>
      <c r="B909">
        <v>4</v>
      </c>
      <c r="C909">
        <v>4023783</v>
      </c>
      <c r="D909">
        <v>21895</v>
      </c>
      <c r="E909">
        <v>2</v>
      </c>
      <c r="F909">
        <v>670050</v>
      </c>
      <c r="G909" t="s">
        <v>110</v>
      </c>
      <c r="H909" t="s">
        <v>43</v>
      </c>
      <c r="I909">
        <v>0</v>
      </c>
      <c r="J909" s="1">
        <v>405603.38099999999</v>
      </c>
      <c r="K909" s="1">
        <v>280601.478</v>
      </c>
      <c r="L909" s="1">
        <v>405594.29599999997</v>
      </c>
      <c r="M909" s="1">
        <v>280597.07199999999</v>
      </c>
      <c r="N909" t="s">
        <v>40</v>
      </c>
      <c r="P909" t="s">
        <v>40</v>
      </c>
      <c r="Q909">
        <v>0</v>
      </c>
      <c r="R909">
        <v>0</v>
      </c>
      <c r="S909">
        <v>200904</v>
      </c>
      <c r="T909">
        <v>6</v>
      </c>
      <c r="U909">
        <v>6</v>
      </c>
      <c r="V909">
        <v>1</v>
      </c>
      <c r="W909">
        <v>1</v>
      </c>
      <c r="X909" t="s">
        <v>40</v>
      </c>
      <c r="Y909">
        <v>3</v>
      </c>
      <c r="Z909">
        <v>5028</v>
      </c>
      <c r="AA909">
        <v>1</v>
      </c>
      <c r="AB909">
        <v>0</v>
      </c>
      <c r="AC909">
        <v>14</v>
      </c>
      <c r="AD909">
        <v>5059</v>
      </c>
      <c r="AH909">
        <v>0</v>
      </c>
      <c r="AI909">
        <v>0</v>
      </c>
      <c r="AL909" t="s">
        <v>40</v>
      </c>
      <c r="AM909" t="str">
        <f t="shared" si="72"/>
        <v>5028 1</v>
      </c>
      <c r="AN909" t="str">
        <f t="shared" si="73"/>
        <v>405603.381,280601.478</v>
      </c>
      <c r="AO909" t="str">
        <f t="shared" si="74"/>
        <v>405594.296,280597.072</v>
      </c>
      <c r="AQ909" t="s">
        <v>2707</v>
      </c>
      <c r="AR909" t="s">
        <v>804</v>
      </c>
    </row>
    <row r="910" spans="1:44" x14ac:dyDescent="0.3">
      <c r="A910">
        <v>3869</v>
      </c>
      <c r="B910">
        <v>4</v>
      </c>
      <c r="C910">
        <v>4024007</v>
      </c>
      <c r="D910">
        <v>20216</v>
      </c>
      <c r="E910">
        <v>2</v>
      </c>
      <c r="F910">
        <v>670050</v>
      </c>
      <c r="G910" t="s">
        <v>110</v>
      </c>
      <c r="H910" t="s">
        <v>43</v>
      </c>
      <c r="I910">
        <v>0</v>
      </c>
      <c r="J910" s="1">
        <v>405869.451</v>
      </c>
      <c r="K910" s="1">
        <v>280297.76899999997</v>
      </c>
      <c r="L910" s="1">
        <v>405872.79700000002</v>
      </c>
      <c r="M910" s="1">
        <v>280221.46600000001</v>
      </c>
      <c r="N910" t="s">
        <v>40</v>
      </c>
      <c r="P910" t="s">
        <v>40</v>
      </c>
      <c r="Q910">
        <v>0</v>
      </c>
      <c r="R910">
        <v>0</v>
      </c>
      <c r="S910">
        <v>0</v>
      </c>
      <c r="T910">
        <v>6</v>
      </c>
      <c r="U910">
        <v>6</v>
      </c>
      <c r="V910">
        <v>1</v>
      </c>
      <c r="W910">
        <v>1</v>
      </c>
      <c r="X910" t="s">
        <v>40</v>
      </c>
      <c r="Y910">
        <v>3</v>
      </c>
      <c r="Z910">
        <v>52</v>
      </c>
      <c r="AA910">
        <v>1</v>
      </c>
      <c r="AB910">
        <v>0</v>
      </c>
      <c r="AC910">
        <v>100.453</v>
      </c>
      <c r="AD910">
        <v>5059</v>
      </c>
      <c r="AH910">
        <v>0</v>
      </c>
      <c r="AI910">
        <v>0</v>
      </c>
      <c r="AL910" t="s">
        <v>40</v>
      </c>
      <c r="AM910" t="str">
        <f t="shared" si="72"/>
        <v>52 1</v>
      </c>
      <c r="AN910" t="str">
        <f t="shared" si="73"/>
        <v>405869.451,280297.769</v>
      </c>
      <c r="AO910" t="str">
        <f t="shared" si="74"/>
        <v>405872.797,280221.466</v>
      </c>
      <c r="AQ910" t="s">
        <v>2721</v>
      </c>
      <c r="AR910" t="s">
        <v>2720</v>
      </c>
    </row>
    <row r="911" spans="1:44" x14ac:dyDescent="0.3">
      <c r="A911">
        <v>3869</v>
      </c>
      <c r="B911">
        <v>4</v>
      </c>
      <c r="C911">
        <v>4024741</v>
      </c>
      <c r="D911">
        <v>20068</v>
      </c>
      <c r="E911">
        <v>2</v>
      </c>
      <c r="F911">
        <v>670050</v>
      </c>
      <c r="G911" t="s">
        <v>110</v>
      </c>
      <c r="H911" t="s">
        <v>61</v>
      </c>
      <c r="I911">
        <v>0</v>
      </c>
      <c r="J911" s="1">
        <v>406006.57400000002</v>
      </c>
      <c r="K911" s="1">
        <v>280438.076</v>
      </c>
      <c r="L911" s="1">
        <v>406001.66899999999</v>
      </c>
      <c r="M911" s="1">
        <v>280461.68599999999</v>
      </c>
      <c r="N911" t="s">
        <v>40</v>
      </c>
      <c r="P911" t="s">
        <v>40</v>
      </c>
      <c r="Q911">
        <v>0</v>
      </c>
      <c r="R911">
        <v>0</v>
      </c>
      <c r="S911">
        <v>0</v>
      </c>
      <c r="T911">
        <v>6</v>
      </c>
      <c r="U911">
        <v>6</v>
      </c>
      <c r="V911">
        <v>1</v>
      </c>
      <c r="W911">
        <v>1</v>
      </c>
      <c r="X911" t="s">
        <v>40</v>
      </c>
      <c r="Y911">
        <v>3</v>
      </c>
      <c r="Z911">
        <v>38</v>
      </c>
      <c r="AA911">
        <v>1</v>
      </c>
      <c r="AB911">
        <v>0</v>
      </c>
      <c r="AC911">
        <v>31.802</v>
      </c>
      <c r="AD911">
        <v>5059</v>
      </c>
      <c r="AH911">
        <v>0</v>
      </c>
      <c r="AI911">
        <v>0</v>
      </c>
      <c r="AL911" t="s">
        <v>40</v>
      </c>
      <c r="AM911" t="str">
        <f t="shared" si="72"/>
        <v>38 1</v>
      </c>
      <c r="AN911" t="str">
        <f t="shared" si="73"/>
        <v>406006.574,280438.076</v>
      </c>
      <c r="AO911" t="str">
        <f t="shared" si="74"/>
        <v>406001.669,280461.686</v>
      </c>
      <c r="AQ911" t="s">
        <v>2701</v>
      </c>
      <c r="AR911" t="s">
        <v>2696</v>
      </c>
    </row>
    <row r="912" spans="1:44" x14ac:dyDescent="0.3">
      <c r="A912">
        <v>3869</v>
      </c>
      <c r="B912">
        <v>4</v>
      </c>
      <c r="C912">
        <v>4023994</v>
      </c>
      <c r="D912">
        <v>20214</v>
      </c>
      <c r="E912">
        <v>2</v>
      </c>
      <c r="F912">
        <v>670050</v>
      </c>
      <c r="G912" t="s">
        <v>110</v>
      </c>
      <c r="H912" t="s">
        <v>43</v>
      </c>
      <c r="I912">
        <v>0</v>
      </c>
      <c r="J912" s="1">
        <v>405869.451</v>
      </c>
      <c r="K912" s="1">
        <v>280297.76899999997</v>
      </c>
      <c r="L912" s="1">
        <v>405856.93699999998</v>
      </c>
      <c r="M912" s="1">
        <v>280312.63699999999</v>
      </c>
      <c r="N912" t="s">
        <v>40</v>
      </c>
      <c r="P912" t="s">
        <v>40</v>
      </c>
      <c r="Q912">
        <v>0</v>
      </c>
      <c r="R912">
        <v>0</v>
      </c>
      <c r="S912">
        <v>0</v>
      </c>
      <c r="T912">
        <v>6</v>
      </c>
      <c r="U912">
        <v>6</v>
      </c>
      <c r="V912">
        <v>1</v>
      </c>
      <c r="W912">
        <v>1</v>
      </c>
      <c r="X912" t="s">
        <v>40</v>
      </c>
      <c r="Y912">
        <v>3</v>
      </c>
      <c r="Z912">
        <v>5024</v>
      </c>
      <c r="AA912">
        <v>1</v>
      </c>
      <c r="AB912">
        <v>0</v>
      </c>
      <c r="AC912">
        <v>24.780999999999999</v>
      </c>
      <c r="AD912">
        <v>5059</v>
      </c>
      <c r="AH912">
        <v>0</v>
      </c>
      <c r="AI912">
        <v>0</v>
      </c>
      <c r="AL912" t="s">
        <v>40</v>
      </c>
      <c r="AM912" t="str">
        <f t="shared" si="72"/>
        <v>5024 1</v>
      </c>
      <c r="AN912" s="6" t="s">
        <v>565</v>
      </c>
      <c r="AO912" s="6" t="s">
        <v>1479</v>
      </c>
      <c r="AQ912" t="s">
        <v>801</v>
      </c>
      <c r="AR912" t="s">
        <v>2721</v>
      </c>
    </row>
    <row r="913" spans="1:44" x14ac:dyDescent="0.3">
      <c r="A913">
        <v>3869</v>
      </c>
      <c r="B913">
        <v>4</v>
      </c>
      <c r="C913">
        <v>4016382</v>
      </c>
      <c r="D913">
        <v>53600</v>
      </c>
      <c r="E913">
        <v>2</v>
      </c>
      <c r="F913">
        <v>670050</v>
      </c>
      <c r="G913" t="s">
        <v>110</v>
      </c>
      <c r="H913" t="s">
        <v>111</v>
      </c>
      <c r="I913">
        <v>0</v>
      </c>
      <c r="J913" s="1">
        <v>406358.07299999997</v>
      </c>
      <c r="K913" s="1">
        <v>279936.97200000001</v>
      </c>
      <c r="L913" s="1">
        <v>406359.00900000002</v>
      </c>
      <c r="M913" s="1">
        <v>279938.06800000003</v>
      </c>
      <c r="N913" t="s">
        <v>40</v>
      </c>
      <c r="P913" t="s">
        <v>40</v>
      </c>
      <c r="Q913">
        <v>0</v>
      </c>
      <c r="R913">
        <v>0</v>
      </c>
      <c r="S913">
        <v>201111</v>
      </c>
      <c r="T913">
        <v>6</v>
      </c>
      <c r="U913">
        <v>6</v>
      </c>
      <c r="V913">
        <v>1</v>
      </c>
      <c r="W913">
        <v>2</v>
      </c>
      <c r="X913" t="s">
        <v>40</v>
      </c>
      <c r="Y913">
        <v>3</v>
      </c>
      <c r="Z913">
        <v>129</v>
      </c>
      <c r="AA913">
        <v>5001</v>
      </c>
      <c r="AB913">
        <v>0</v>
      </c>
      <c r="AC913">
        <v>1.4419999999999999</v>
      </c>
      <c r="AD913">
        <v>5059</v>
      </c>
      <c r="AE913" t="s">
        <v>112</v>
      </c>
      <c r="AH913">
        <v>0</v>
      </c>
      <c r="AI913">
        <v>0</v>
      </c>
      <c r="AL913" t="s">
        <v>40</v>
      </c>
      <c r="AM913" t="str">
        <f t="shared" si="72"/>
        <v>129 5001</v>
      </c>
      <c r="AN913" t="str">
        <f t="shared" si="73"/>
        <v>406358.073,279936.972</v>
      </c>
      <c r="AO913" t="str">
        <f t="shared" si="74"/>
        <v>406359.009,279938.068</v>
      </c>
      <c r="AQ913" t="s">
        <v>2699</v>
      </c>
      <c r="AR913" t="s">
        <v>1903</v>
      </c>
    </row>
    <row r="914" spans="1:44" x14ac:dyDescent="0.3">
      <c r="A914">
        <v>3869</v>
      </c>
      <c r="B914">
        <v>4</v>
      </c>
      <c r="C914">
        <v>4011732</v>
      </c>
      <c r="D914">
        <v>10890</v>
      </c>
      <c r="E914">
        <v>2</v>
      </c>
      <c r="F914">
        <v>670050</v>
      </c>
      <c r="G914" t="s">
        <v>113</v>
      </c>
      <c r="H914" t="s">
        <v>45</v>
      </c>
      <c r="I914">
        <v>0</v>
      </c>
      <c r="J914" s="1">
        <v>405497.31199999998</v>
      </c>
      <c r="K914" s="1">
        <v>279988.96100000001</v>
      </c>
      <c r="L914" s="1">
        <v>405497.049</v>
      </c>
      <c r="M914" s="1">
        <v>280000</v>
      </c>
      <c r="N914" t="s">
        <v>40</v>
      </c>
      <c r="P914" t="s">
        <v>40</v>
      </c>
      <c r="Q914">
        <v>0</v>
      </c>
      <c r="R914">
        <v>0</v>
      </c>
      <c r="S914">
        <v>0</v>
      </c>
      <c r="T914">
        <v>6</v>
      </c>
      <c r="U914">
        <v>6</v>
      </c>
      <c r="V914">
        <v>1</v>
      </c>
      <c r="W914">
        <v>1</v>
      </c>
      <c r="X914" t="s">
        <v>40</v>
      </c>
      <c r="Y914">
        <v>3</v>
      </c>
      <c r="Z914">
        <v>92</v>
      </c>
      <c r="AA914">
        <v>1</v>
      </c>
      <c r="AB914">
        <v>0</v>
      </c>
      <c r="AC914">
        <v>417.83199999999999</v>
      </c>
      <c r="AD914">
        <v>5059</v>
      </c>
      <c r="AH914">
        <v>0</v>
      </c>
      <c r="AI914">
        <v>0</v>
      </c>
      <c r="AL914" t="s">
        <v>40</v>
      </c>
      <c r="AM914" t="str">
        <f t="shared" si="72"/>
        <v>92 1</v>
      </c>
      <c r="AN914" s="6" t="s">
        <v>1483</v>
      </c>
      <c r="AO914" s="6" t="s">
        <v>1499</v>
      </c>
      <c r="AQ914" t="s">
        <v>2722</v>
      </c>
      <c r="AR914" t="s">
        <v>2723</v>
      </c>
    </row>
    <row r="915" spans="1:44" x14ac:dyDescent="0.3">
      <c r="A915">
        <v>3869</v>
      </c>
      <c r="B915">
        <v>4</v>
      </c>
      <c r="C915">
        <v>4011733</v>
      </c>
      <c r="D915">
        <v>10894</v>
      </c>
      <c r="E915">
        <v>2</v>
      </c>
      <c r="F915">
        <v>670050</v>
      </c>
      <c r="G915" t="s">
        <v>113</v>
      </c>
      <c r="H915" t="s">
        <v>45</v>
      </c>
      <c r="I915">
        <v>0</v>
      </c>
      <c r="J915" s="1">
        <v>405497.31199999998</v>
      </c>
      <c r="K915" s="1">
        <v>279988.96100000001</v>
      </c>
      <c r="L915" s="1">
        <v>405512.75599999999</v>
      </c>
      <c r="M915" s="1">
        <v>279851.18699999998</v>
      </c>
      <c r="N915" t="s">
        <v>40</v>
      </c>
      <c r="P915" t="s">
        <v>40</v>
      </c>
      <c r="Q915">
        <v>0</v>
      </c>
      <c r="R915">
        <v>0</v>
      </c>
      <c r="S915">
        <v>0</v>
      </c>
      <c r="T915">
        <v>6</v>
      </c>
      <c r="U915">
        <v>6</v>
      </c>
      <c r="V915">
        <v>1</v>
      </c>
      <c r="W915">
        <v>1</v>
      </c>
      <c r="X915" t="s">
        <v>40</v>
      </c>
      <c r="Y915">
        <v>3</v>
      </c>
      <c r="Z915">
        <v>40</v>
      </c>
      <c r="AA915">
        <v>5001</v>
      </c>
      <c r="AB915">
        <v>0</v>
      </c>
      <c r="AC915">
        <v>157.88200000000001</v>
      </c>
      <c r="AD915">
        <v>5059</v>
      </c>
      <c r="AH915">
        <v>0</v>
      </c>
      <c r="AI915">
        <v>0</v>
      </c>
      <c r="AL915" t="s">
        <v>40</v>
      </c>
      <c r="AM915" t="str">
        <f t="shared" si="72"/>
        <v>40 5001</v>
      </c>
      <c r="AN915" t="str">
        <f t="shared" si="73"/>
        <v>405497.312,279988.961</v>
      </c>
      <c r="AO915" t="str">
        <f t="shared" si="74"/>
        <v>405512.756,279851.187</v>
      </c>
      <c r="AQ915" t="s">
        <v>2722</v>
      </c>
      <c r="AR915" t="s">
        <v>2724</v>
      </c>
    </row>
    <row r="916" spans="1:44" x14ac:dyDescent="0.3">
      <c r="A916">
        <v>3869</v>
      </c>
      <c r="B916">
        <v>4</v>
      </c>
      <c r="C916">
        <v>4021173</v>
      </c>
      <c r="D916">
        <v>20988</v>
      </c>
      <c r="E916">
        <v>2</v>
      </c>
      <c r="F916">
        <v>670050</v>
      </c>
      <c r="G916" t="s">
        <v>113</v>
      </c>
      <c r="H916" t="s">
        <v>99</v>
      </c>
      <c r="I916">
        <v>0</v>
      </c>
      <c r="J916" s="1">
        <v>405747.22700000001</v>
      </c>
      <c r="K916" s="1">
        <v>278938.435</v>
      </c>
      <c r="L916" s="1">
        <v>405729.92</v>
      </c>
      <c r="M916" s="1">
        <v>278928.40600000002</v>
      </c>
      <c r="N916" t="s">
        <v>40</v>
      </c>
      <c r="P916" t="s">
        <v>40</v>
      </c>
      <c r="Q916">
        <v>0</v>
      </c>
      <c r="R916">
        <v>0</v>
      </c>
      <c r="S916">
        <v>0</v>
      </c>
      <c r="T916">
        <v>6</v>
      </c>
      <c r="U916">
        <v>6</v>
      </c>
      <c r="V916">
        <v>1</v>
      </c>
      <c r="W916">
        <v>1</v>
      </c>
      <c r="X916" t="s">
        <v>40</v>
      </c>
      <c r="Y916">
        <v>3</v>
      </c>
      <c r="Z916">
        <v>52</v>
      </c>
      <c r="AA916">
        <v>1</v>
      </c>
      <c r="AB916">
        <v>0</v>
      </c>
      <c r="AC916">
        <v>20.170000000000002</v>
      </c>
      <c r="AD916">
        <v>5059</v>
      </c>
      <c r="AH916">
        <v>0</v>
      </c>
      <c r="AI916">
        <v>0</v>
      </c>
      <c r="AL916" t="s">
        <v>40</v>
      </c>
      <c r="AM916" t="str">
        <f t="shared" si="72"/>
        <v>52 1</v>
      </c>
      <c r="AN916" t="str">
        <f t="shared" si="73"/>
        <v>405747.227,278938.435</v>
      </c>
      <c r="AO916" t="str">
        <f t="shared" si="74"/>
        <v>405729.92,278928.406</v>
      </c>
      <c r="AQ916" t="s">
        <v>2725</v>
      </c>
      <c r="AR916" t="s">
        <v>2726</v>
      </c>
    </row>
    <row r="917" spans="1:44" x14ac:dyDescent="0.3">
      <c r="A917">
        <v>3869</v>
      </c>
      <c r="B917">
        <v>4</v>
      </c>
      <c r="C917">
        <v>4021262</v>
      </c>
      <c r="D917">
        <v>21158</v>
      </c>
      <c r="E917">
        <v>2</v>
      </c>
      <c r="F917">
        <v>670050</v>
      </c>
      <c r="G917" t="s">
        <v>113</v>
      </c>
      <c r="H917" t="s">
        <v>99</v>
      </c>
      <c r="I917">
        <v>0</v>
      </c>
      <c r="J917" s="1">
        <v>405742.69699999999</v>
      </c>
      <c r="K917" s="1">
        <v>278734.83100000001</v>
      </c>
      <c r="L917" s="1">
        <v>405579.24900000001</v>
      </c>
      <c r="M917" s="1">
        <v>278668.99</v>
      </c>
      <c r="N917" t="s">
        <v>40</v>
      </c>
      <c r="P917" t="s">
        <v>40</v>
      </c>
      <c r="Q917">
        <v>0</v>
      </c>
      <c r="R917">
        <v>0</v>
      </c>
      <c r="S917">
        <v>0</v>
      </c>
      <c r="T917">
        <v>6</v>
      </c>
      <c r="U917">
        <v>6</v>
      </c>
      <c r="V917">
        <v>1</v>
      </c>
      <c r="W917">
        <v>3</v>
      </c>
      <c r="X917" t="s">
        <v>40</v>
      </c>
      <c r="Y917">
        <v>3</v>
      </c>
      <c r="Z917">
        <v>36</v>
      </c>
      <c r="AA917">
        <v>1</v>
      </c>
      <c r="AB917">
        <v>0</v>
      </c>
      <c r="AC917">
        <v>296.55500000000001</v>
      </c>
      <c r="AD917">
        <v>5059</v>
      </c>
      <c r="AH917">
        <v>0</v>
      </c>
      <c r="AI917">
        <v>0</v>
      </c>
      <c r="AL917" t="s">
        <v>40</v>
      </c>
      <c r="AM917" t="str">
        <f t="shared" ref="AM917:AM955" si="75">_xlfn.CONCAT(Z917, " ",AA917)</f>
        <v>36 1</v>
      </c>
      <c r="AN917" s="6" t="s">
        <v>1486</v>
      </c>
      <c r="AO917" s="6" t="s">
        <v>1487</v>
      </c>
      <c r="AQ917" t="s">
        <v>2727</v>
      </c>
      <c r="AR917" t="s">
        <v>2728</v>
      </c>
    </row>
    <row r="918" spans="1:44" x14ac:dyDescent="0.3">
      <c r="A918">
        <v>3869</v>
      </c>
      <c r="B918">
        <v>4</v>
      </c>
      <c r="C918">
        <v>4021269</v>
      </c>
      <c r="D918">
        <v>49919</v>
      </c>
      <c r="E918">
        <v>2</v>
      </c>
      <c r="F918">
        <v>670050</v>
      </c>
      <c r="G918" t="s">
        <v>113</v>
      </c>
      <c r="H918" t="s">
        <v>99</v>
      </c>
      <c r="I918">
        <v>0</v>
      </c>
      <c r="J918" s="1">
        <v>405579.24900000001</v>
      </c>
      <c r="K918" s="1">
        <v>278668.99</v>
      </c>
      <c r="L918" s="1">
        <v>405581.07799999998</v>
      </c>
      <c r="M918" s="1">
        <v>278670.3</v>
      </c>
      <c r="N918" t="s">
        <v>40</v>
      </c>
      <c r="P918" t="s">
        <v>40</v>
      </c>
      <c r="Q918">
        <v>0</v>
      </c>
      <c r="R918">
        <v>0</v>
      </c>
      <c r="S918">
        <v>200309</v>
      </c>
      <c r="T918">
        <v>6</v>
      </c>
      <c r="U918">
        <v>6</v>
      </c>
      <c r="V918">
        <v>1</v>
      </c>
      <c r="W918">
        <v>3</v>
      </c>
      <c r="X918" t="s">
        <v>40</v>
      </c>
      <c r="Y918">
        <v>3</v>
      </c>
      <c r="Z918">
        <v>5017</v>
      </c>
      <c r="AA918">
        <v>1</v>
      </c>
      <c r="AB918">
        <v>0</v>
      </c>
      <c r="AC918">
        <v>3.0150000000000001</v>
      </c>
      <c r="AD918">
        <v>5059</v>
      </c>
      <c r="AH918">
        <v>0</v>
      </c>
      <c r="AI918">
        <v>0</v>
      </c>
      <c r="AL918" t="s">
        <v>40</v>
      </c>
      <c r="AM918" t="str">
        <f t="shared" si="75"/>
        <v>5017 1</v>
      </c>
      <c r="AN918" t="str">
        <f t="shared" si="73"/>
        <v>405579.249,278668.99</v>
      </c>
      <c r="AO918" t="str">
        <f t="shared" si="74"/>
        <v>405581.078,278670.3</v>
      </c>
      <c r="AQ918" t="s">
        <v>2727</v>
      </c>
      <c r="AR918" t="s">
        <v>817</v>
      </c>
    </row>
    <row r="919" spans="1:44" x14ac:dyDescent="0.3">
      <c r="A919">
        <v>3869</v>
      </c>
      <c r="B919">
        <v>4</v>
      </c>
      <c r="C919">
        <v>4021691</v>
      </c>
      <c r="D919">
        <v>19403</v>
      </c>
      <c r="E919">
        <v>2</v>
      </c>
      <c r="F919">
        <v>670050</v>
      </c>
      <c r="G919" t="s">
        <v>113</v>
      </c>
      <c r="H919" t="s">
        <v>99</v>
      </c>
      <c r="I919">
        <v>0</v>
      </c>
      <c r="J919" s="1">
        <v>405235.609</v>
      </c>
      <c r="K919" s="1">
        <v>278167.36200000002</v>
      </c>
      <c r="L919" s="1">
        <v>405205.60100000002</v>
      </c>
      <c r="M919" s="1">
        <v>278205.06099999999</v>
      </c>
      <c r="N919" t="s">
        <v>40</v>
      </c>
      <c r="P919" t="s">
        <v>40</v>
      </c>
      <c r="Q919">
        <v>0</v>
      </c>
      <c r="R919">
        <v>0</v>
      </c>
      <c r="S919">
        <v>0</v>
      </c>
      <c r="T919">
        <v>6</v>
      </c>
      <c r="U919">
        <v>6</v>
      </c>
      <c r="V919">
        <v>1</v>
      </c>
      <c r="W919">
        <v>3</v>
      </c>
      <c r="X919" t="s">
        <v>40</v>
      </c>
      <c r="Y919">
        <v>3</v>
      </c>
      <c r="Z919">
        <v>36</v>
      </c>
      <c r="AA919">
        <v>1</v>
      </c>
      <c r="AB919">
        <v>0</v>
      </c>
      <c r="AC919">
        <v>49.363</v>
      </c>
      <c r="AD919">
        <v>5059</v>
      </c>
      <c r="AH919">
        <v>0</v>
      </c>
      <c r="AI919">
        <v>0</v>
      </c>
      <c r="AL919" t="s">
        <v>40</v>
      </c>
      <c r="AM919" t="str">
        <f t="shared" si="75"/>
        <v>36 1</v>
      </c>
      <c r="AN919" t="str">
        <f t="shared" ref="AN919:AN956" si="76">ROUND(J919,3)&amp;","&amp;ROUND(K919,3)</f>
        <v>405235.609,278167.362</v>
      </c>
      <c r="AO919" t="str">
        <f t="shared" ref="AO919:AO956" si="77">ROUND(L919,3)&amp;","&amp;ROUND(M919,3)</f>
        <v>405205.601,278205.061</v>
      </c>
      <c r="AQ919" t="s">
        <v>2729</v>
      </c>
      <c r="AR919" t="s">
        <v>2730</v>
      </c>
    </row>
    <row r="920" spans="1:44" x14ac:dyDescent="0.3">
      <c r="A920">
        <v>3869</v>
      </c>
      <c r="B920">
        <v>4</v>
      </c>
      <c r="C920">
        <v>4021117</v>
      </c>
      <c r="D920">
        <v>21348</v>
      </c>
      <c r="E920">
        <v>2</v>
      </c>
      <c r="F920">
        <v>670050</v>
      </c>
      <c r="G920" t="s">
        <v>113</v>
      </c>
      <c r="H920" t="s">
        <v>99</v>
      </c>
      <c r="I920">
        <v>0</v>
      </c>
      <c r="J920" s="1">
        <v>405780.80599999998</v>
      </c>
      <c r="K920" s="1">
        <v>279000</v>
      </c>
      <c r="L920" s="1">
        <v>405783.48800000001</v>
      </c>
      <c r="M920" s="1">
        <v>278972.41800000001</v>
      </c>
      <c r="N920" t="s">
        <v>40</v>
      </c>
      <c r="P920" t="s">
        <v>40</v>
      </c>
      <c r="Q920">
        <v>0</v>
      </c>
      <c r="R920">
        <v>0</v>
      </c>
      <c r="S920">
        <v>0</v>
      </c>
      <c r="T920">
        <v>6</v>
      </c>
      <c r="U920">
        <v>6</v>
      </c>
      <c r="V920">
        <v>1</v>
      </c>
      <c r="W920">
        <v>1</v>
      </c>
      <c r="X920" t="s">
        <v>40</v>
      </c>
      <c r="Y920">
        <v>3</v>
      </c>
      <c r="Z920">
        <v>90</v>
      </c>
      <c r="AA920">
        <v>1</v>
      </c>
      <c r="AB920">
        <v>0</v>
      </c>
      <c r="AC920">
        <v>518.53800000000001</v>
      </c>
      <c r="AD920">
        <v>5059</v>
      </c>
      <c r="AH920">
        <v>0</v>
      </c>
      <c r="AI920">
        <v>0</v>
      </c>
      <c r="AL920" t="s">
        <v>40</v>
      </c>
      <c r="AM920" t="str">
        <f t="shared" si="75"/>
        <v>90 1</v>
      </c>
      <c r="AN920" s="6" t="s">
        <v>1545</v>
      </c>
      <c r="AO920" s="6" t="s">
        <v>1532</v>
      </c>
      <c r="AQ920" t="s">
        <v>2731</v>
      </c>
      <c r="AR920" t="s">
        <v>2732</v>
      </c>
    </row>
    <row r="921" spans="1:44" x14ac:dyDescent="0.3">
      <c r="A921">
        <v>3869</v>
      </c>
      <c r="B921">
        <v>4</v>
      </c>
      <c r="C921">
        <v>4011829</v>
      </c>
      <c r="D921">
        <v>31123</v>
      </c>
      <c r="E921">
        <v>2</v>
      </c>
      <c r="F921">
        <v>670050</v>
      </c>
      <c r="G921" t="s">
        <v>113</v>
      </c>
      <c r="H921" t="s">
        <v>45</v>
      </c>
      <c r="I921">
        <v>0</v>
      </c>
      <c r="J921" s="1">
        <v>405908.58</v>
      </c>
      <c r="K921" s="1">
        <v>279517.05599999998</v>
      </c>
      <c r="L921" s="1">
        <v>405907.61099999998</v>
      </c>
      <c r="M921" s="1">
        <v>279519.23100000003</v>
      </c>
      <c r="N921" t="s">
        <v>40</v>
      </c>
      <c r="P921" t="s">
        <v>40</v>
      </c>
      <c r="Q921">
        <v>0</v>
      </c>
      <c r="R921">
        <v>0</v>
      </c>
      <c r="S921">
        <v>0</v>
      </c>
      <c r="T921">
        <v>6</v>
      </c>
      <c r="U921">
        <v>6</v>
      </c>
      <c r="V921">
        <v>1</v>
      </c>
      <c r="W921">
        <v>3</v>
      </c>
      <c r="X921" t="s">
        <v>40</v>
      </c>
      <c r="Y921">
        <v>3</v>
      </c>
      <c r="Z921">
        <v>36</v>
      </c>
      <c r="AA921">
        <v>5001</v>
      </c>
      <c r="AB921">
        <v>0</v>
      </c>
      <c r="AC921">
        <v>3.4950000000000001</v>
      </c>
      <c r="AD921">
        <v>5059</v>
      </c>
      <c r="AH921">
        <v>0</v>
      </c>
      <c r="AI921">
        <v>0</v>
      </c>
      <c r="AL921" t="s">
        <v>40</v>
      </c>
      <c r="AM921" t="str">
        <f t="shared" si="75"/>
        <v>36 5001</v>
      </c>
      <c r="AN921" t="str">
        <f t="shared" si="76"/>
        <v>405908.58,279517.056</v>
      </c>
      <c r="AO921" t="str">
        <f t="shared" si="77"/>
        <v>405907.611,279519.231</v>
      </c>
      <c r="AQ921" t="s">
        <v>2733</v>
      </c>
      <c r="AR921" t="s">
        <v>807</v>
      </c>
    </row>
    <row r="922" spans="1:44" x14ac:dyDescent="0.3">
      <c r="A922">
        <v>3869</v>
      </c>
      <c r="B922">
        <v>4</v>
      </c>
      <c r="C922">
        <v>4011812</v>
      </c>
      <c r="D922">
        <v>11235</v>
      </c>
      <c r="E922">
        <v>2</v>
      </c>
      <c r="F922">
        <v>670050</v>
      </c>
      <c r="G922" t="s">
        <v>113</v>
      </c>
      <c r="H922" t="s">
        <v>45</v>
      </c>
      <c r="I922">
        <v>0</v>
      </c>
      <c r="J922" s="1">
        <v>405598.32799999998</v>
      </c>
      <c r="K922" s="1">
        <v>279370.01</v>
      </c>
      <c r="L922" s="1">
        <v>405601.39799999999</v>
      </c>
      <c r="M922" s="1">
        <v>279368.82</v>
      </c>
      <c r="N922" t="s">
        <v>40</v>
      </c>
      <c r="P922" t="s">
        <v>40</v>
      </c>
      <c r="Q922">
        <v>0</v>
      </c>
      <c r="R922">
        <v>0</v>
      </c>
      <c r="S922">
        <v>0</v>
      </c>
      <c r="T922">
        <v>6</v>
      </c>
      <c r="U922">
        <v>6</v>
      </c>
      <c r="V922">
        <v>1</v>
      </c>
      <c r="W922">
        <v>3</v>
      </c>
      <c r="X922" t="s">
        <v>40</v>
      </c>
      <c r="Y922">
        <v>3</v>
      </c>
      <c r="Z922">
        <v>90</v>
      </c>
      <c r="AA922">
        <v>1</v>
      </c>
      <c r="AB922">
        <v>0</v>
      </c>
      <c r="AC922">
        <v>3.2949999999999999</v>
      </c>
      <c r="AD922">
        <v>5059</v>
      </c>
      <c r="AH922">
        <v>0</v>
      </c>
      <c r="AI922">
        <v>0</v>
      </c>
      <c r="AL922" t="s">
        <v>40</v>
      </c>
      <c r="AM922" t="str">
        <f t="shared" si="75"/>
        <v>90 1</v>
      </c>
      <c r="AN922" t="str">
        <f t="shared" si="76"/>
        <v>405598.328,279370.01</v>
      </c>
      <c r="AO922" t="str">
        <f t="shared" si="77"/>
        <v>405601.398,279368.82</v>
      </c>
      <c r="AQ922" t="s">
        <v>1904</v>
      </c>
      <c r="AR922" t="s">
        <v>2734</v>
      </c>
    </row>
    <row r="923" spans="1:44" x14ac:dyDescent="0.3">
      <c r="A923">
        <v>3869</v>
      </c>
      <c r="B923">
        <v>4</v>
      </c>
      <c r="C923">
        <v>4011811</v>
      </c>
      <c r="D923">
        <v>11551</v>
      </c>
      <c r="E923">
        <v>2</v>
      </c>
      <c r="F923">
        <v>670050</v>
      </c>
      <c r="G923" t="s">
        <v>113</v>
      </c>
      <c r="H923" t="s">
        <v>45</v>
      </c>
      <c r="I923">
        <v>0</v>
      </c>
      <c r="J923" s="1">
        <v>405601.39799999999</v>
      </c>
      <c r="K923" s="1">
        <v>279368.82</v>
      </c>
      <c r="L923" s="1">
        <v>405886.95</v>
      </c>
      <c r="M923" s="1">
        <v>279466.62199999997</v>
      </c>
      <c r="N923" t="s">
        <v>40</v>
      </c>
      <c r="P923" t="s">
        <v>40</v>
      </c>
      <c r="Q923">
        <v>0</v>
      </c>
      <c r="R923">
        <v>0</v>
      </c>
      <c r="S923">
        <v>0</v>
      </c>
      <c r="T923">
        <v>6</v>
      </c>
      <c r="U923">
        <v>6</v>
      </c>
      <c r="V923">
        <v>1</v>
      </c>
      <c r="W923">
        <v>3</v>
      </c>
      <c r="X923" t="s">
        <v>40</v>
      </c>
      <c r="Y923">
        <v>3</v>
      </c>
      <c r="Z923">
        <v>86</v>
      </c>
      <c r="AA923">
        <v>1</v>
      </c>
      <c r="AB923">
        <v>0</v>
      </c>
      <c r="AC923">
        <v>380.20400000000001</v>
      </c>
      <c r="AD923">
        <v>5059</v>
      </c>
      <c r="AH923">
        <v>0</v>
      </c>
      <c r="AI923">
        <v>0</v>
      </c>
      <c r="AL923" t="s">
        <v>40</v>
      </c>
      <c r="AM923" t="str">
        <f t="shared" si="75"/>
        <v>86 1</v>
      </c>
      <c r="AN923" s="6" t="s">
        <v>580</v>
      </c>
      <c r="AO923" s="6" t="s">
        <v>1491</v>
      </c>
      <c r="AQ923" t="s">
        <v>807</v>
      </c>
      <c r="AR923" t="s">
        <v>2734</v>
      </c>
    </row>
    <row r="924" spans="1:44" x14ac:dyDescent="0.3">
      <c r="A924">
        <v>3869</v>
      </c>
      <c r="B924">
        <v>4</v>
      </c>
      <c r="C924">
        <v>4021174</v>
      </c>
      <c r="D924">
        <v>21023</v>
      </c>
      <c r="E924">
        <v>2</v>
      </c>
      <c r="F924">
        <v>670050</v>
      </c>
      <c r="G924" t="s">
        <v>113</v>
      </c>
      <c r="H924" t="s">
        <v>99</v>
      </c>
      <c r="I924">
        <v>0</v>
      </c>
      <c r="J924" s="1">
        <v>405747.22700000001</v>
      </c>
      <c r="K924" s="1">
        <v>278938.435</v>
      </c>
      <c r="L924" s="1">
        <v>405785.73</v>
      </c>
      <c r="M924" s="1">
        <v>278966.96899999998</v>
      </c>
      <c r="N924" t="s">
        <v>40</v>
      </c>
      <c r="P924" t="s">
        <v>40</v>
      </c>
      <c r="Q924">
        <v>0</v>
      </c>
      <c r="R924">
        <v>0</v>
      </c>
      <c r="S924">
        <v>0</v>
      </c>
      <c r="T924">
        <v>6</v>
      </c>
      <c r="U924">
        <v>6</v>
      </c>
      <c r="V924">
        <v>1</v>
      </c>
      <c r="W924">
        <v>1</v>
      </c>
      <c r="X924" t="s">
        <v>40</v>
      </c>
      <c r="Y924">
        <v>3</v>
      </c>
      <c r="Z924">
        <v>38</v>
      </c>
      <c r="AA924">
        <v>5001</v>
      </c>
      <c r="AB924">
        <v>0</v>
      </c>
      <c r="AC924">
        <v>63.709000000000003</v>
      </c>
      <c r="AD924">
        <v>5059</v>
      </c>
      <c r="AH924">
        <v>0</v>
      </c>
      <c r="AI924">
        <v>0</v>
      </c>
      <c r="AL924" t="s">
        <v>40</v>
      </c>
      <c r="AM924" t="str">
        <f t="shared" si="75"/>
        <v>38 5001</v>
      </c>
      <c r="AN924" t="str">
        <f t="shared" si="76"/>
        <v>405747.227,278938.435</v>
      </c>
      <c r="AO924" t="str">
        <f t="shared" si="77"/>
        <v>405785.73,278966.969</v>
      </c>
      <c r="AQ924" t="s">
        <v>2725</v>
      </c>
      <c r="AR924" t="s">
        <v>2735</v>
      </c>
    </row>
    <row r="925" spans="1:44" x14ac:dyDescent="0.3">
      <c r="A925">
        <v>3869</v>
      </c>
      <c r="B925">
        <v>4</v>
      </c>
      <c r="C925">
        <v>4023253</v>
      </c>
      <c r="D925">
        <v>23018</v>
      </c>
      <c r="E925">
        <v>2</v>
      </c>
      <c r="F925">
        <v>670050</v>
      </c>
      <c r="G925" t="s">
        <v>113</v>
      </c>
      <c r="H925" t="s">
        <v>43</v>
      </c>
      <c r="I925">
        <v>0</v>
      </c>
      <c r="J925" s="1">
        <v>405193.12</v>
      </c>
      <c r="K925" s="1">
        <v>280980.23499999999</v>
      </c>
      <c r="L925" s="1">
        <v>405136.18199999997</v>
      </c>
      <c r="M925" s="1">
        <v>280977.32799999998</v>
      </c>
      <c r="N925" t="s">
        <v>40</v>
      </c>
      <c r="P925" t="s">
        <v>40</v>
      </c>
      <c r="Q925">
        <v>0</v>
      </c>
      <c r="R925">
        <v>0</v>
      </c>
      <c r="S925">
        <v>0</v>
      </c>
      <c r="T925">
        <v>6</v>
      </c>
      <c r="U925">
        <v>6</v>
      </c>
      <c r="V925">
        <v>1</v>
      </c>
      <c r="W925">
        <v>1</v>
      </c>
      <c r="X925" t="s">
        <v>40</v>
      </c>
      <c r="Y925">
        <v>3</v>
      </c>
      <c r="Z925">
        <v>92</v>
      </c>
      <c r="AA925">
        <v>99</v>
      </c>
      <c r="AB925">
        <v>0</v>
      </c>
      <c r="AC925">
        <v>60.392000000000003</v>
      </c>
      <c r="AD925">
        <v>5059</v>
      </c>
      <c r="AH925">
        <v>0</v>
      </c>
      <c r="AI925">
        <v>0</v>
      </c>
      <c r="AL925" t="s">
        <v>40</v>
      </c>
      <c r="AM925" t="str">
        <f t="shared" si="75"/>
        <v>92 99</v>
      </c>
      <c r="AN925" t="str">
        <f t="shared" si="76"/>
        <v>405193.12,280980.235</v>
      </c>
      <c r="AO925" t="str">
        <f t="shared" si="77"/>
        <v>405136.182,280977.328</v>
      </c>
      <c r="AQ925" t="s">
        <v>2736</v>
      </c>
      <c r="AR925" t="s">
        <v>1963</v>
      </c>
    </row>
    <row r="926" spans="1:44" x14ac:dyDescent="0.3">
      <c r="A926">
        <v>3869</v>
      </c>
      <c r="B926">
        <v>4</v>
      </c>
      <c r="C926">
        <v>4023266</v>
      </c>
      <c r="D926">
        <v>23010</v>
      </c>
      <c r="E926">
        <v>2</v>
      </c>
      <c r="F926">
        <v>670050</v>
      </c>
      <c r="G926" t="s">
        <v>113</v>
      </c>
      <c r="H926" t="s">
        <v>43</v>
      </c>
      <c r="I926">
        <v>0</v>
      </c>
      <c r="J926" s="1">
        <v>405275.93400000001</v>
      </c>
      <c r="K926" s="1">
        <v>280974.91899999999</v>
      </c>
      <c r="L926" s="1">
        <v>405193.12</v>
      </c>
      <c r="M926" s="1">
        <v>280980.23499999999</v>
      </c>
      <c r="N926" t="s">
        <v>40</v>
      </c>
      <c r="P926" t="s">
        <v>40</v>
      </c>
      <c r="Q926">
        <v>0</v>
      </c>
      <c r="R926">
        <v>0</v>
      </c>
      <c r="S926">
        <v>0</v>
      </c>
      <c r="T926">
        <v>6</v>
      </c>
      <c r="U926">
        <v>6</v>
      </c>
      <c r="V926">
        <v>1</v>
      </c>
      <c r="W926">
        <v>1</v>
      </c>
      <c r="X926" t="s">
        <v>40</v>
      </c>
      <c r="Y926">
        <v>3</v>
      </c>
      <c r="Z926">
        <v>92</v>
      </c>
      <c r="AA926">
        <v>1</v>
      </c>
      <c r="AB926">
        <v>0</v>
      </c>
      <c r="AC926">
        <v>456.68799999999999</v>
      </c>
      <c r="AD926">
        <v>5059</v>
      </c>
      <c r="AH926">
        <v>0</v>
      </c>
      <c r="AI926">
        <v>0</v>
      </c>
      <c r="AL926" t="s">
        <v>40</v>
      </c>
      <c r="AM926" t="str">
        <f t="shared" si="75"/>
        <v>92 1</v>
      </c>
      <c r="AN926" s="6" t="s">
        <v>1493</v>
      </c>
      <c r="AO926" s="6" t="s">
        <v>1492</v>
      </c>
      <c r="AQ926" t="s">
        <v>2737</v>
      </c>
      <c r="AR926" t="s">
        <v>2736</v>
      </c>
    </row>
    <row r="927" spans="1:44" x14ac:dyDescent="0.3">
      <c r="A927">
        <v>3869</v>
      </c>
      <c r="B927">
        <v>4</v>
      </c>
      <c r="C927">
        <v>4021710</v>
      </c>
      <c r="D927">
        <v>50069</v>
      </c>
      <c r="E927">
        <v>2</v>
      </c>
      <c r="F927">
        <v>670050</v>
      </c>
      <c r="G927" t="s">
        <v>113</v>
      </c>
      <c r="H927" t="s">
        <v>99</v>
      </c>
      <c r="I927">
        <v>0</v>
      </c>
      <c r="J927" s="1">
        <v>405322.47499999998</v>
      </c>
      <c r="K927" s="1">
        <v>278127.52299999999</v>
      </c>
      <c r="L927" s="1">
        <v>405334.40899999999</v>
      </c>
      <c r="M927" s="1">
        <v>278128.31900000002</v>
      </c>
      <c r="N927" t="s">
        <v>40</v>
      </c>
      <c r="P927" t="s">
        <v>40</v>
      </c>
      <c r="Q927">
        <v>0</v>
      </c>
      <c r="R927">
        <v>0</v>
      </c>
      <c r="S927">
        <v>0</v>
      </c>
      <c r="T927">
        <v>6</v>
      </c>
      <c r="U927">
        <v>6</v>
      </c>
      <c r="V927">
        <v>1</v>
      </c>
      <c r="W927">
        <v>3</v>
      </c>
      <c r="X927" t="s">
        <v>40</v>
      </c>
      <c r="Y927">
        <v>3</v>
      </c>
      <c r="Z927">
        <v>38</v>
      </c>
      <c r="AA927">
        <v>1</v>
      </c>
      <c r="AB927">
        <v>0</v>
      </c>
      <c r="AC927">
        <v>11.961</v>
      </c>
      <c r="AD927">
        <v>5059</v>
      </c>
      <c r="AH927">
        <v>0</v>
      </c>
      <c r="AI927">
        <v>0</v>
      </c>
      <c r="AL927" t="s">
        <v>40</v>
      </c>
      <c r="AM927" t="str">
        <f t="shared" si="75"/>
        <v>38 1</v>
      </c>
      <c r="AN927" t="str">
        <f t="shared" si="76"/>
        <v>405322.475,278127.523</v>
      </c>
      <c r="AO927" t="str">
        <f t="shared" si="77"/>
        <v>405334.409,278128.319</v>
      </c>
      <c r="AQ927" t="s">
        <v>2738</v>
      </c>
      <c r="AR927" t="s">
        <v>814</v>
      </c>
    </row>
    <row r="928" spans="1:44" x14ac:dyDescent="0.3">
      <c r="A928">
        <v>3869</v>
      </c>
      <c r="B928">
        <v>4</v>
      </c>
      <c r="C928">
        <v>4011750</v>
      </c>
      <c r="D928">
        <v>10880</v>
      </c>
      <c r="E928">
        <v>2</v>
      </c>
      <c r="F928">
        <v>670050</v>
      </c>
      <c r="G928" t="s">
        <v>113</v>
      </c>
      <c r="H928" t="s">
        <v>45</v>
      </c>
      <c r="I928">
        <v>0</v>
      </c>
      <c r="J928" s="1">
        <v>405539.76299999998</v>
      </c>
      <c r="K928" s="1">
        <v>279766.71899999998</v>
      </c>
      <c r="L928" s="1">
        <v>405512.75599999999</v>
      </c>
      <c r="M928" s="1">
        <v>279851.18699999998</v>
      </c>
      <c r="N928" t="s">
        <v>40</v>
      </c>
      <c r="P928" t="s">
        <v>40</v>
      </c>
      <c r="Q928">
        <v>0</v>
      </c>
      <c r="R928">
        <v>0</v>
      </c>
      <c r="S928">
        <v>0</v>
      </c>
      <c r="T928">
        <v>6</v>
      </c>
      <c r="U928">
        <v>6</v>
      </c>
      <c r="V928">
        <v>1</v>
      </c>
      <c r="W928">
        <v>1</v>
      </c>
      <c r="X928" t="s">
        <v>40</v>
      </c>
      <c r="Y928">
        <v>3</v>
      </c>
      <c r="Z928">
        <v>40</v>
      </c>
      <c r="AA928">
        <v>1</v>
      </c>
      <c r="AB928">
        <v>0</v>
      </c>
      <c r="AC928">
        <v>89.037000000000006</v>
      </c>
      <c r="AD928">
        <v>5059</v>
      </c>
      <c r="AH928">
        <v>0</v>
      </c>
      <c r="AI928">
        <v>0</v>
      </c>
      <c r="AL928" t="s">
        <v>40</v>
      </c>
      <c r="AM928" t="str">
        <f t="shared" si="75"/>
        <v>40 1</v>
      </c>
      <c r="AN928" t="str">
        <f t="shared" si="76"/>
        <v>405539.763,279766.719</v>
      </c>
      <c r="AO928" t="str">
        <f t="shared" si="77"/>
        <v>405512.756,279851.187</v>
      </c>
      <c r="AQ928" t="s">
        <v>2739</v>
      </c>
      <c r="AR928" t="s">
        <v>2724</v>
      </c>
    </row>
    <row r="929" spans="1:44" x14ac:dyDescent="0.3">
      <c r="A929">
        <v>3869</v>
      </c>
      <c r="B929">
        <v>4</v>
      </c>
      <c r="C929">
        <v>4023285</v>
      </c>
      <c r="D929">
        <v>21985</v>
      </c>
      <c r="E929">
        <v>2</v>
      </c>
      <c r="F929">
        <v>670050</v>
      </c>
      <c r="G929" t="s">
        <v>113</v>
      </c>
      <c r="H929" t="s">
        <v>43</v>
      </c>
      <c r="I929">
        <v>0</v>
      </c>
      <c r="J929" s="1">
        <v>405342.01400000002</v>
      </c>
      <c r="K929" s="1">
        <v>280602.49400000001</v>
      </c>
      <c r="L929" s="1">
        <v>405329.76899999997</v>
      </c>
      <c r="M929" s="1">
        <v>280615.26400000002</v>
      </c>
      <c r="N929" t="s">
        <v>40</v>
      </c>
      <c r="P929" t="s">
        <v>40</v>
      </c>
      <c r="Q929">
        <v>0</v>
      </c>
      <c r="R929">
        <v>0</v>
      </c>
      <c r="S929">
        <v>0</v>
      </c>
      <c r="T929">
        <v>6</v>
      </c>
      <c r="U929">
        <v>6</v>
      </c>
      <c r="V929">
        <v>1</v>
      </c>
      <c r="W929">
        <v>1</v>
      </c>
      <c r="X929" t="s">
        <v>40</v>
      </c>
      <c r="Y929">
        <v>3</v>
      </c>
      <c r="Z929">
        <v>40</v>
      </c>
      <c r="AA929">
        <v>1</v>
      </c>
      <c r="AB929">
        <v>0</v>
      </c>
      <c r="AC929">
        <v>23.238</v>
      </c>
      <c r="AD929">
        <v>5059</v>
      </c>
      <c r="AH929">
        <v>0</v>
      </c>
      <c r="AI929">
        <v>0</v>
      </c>
      <c r="AL929" t="s">
        <v>40</v>
      </c>
      <c r="AM929" t="str">
        <f t="shared" si="75"/>
        <v>40 1</v>
      </c>
      <c r="AN929" t="str">
        <f t="shared" si="76"/>
        <v>405342.014,280602.494</v>
      </c>
      <c r="AO929" t="str">
        <f t="shared" si="77"/>
        <v>405329.769,280615.264</v>
      </c>
      <c r="AQ929" t="s">
        <v>2740</v>
      </c>
      <c r="AR929" t="s">
        <v>2737</v>
      </c>
    </row>
    <row r="930" spans="1:44" x14ac:dyDescent="0.3">
      <c r="A930">
        <v>3869</v>
      </c>
      <c r="B930">
        <v>4</v>
      </c>
      <c r="C930">
        <v>4011759</v>
      </c>
      <c r="D930">
        <v>11566</v>
      </c>
      <c r="E930">
        <v>2</v>
      </c>
      <c r="F930">
        <v>670050</v>
      </c>
      <c r="G930" t="s">
        <v>113</v>
      </c>
      <c r="H930" t="s">
        <v>45</v>
      </c>
      <c r="I930">
        <v>0</v>
      </c>
      <c r="J930" s="1">
        <v>405588.571</v>
      </c>
      <c r="K930" s="1">
        <v>279428.39500000002</v>
      </c>
      <c r="L930" s="1">
        <v>405564.42099999997</v>
      </c>
      <c r="M930" s="1">
        <v>279565.00900000002</v>
      </c>
      <c r="N930" t="s">
        <v>40</v>
      </c>
      <c r="P930" t="s">
        <v>40</v>
      </c>
      <c r="Q930">
        <v>0</v>
      </c>
      <c r="R930">
        <v>0</v>
      </c>
      <c r="S930">
        <v>0</v>
      </c>
      <c r="T930">
        <v>6</v>
      </c>
      <c r="U930">
        <v>6</v>
      </c>
      <c r="V930">
        <v>1</v>
      </c>
      <c r="W930">
        <v>1</v>
      </c>
      <c r="X930" t="s">
        <v>40</v>
      </c>
      <c r="Y930">
        <v>3</v>
      </c>
      <c r="Z930">
        <v>38</v>
      </c>
      <c r="AA930">
        <v>5001</v>
      </c>
      <c r="AB930">
        <v>0</v>
      </c>
      <c r="AC930">
        <v>147.172</v>
      </c>
      <c r="AD930">
        <v>5059</v>
      </c>
      <c r="AH930">
        <v>0</v>
      </c>
      <c r="AI930">
        <v>0</v>
      </c>
      <c r="AL930" t="s">
        <v>40</v>
      </c>
      <c r="AM930" t="str">
        <f t="shared" si="75"/>
        <v>38 5001</v>
      </c>
      <c r="AN930" t="str">
        <f t="shared" si="76"/>
        <v>405588.571,279428.395</v>
      </c>
      <c r="AO930" t="str">
        <f t="shared" si="77"/>
        <v>405564.421,279565.009</v>
      </c>
      <c r="AQ930" t="s">
        <v>2741</v>
      </c>
      <c r="AR930" t="s">
        <v>2742</v>
      </c>
    </row>
    <row r="931" spans="1:44" x14ac:dyDescent="0.3">
      <c r="A931">
        <v>3869</v>
      </c>
      <c r="B931">
        <v>4</v>
      </c>
      <c r="C931">
        <v>4023308</v>
      </c>
      <c r="D931">
        <v>21936</v>
      </c>
      <c r="E931">
        <v>2</v>
      </c>
      <c r="F931">
        <v>670050</v>
      </c>
      <c r="G931" t="s">
        <v>113</v>
      </c>
      <c r="H931" t="s">
        <v>43</v>
      </c>
      <c r="I931">
        <v>0</v>
      </c>
      <c r="J931" s="1">
        <v>405429.12099999998</v>
      </c>
      <c r="K931" s="1">
        <v>280609.859</v>
      </c>
      <c r="L931" s="1">
        <v>405453.73200000002</v>
      </c>
      <c r="M931" s="1">
        <v>280386.90899999999</v>
      </c>
      <c r="N931" t="s">
        <v>40</v>
      </c>
      <c r="P931" t="s">
        <v>40</v>
      </c>
      <c r="Q931">
        <v>0</v>
      </c>
      <c r="R931">
        <v>0</v>
      </c>
      <c r="S931">
        <v>0</v>
      </c>
      <c r="T931">
        <v>6</v>
      </c>
      <c r="U931">
        <v>6</v>
      </c>
      <c r="V931">
        <v>1</v>
      </c>
      <c r="W931">
        <v>1</v>
      </c>
      <c r="X931" t="s">
        <v>40</v>
      </c>
      <c r="Y931">
        <v>3</v>
      </c>
      <c r="Z931">
        <v>92</v>
      </c>
      <c r="AA931">
        <v>1</v>
      </c>
      <c r="AB931">
        <v>0</v>
      </c>
      <c r="AC931">
        <v>316.55700000000002</v>
      </c>
      <c r="AD931">
        <v>5059</v>
      </c>
      <c r="AH931">
        <v>0</v>
      </c>
      <c r="AI931">
        <v>0</v>
      </c>
      <c r="AL931" t="s">
        <v>40</v>
      </c>
      <c r="AM931" t="str">
        <f t="shared" si="75"/>
        <v>92 1</v>
      </c>
      <c r="AN931" s="6" t="s">
        <v>1498</v>
      </c>
      <c r="AO931" s="6" t="s">
        <v>1496</v>
      </c>
      <c r="AQ931" t="s">
        <v>2743</v>
      </c>
      <c r="AR931" t="s">
        <v>2740</v>
      </c>
    </row>
    <row r="932" spans="1:44" x14ac:dyDescent="0.3">
      <c r="A932">
        <v>3869</v>
      </c>
      <c r="B932">
        <v>4</v>
      </c>
      <c r="C932">
        <v>4023322</v>
      </c>
      <c r="D932">
        <v>21694</v>
      </c>
      <c r="E932">
        <v>2</v>
      </c>
      <c r="F932">
        <v>670050</v>
      </c>
      <c r="G932" t="s">
        <v>113</v>
      </c>
      <c r="H932" t="s">
        <v>43</v>
      </c>
      <c r="I932">
        <v>0</v>
      </c>
      <c r="J932" s="1">
        <v>405453.73200000002</v>
      </c>
      <c r="K932" s="1">
        <v>280386.90899999999</v>
      </c>
      <c r="L932" s="1">
        <v>405453.701</v>
      </c>
      <c r="M932" s="1">
        <v>280382.93599999999</v>
      </c>
      <c r="N932" t="s">
        <v>40</v>
      </c>
      <c r="P932" t="s">
        <v>40</v>
      </c>
      <c r="Q932">
        <v>0</v>
      </c>
      <c r="R932">
        <v>0</v>
      </c>
      <c r="S932">
        <v>200008</v>
      </c>
      <c r="T932">
        <v>6</v>
      </c>
      <c r="U932">
        <v>6</v>
      </c>
      <c r="V932">
        <v>1</v>
      </c>
      <c r="W932">
        <v>1</v>
      </c>
      <c r="X932" t="s">
        <v>40</v>
      </c>
      <c r="Y932">
        <v>3</v>
      </c>
      <c r="Z932">
        <v>5030</v>
      </c>
      <c r="AA932">
        <v>1</v>
      </c>
      <c r="AB932">
        <v>0</v>
      </c>
      <c r="AC932">
        <v>3.9740000000000002</v>
      </c>
      <c r="AD932">
        <v>5059</v>
      </c>
      <c r="AH932">
        <v>0</v>
      </c>
      <c r="AI932">
        <v>0</v>
      </c>
      <c r="AL932" t="s">
        <v>40</v>
      </c>
      <c r="AM932" t="str">
        <f t="shared" si="75"/>
        <v>5030 1</v>
      </c>
      <c r="AN932" t="str">
        <f t="shared" si="76"/>
        <v>405453.732,280386.909</v>
      </c>
      <c r="AO932" t="str">
        <f t="shared" si="77"/>
        <v>405453.701,280382.936</v>
      </c>
      <c r="AQ932" t="s">
        <v>2743</v>
      </c>
      <c r="AR932" t="s">
        <v>2723</v>
      </c>
    </row>
    <row r="933" spans="1:44" x14ac:dyDescent="0.3">
      <c r="A933">
        <v>3869</v>
      </c>
      <c r="B933">
        <v>4</v>
      </c>
      <c r="C933">
        <v>4011806</v>
      </c>
      <c r="D933">
        <v>11557</v>
      </c>
      <c r="E933">
        <v>2</v>
      </c>
      <c r="F933">
        <v>670050</v>
      </c>
      <c r="G933" t="s">
        <v>113</v>
      </c>
      <c r="H933" t="s">
        <v>45</v>
      </c>
      <c r="I933">
        <v>0</v>
      </c>
      <c r="J933" s="1">
        <v>405604.74300000002</v>
      </c>
      <c r="K933" s="1">
        <v>279368.38900000002</v>
      </c>
      <c r="L933" s="1">
        <v>405754.29200000002</v>
      </c>
      <c r="M933" s="1">
        <v>279315.66499999998</v>
      </c>
      <c r="N933" t="s">
        <v>40</v>
      </c>
      <c r="P933" t="s">
        <v>40</v>
      </c>
      <c r="Q933">
        <v>0</v>
      </c>
      <c r="R933">
        <v>0</v>
      </c>
      <c r="S933">
        <v>0</v>
      </c>
      <c r="T933">
        <v>6</v>
      </c>
      <c r="U933">
        <v>6</v>
      </c>
      <c r="V933">
        <v>1</v>
      </c>
      <c r="W933">
        <v>1</v>
      </c>
      <c r="X933" t="s">
        <v>40</v>
      </c>
      <c r="Y933">
        <v>3</v>
      </c>
      <c r="Z933">
        <v>90</v>
      </c>
      <c r="AA933">
        <v>1</v>
      </c>
      <c r="AB933">
        <v>0</v>
      </c>
      <c r="AC933">
        <v>220.93100000000001</v>
      </c>
      <c r="AD933">
        <v>5059</v>
      </c>
      <c r="AH933">
        <v>0</v>
      </c>
      <c r="AI933">
        <v>0</v>
      </c>
      <c r="AL933" t="s">
        <v>40</v>
      </c>
      <c r="AM933" t="str">
        <f t="shared" si="75"/>
        <v>90 1</v>
      </c>
      <c r="AN933" t="str">
        <f t="shared" si="76"/>
        <v>405604.743,279368.389</v>
      </c>
      <c r="AO933" t="str">
        <f t="shared" si="77"/>
        <v>405754.292,279315.665</v>
      </c>
      <c r="AQ933" t="s">
        <v>2744</v>
      </c>
      <c r="AR933" t="s">
        <v>2745</v>
      </c>
    </row>
    <row r="934" spans="1:44" x14ac:dyDescent="0.3">
      <c r="A934">
        <v>3869</v>
      </c>
      <c r="B934">
        <v>4</v>
      </c>
      <c r="C934">
        <v>4011774</v>
      </c>
      <c r="D934">
        <v>11254</v>
      </c>
      <c r="E934">
        <v>2</v>
      </c>
      <c r="F934">
        <v>670050</v>
      </c>
      <c r="G934" t="s">
        <v>113</v>
      </c>
      <c r="H934" t="s">
        <v>45</v>
      </c>
      <c r="I934">
        <v>0</v>
      </c>
      <c r="J934" s="1">
        <v>405591.81699999998</v>
      </c>
      <c r="K934" s="1">
        <v>279396.98100000003</v>
      </c>
      <c r="L934" s="1">
        <v>405598.32799999998</v>
      </c>
      <c r="M934" s="1">
        <v>279370.01</v>
      </c>
      <c r="N934" t="s">
        <v>40</v>
      </c>
      <c r="P934" t="s">
        <v>40</v>
      </c>
      <c r="Q934">
        <v>0</v>
      </c>
      <c r="R934">
        <v>0</v>
      </c>
      <c r="S934">
        <v>0</v>
      </c>
      <c r="T934">
        <v>6</v>
      </c>
      <c r="U934">
        <v>6</v>
      </c>
      <c r="V934">
        <v>1</v>
      </c>
      <c r="W934">
        <v>1</v>
      </c>
      <c r="X934" t="s">
        <v>40</v>
      </c>
      <c r="Y934">
        <v>3</v>
      </c>
      <c r="Z934">
        <v>86</v>
      </c>
      <c r="AA934">
        <v>1</v>
      </c>
      <c r="AB934">
        <v>0</v>
      </c>
      <c r="AC934">
        <v>60.662999999999997</v>
      </c>
      <c r="AD934">
        <v>5059</v>
      </c>
      <c r="AH934">
        <v>0</v>
      </c>
      <c r="AI934">
        <v>0</v>
      </c>
      <c r="AL934" t="s">
        <v>40</v>
      </c>
      <c r="AM934" t="str">
        <f t="shared" si="75"/>
        <v>86 1</v>
      </c>
      <c r="AN934" s="6" t="s">
        <v>1490</v>
      </c>
      <c r="AO934" s="6" t="s">
        <v>1497</v>
      </c>
      <c r="AQ934" t="s">
        <v>1904</v>
      </c>
      <c r="AR934" t="s">
        <v>2741</v>
      </c>
    </row>
    <row r="935" spans="1:44" x14ac:dyDescent="0.3">
      <c r="A935">
        <v>3869</v>
      </c>
      <c r="B935">
        <v>4</v>
      </c>
      <c r="C935">
        <v>4021964</v>
      </c>
      <c r="D935">
        <v>21704</v>
      </c>
      <c r="E935">
        <v>2</v>
      </c>
      <c r="F935">
        <v>670050</v>
      </c>
      <c r="G935" t="s">
        <v>113</v>
      </c>
      <c r="H935" t="s">
        <v>99</v>
      </c>
      <c r="I935">
        <v>0</v>
      </c>
      <c r="J935" s="1">
        <v>405268.08899999998</v>
      </c>
      <c r="K935" s="1">
        <v>278914.37699999998</v>
      </c>
      <c r="L935" s="1">
        <v>405187.91</v>
      </c>
      <c r="M935" s="1">
        <v>278886.02799999999</v>
      </c>
      <c r="N935" t="s">
        <v>40</v>
      </c>
      <c r="P935" t="s">
        <v>40</v>
      </c>
      <c r="Q935">
        <v>0</v>
      </c>
      <c r="R935">
        <v>0</v>
      </c>
      <c r="S935">
        <v>0</v>
      </c>
      <c r="T935">
        <v>6</v>
      </c>
      <c r="U935">
        <v>6</v>
      </c>
      <c r="V935">
        <v>1</v>
      </c>
      <c r="W935">
        <v>2</v>
      </c>
      <c r="X935" t="s">
        <v>40</v>
      </c>
      <c r="Y935">
        <v>3</v>
      </c>
      <c r="Z935">
        <v>90</v>
      </c>
      <c r="AA935">
        <v>1</v>
      </c>
      <c r="AB935">
        <v>0</v>
      </c>
      <c r="AC935">
        <v>267.47500000000002</v>
      </c>
      <c r="AD935">
        <v>5059</v>
      </c>
      <c r="AH935">
        <v>0</v>
      </c>
      <c r="AI935">
        <v>0</v>
      </c>
      <c r="AL935" t="s">
        <v>40</v>
      </c>
      <c r="AM935" t="str">
        <f t="shared" si="75"/>
        <v>90 1</v>
      </c>
      <c r="AN935" s="6" t="s">
        <v>1791</v>
      </c>
      <c r="AO935" s="6" t="s">
        <v>1524</v>
      </c>
      <c r="AQ935" t="s">
        <v>2746</v>
      </c>
      <c r="AR935" t="s">
        <v>2747</v>
      </c>
    </row>
    <row r="936" spans="1:44" x14ac:dyDescent="0.3">
      <c r="A936">
        <v>3869</v>
      </c>
      <c r="B936">
        <v>4</v>
      </c>
      <c r="C936">
        <v>4021676</v>
      </c>
      <c r="D936">
        <v>19478</v>
      </c>
      <c r="E936">
        <v>2</v>
      </c>
      <c r="F936">
        <v>670050</v>
      </c>
      <c r="G936" t="s">
        <v>113</v>
      </c>
      <c r="H936" t="s">
        <v>99</v>
      </c>
      <c r="I936">
        <v>0</v>
      </c>
      <c r="J936" s="1">
        <v>405192.71799999999</v>
      </c>
      <c r="K936" s="1">
        <v>278280.60600000003</v>
      </c>
      <c r="L936" s="1">
        <v>405246.50099999999</v>
      </c>
      <c r="M936" s="1">
        <v>278303.05300000001</v>
      </c>
      <c r="N936" t="s">
        <v>40</v>
      </c>
      <c r="P936" t="s">
        <v>40</v>
      </c>
      <c r="Q936">
        <v>0</v>
      </c>
      <c r="R936">
        <v>0</v>
      </c>
      <c r="S936">
        <v>0</v>
      </c>
      <c r="T936">
        <v>6</v>
      </c>
      <c r="U936">
        <v>6</v>
      </c>
      <c r="V936">
        <v>1</v>
      </c>
      <c r="W936">
        <v>3</v>
      </c>
      <c r="X936" t="s">
        <v>40</v>
      </c>
      <c r="Y936">
        <v>3</v>
      </c>
      <c r="Z936">
        <v>86</v>
      </c>
      <c r="AA936">
        <v>1</v>
      </c>
      <c r="AB936">
        <v>0</v>
      </c>
      <c r="AC936">
        <v>169.28</v>
      </c>
      <c r="AD936">
        <v>5059</v>
      </c>
      <c r="AH936">
        <v>0</v>
      </c>
      <c r="AI936">
        <v>0</v>
      </c>
      <c r="AL936" t="s">
        <v>40</v>
      </c>
      <c r="AM936" t="str">
        <f t="shared" si="75"/>
        <v>86 1</v>
      </c>
      <c r="AN936" s="6" t="s">
        <v>1512</v>
      </c>
      <c r="AO936" s="6" t="s">
        <v>1523</v>
      </c>
      <c r="AQ936" t="s">
        <v>2730</v>
      </c>
      <c r="AR936" t="s">
        <v>2748</v>
      </c>
    </row>
    <row r="937" spans="1:44" x14ac:dyDescent="0.3">
      <c r="A937">
        <v>3869</v>
      </c>
      <c r="B937">
        <v>4</v>
      </c>
      <c r="C937">
        <v>4021705</v>
      </c>
      <c r="D937">
        <v>19820</v>
      </c>
      <c r="E937">
        <v>2</v>
      </c>
      <c r="F937">
        <v>670050</v>
      </c>
      <c r="G937" t="s">
        <v>113</v>
      </c>
      <c r="H937" t="s">
        <v>99</v>
      </c>
      <c r="I937">
        <v>0</v>
      </c>
      <c r="J937" s="1">
        <v>405235.609</v>
      </c>
      <c r="K937" s="1">
        <v>278167.36200000002</v>
      </c>
      <c r="L937" s="1">
        <v>405322.47499999998</v>
      </c>
      <c r="M937" s="1">
        <v>278127.52299999999</v>
      </c>
      <c r="N937" t="s">
        <v>40</v>
      </c>
      <c r="P937" t="s">
        <v>40</v>
      </c>
      <c r="Q937">
        <v>0</v>
      </c>
      <c r="R937">
        <v>0</v>
      </c>
      <c r="S937">
        <v>0</v>
      </c>
      <c r="T937">
        <v>6</v>
      </c>
      <c r="U937">
        <v>6</v>
      </c>
      <c r="V937">
        <v>1</v>
      </c>
      <c r="W937">
        <v>3</v>
      </c>
      <c r="X937" t="s">
        <v>40</v>
      </c>
      <c r="Y937">
        <v>3</v>
      </c>
      <c r="Z937">
        <v>86</v>
      </c>
      <c r="AA937">
        <v>1</v>
      </c>
      <c r="AB937">
        <v>0</v>
      </c>
      <c r="AC937">
        <v>127.31</v>
      </c>
      <c r="AD937">
        <v>5059</v>
      </c>
      <c r="AH937">
        <v>0</v>
      </c>
      <c r="AI937">
        <v>0</v>
      </c>
      <c r="AL937" t="s">
        <v>40</v>
      </c>
      <c r="AM937" t="str">
        <f t="shared" si="75"/>
        <v>86 1</v>
      </c>
      <c r="AN937" t="str">
        <f t="shared" si="76"/>
        <v>405235.609,278167.362</v>
      </c>
      <c r="AO937" t="str">
        <f t="shared" si="77"/>
        <v>405322.475,278127.523</v>
      </c>
      <c r="AQ937" t="s">
        <v>2729</v>
      </c>
      <c r="AR937" t="s">
        <v>2738</v>
      </c>
    </row>
    <row r="938" spans="1:44" x14ac:dyDescent="0.3">
      <c r="A938">
        <v>3869</v>
      </c>
      <c r="B938">
        <v>4</v>
      </c>
      <c r="C938">
        <v>4021398</v>
      </c>
      <c r="D938">
        <v>49955</v>
      </c>
      <c r="E938">
        <v>2</v>
      </c>
      <c r="F938">
        <v>670050</v>
      </c>
      <c r="G938" t="s">
        <v>113</v>
      </c>
      <c r="H938" t="s">
        <v>99</v>
      </c>
      <c r="I938">
        <v>0</v>
      </c>
      <c r="J938" s="1">
        <v>405688.93199999997</v>
      </c>
      <c r="K938" s="1">
        <v>278208.99599999998</v>
      </c>
      <c r="L938" s="1">
        <v>405690.41499999998</v>
      </c>
      <c r="M938" s="1">
        <v>278207.89600000001</v>
      </c>
      <c r="N938" t="s">
        <v>40</v>
      </c>
      <c r="P938" t="s">
        <v>40</v>
      </c>
      <c r="Q938">
        <v>0</v>
      </c>
      <c r="R938">
        <v>0</v>
      </c>
      <c r="S938">
        <v>200710</v>
      </c>
      <c r="T938">
        <v>6</v>
      </c>
      <c r="U938">
        <v>6</v>
      </c>
      <c r="V938">
        <v>1</v>
      </c>
      <c r="W938">
        <v>2</v>
      </c>
      <c r="X938" t="s">
        <v>40</v>
      </c>
      <c r="Y938">
        <v>3</v>
      </c>
      <c r="Z938">
        <v>5023</v>
      </c>
      <c r="AA938">
        <v>1</v>
      </c>
      <c r="AB938">
        <v>0</v>
      </c>
      <c r="AC938">
        <v>1.849</v>
      </c>
      <c r="AD938">
        <v>5059</v>
      </c>
      <c r="AH938">
        <v>0</v>
      </c>
      <c r="AI938">
        <v>0</v>
      </c>
      <c r="AL938" t="s">
        <v>40</v>
      </c>
      <c r="AM938" t="str">
        <f t="shared" si="75"/>
        <v>5023 1</v>
      </c>
      <c r="AN938" t="str">
        <f t="shared" si="76"/>
        <v>405688.932,278208.996</v>
      </c>
      <c r="AO938" t="str">
        <f t="shared" si="77"/>
        <v>405690.415,278207.896</v>
      </c>
      <c r="AQ938" t="s">
        <v>2749</v>
      </c>
      <c r="AR938" t="s">
        <v>820</v>
      </c>
    </row>
    <row r="939" spans="1:44" x14ac:dyDescent="0.3">
      <c r="A939">
        <v>3869</v>
      </c>
      <c r="B939">
        <v>4</v>
      </c>
      <c r="C939">
        <v>4021343</v>
      </c>
      <c r="D939">
        <v>20190</v>
      </c>
      <c r="E939">
        <v>2</v>
      </c>
      <c r="F939">
        <v>670050</v>
      </c>
      <c r="G939" t="s">
        <v>113</v>
      </c>
      <c r="H939" t="s">
        <v>99</v>
      </c>
      <c r="I939">
        <v>0</v>
      </c>
      <c r="J939" s="1">
        <v>405789.06900000002</v>
      </c>
      <c r="K939" s="1">
        <v>278535.52899999998</v>
      </c>
      <c r="L939" s="1">
        <v>405848.23499999999</v>
      </c>
      <c r="M939" s="1">
        <v>278524.54800000001</v>
      </c>
      <c r="N939" t="s">
        <v>40</v>
      </c>
      <c r="P939" t="s">
        <v>40</v>
      </c>
      <c r="Q939">
        <v>0</v>
      </c>
      <c r="R939">
        <v>0</v>
      </c>
      <c r="S939">
        <v>0</v>
      </c>
      <c r="T939">
        <v>6</v>
      </c>
      <c r="U939">
        <v>6</v>
      </c>
      <c r="V939">
        <v>1</v>
      </c>
      <c r="W939">
        <v>3</v>
      </c>
      <c r="X939" t="s">
        <v>40</v>
      </c>
      <c r="Y939">
        <v>3</v>
      </c>
      <c r="Z939">
        <v>36</v>
      </c>
      <c r="AA939">
        <v>5001</v>
      </c>
      <c r="AB939">
        <v>0</v>
      </c>
      <c r="AC939">
        <v>249.80100000000002</v>
      </c>
      <c r="AD939">
        <v>5059</v>
      </c>
      <c r="AH939">
        <v>0</v>
      </c>
      <c r="AI939">
        <v>0</v>
      </c>
      <c r="AL939" t="s">
        <v>40</v>
      </c>
      <c r="AM939" t="str">
        <f t="shared" si="75"/>
        <v>36 5001</v>
      </c>
      <c r="AN939" s="6" t="s">
        <v>598</v>
      </c>
      <c r="AO939" s="6" t="s">
        <v>1502</v>
      </c>
      <c r="AQ939" t="s">
        <v>812</v>
      </c>
      <c r="AR939" t="s">
        <v>2750</v>
      </c>
    </row>
    <row r="940" spans="1:44" x14ac:dyDescent="0.3">
      <c r="A940">
        <v>3869</v>
      </c>
      <c r="B940">
        <v>4</v>
      </c>
      <c r="C940">
        <v>4021542</v>
      </c>
      <c r="D940">
        <v>19158</v>
      </c>
      <c r="E940">
        <v>2</v>
      </c>
      <c r="F940">
        <v>670050</v>
      </c>
      <c r="G940" t="s">
        <v>113</v>
      </c>
      <c r="H940" t="s">
        <v>99</v>
      </c>
      <c r="I940">
        <v>0</v>
      </c>
      <c r="J940" s="1">
        <v>405380.98499999999</v>
      </c>
      <c r="K940" s="1">
        <v>278458.41600000003</v>
      </c>
      <c r="L940" s="1">
        <v>405340.44900000002</v>
      </c>
      <c r="M940" s="1">
        <v>278481.89600000001</v>
      </c>
      <c r="N940" t="s">
        <v>40</v>
      </c>
      <c r="P940" t="s">
        <v>40</v>
      </c>
      <c r="Q940">
        <v>0</v>
      </c>
      <c r="R940">
        <v>0</v>
      </c>
      <c r="S940">
        <v>0</v>
      </c>
      <c r="T940">
        <v>6</v>
      </c>
      <c r="U940">
        <v>6</v>
      </c>
      <c r="V940">
        <v>1</v>
      </c>
      <c r="W940">
        <v>2</v>
      </c>
      <c r="X940" t="s">
        <v>40</v>
      </c>
      <c r="Y940">
        <v>3</v>
      </c>
      <c r="Z940">
        <v>52</v>
      </c>
      <c r="AA940">
        <v>1</v>
      </c>
      <c r="AB940">
        <v>0</v>
      </c>
      <c r="AC940">
        <v>218.65699999999998</v>
      </c>
      <c r="AD940">
        <v>5059</v>
      </c>
      <c r="AH940">
        <v>0</v>
      </c>
      <c r="AI940">
        <v>0</v>
      </c>
      <c r="AL940" t="s">
        <v>40</v>
      </c>
      <c r="AM940" t="str">
        <f t="shared" si="75"/>
        <v>52 1</v>
      </c>
      <c r="AN940" s="6" t="s">
        <v>1519</v>
      </c>
      <c r="AO940" s="6" t="s">
        <v>1506</v>
      </c>
      <c r="AQ940" t="s">
        <v>2751</v>
      </c>
      <c r="AR940" t="s">
        <v>2752</v>
      </c>
    </row>
    <row r="941" spans="1:44" x14ac:dyDescent="0.3">
      <c r="A941">
        <v>3869</v>
      </c>
      <c r="B941">
        <v>4</v>
      </c>
      <c r="C941">
        <v>4021482</v>
      </c>
      <c r="D941">
        <v>50003</v>
      </c>
      <c r="E941">
        <v>2</v>
      </c>
      <c r="F941">
        <v>670050</v>
      </c>
      <c r="G941" t="s">
        <v>113</v>
      </c>
      <c r="H941" t="s">
        <v>99</v>
      </c>
      <c r="I941">
        <v>0</v>
      </c>
      <c r="J941" s="1">
        <v>405754.36200000002</v>
      </c>
      <c r="K941" s="1">
        <v>278432.27799999999</v>
      </c>
      <c r="L941" s="1">
        <v>405654.86900000001</v>
      </c>
      <c r="M941" s="1">
        <v>278449.73499999999</v>
      </c>
      <c r="N941" t="s">
        <v>40</v>
      </c>
      <c r="P941" t="s">
        <v>40</v>
      </c>
      <c r="Q941">
        <v>0</v>
      </c>
      <c r="R941">
        <v>0</v>
      </c>
      <c r="S941">
        <v>0</v>
      </c>
      <c r="T941">
        <v>6</v>
      </c>
      <c r="U941">
        <v>6</v>
      </c>
      <c r="V941">
        <v>1</v>
      </c>
      <c r="W941">
        <v>2</v>
      </c>
      <c r="X941" t="s">
        <v>40</v>
      </c>
      <c r="Y941">
        <v>3</v>
      </c>
      <c r="Z941">
        <v>86</v>
      </c>
      <c r="AA941">
        <v>1</v>
      </c>
      <c r="AB941">
        <v>0</v>
      </c>
      <c r="AC941">
        <v>213.42099999999999</v>
      </c>
      <c r="AD941">
        <v>5059</v>
      </c>
      <c r="AH941">
        <v>0</v>
      </c>
      <c r="AI941">
        <v>0</v>
      </c>
      <c r="AL941" t="s">
        <v>40</v>
      </c>
      <c r="AM941" t="str">
        <f t="shared" si="75"/>
        <v>86 1</v>
      </c>
      <c r="AN941" s="6" t="s">
        <v>592</v>
      </c>
      <c r="AO941" s="6" t="s">
        <v>1503</v>
      </c>
      <c r="AQ941" t="s">
        <v>809</v>
      </c>
      <c r="AR941" t="s">
        <v>2753</v>
      </c>
    </row>
    <row r="942" spans="1:44" x14ac:dyDescent="0.3">
      <c r="A942">
        <v>3869</v>
      </c>
      <c r="B942">
        <v>4</v>
      </c>
      <c r="C942">
        <v>4021470</v>
      </c>
      <c r="D942">
        <v>20085</v>
      </c>
      <c r="E942">
        <v>2</v>
      </c>
      <c r="F942">
        <v>670050</v>
      </c>
      <c r="G942" t="s">
        <v>113</v>
      </c>
      <c r="H942" t="s">
        <v>99</v>
      </c>
      <c r="I942">
        <v>0</v>
      </c>
      <c r="J942" s="1">
        <v>405730.85200000001</v>
      </c>
      <c r="K942" s="1">
        <v>278337.52600000001</v>
      </c>
      <c r="L942" s="1">
        <v>405729.61</v>
      </c>
      <c r="M942" s="1">
        <v>278331.31800000003</v>
      </c>
      <c r="N942" t="s">
        <v>40</v>
      </c>
      <c r="P942" t="s">
        <v>40</v>
      </c>
      <c r="Q942">
        <v>0</v>
      </c>
      <c r="R942">
        <v>0</v>
      </c>
      <c r="S942">
        <v>199804</v>
      </c>
      <c r="T942">
        <v>6</v>
      </c>
      <c r="U942">
        <v>6</v>
      </c>
      <c r="V942">
        <v>1</v>
      </c>
      <c r="W942">
        <v>3</v>
      </c>
      <c r="X942" t="s">
        <v>40</v>
      </c>
      <c r="Y942">
        <v>3</v>
      </c>
      <c r="Z942">
        <v>36</v>
      </c>
      <c r="AA942">
        <v>1</v>
      </c>
      <c r="AB942">
        <v>0</v>
      </c>
      <c r="AC942">
        <v>261.63600000000002</v>
      </c>
      <c r="AD942">
        <v>5059</v>
      </c>
      <c r="AH942">
        <v>0</v>
      </c>
      <c r="AI942">
        <v>0</v>
      </c>
      <c r="AL942" t="s">
        <v>40</v>
      </c>
      <c r="AM942" t="str">
        <f t="shared" si="75"/>
        <v>36 1</v>
      </c>
      <c r="AN942" s="6" t="s">
        <v>618</v>
      </c>
      <c r="AO942" s="6" t="s">
        <v>1503</v>
      </c>
      <c r="AQ942" t="s">
        <v>820</v>
      </c>
      <c r="AR942" t="s">
        <v>2753</v>
      </c>
    </row>
    <row r="943" spans="1:44" x14ac:dyDescent="0.3">
      <c r="A943">
        <v>3869</v>
      </c>
      <c r="B943">
        <v>4</v>
      </c>
      <c r="C943">
        <v>4021443</v>
      </c>
      <c r="D943">
        <v>20086</v>
      </c>
      <c r="E943">
        <v>2</v>
      </c>
      <c r="F943">
        <v>670050</v>
      </c>
      <c r="G943" t="s">
        <v>113</v>
      </c>
      <c r="H943" t="s">
        <v>99</v>
      </c>
      <c r="I943">
        <v>0</v>
      </c>
      <c r="J943" s="1">
        <v>405726.96</v>
      </c>
      <c r="K943" s="1">
        <v>278330.43599999999</v>
      </c>
      <c r="L943" s="1">
        <v>405730.85200000001</v>
      </c>
      <c r="M943" s="1">
        <v>278337.52600000001</v>
      </c>
      <c r="N943" t="s">
        <v>40</v>
      </c>
      <c r="P943" t="s">
        <v>40</v>
      </c>
      <c r="Q943">
        <v>0</v>
      </c>
      <c r="R943">
        <v>0</v>
      </c>
      <c r="S943">
        <v>199804</v>
      </c>
      <c r="T943">
        <v>6</v>
      </c>
      <c r="U943">
        <v>6</v>
      </c>
      <c r="V943">
        <v>1</v>
      </c>
      <c r="W943">
        <v>2</v>
      </c>
      <c r="X943" t="s">
        <v>40</v>
      </c>
      <c r="Y943">
        <v>3</v>
      </c>
      <c r="Z943">
        <v>36</v>
      </c>
      <c r="AA943">
        <v>1</v>
      </c>
      <c r="AB943">
        <v>0</v>
      </c>
      <c r="AC943">
        <v>8.2159999999999993</v>
      </c>
      <c r="AD943">
        <v>5059</v>
      </c>
      <c r="AH943">
        <v>0</v>
      </c>
      <c r="AI943">
        <v>0</v>
      </c>
      <c r="AL943" t="s">
        <v>40</v>
      </c>
      <c r="AM943" t="str">
        <f t="shared" si="75"/>
        <v>36 1</v>
      </c>
      <c r="AN943" t="str">
        <f t="shared" si="76"/>
        <v>405726.96,278330.436</v>
      </c>
      <c r="AO943" t="str">
        <f t="shared" si="77"/>
        <v>405730.852,278337.526</v>
      </c>
      <c r="AQ943" t="s">
        <v>2754</v>
      </c>
      <c r="AR943" t="s">
        <v>2753</v>
      </c>
    </row>
    <row r="944" spans="1:44" x14ac:dyDescent="0.3">
      <c r="A944">
        <v>3869</v>
      </c>
      <c r="B944">
        <v>4</v>
      </c>
      <c r="C944">
        <v>4021430</v>
      </c>
      <c r="D944">
        <v>20075</v>
      </c>
      <c r="E944">
        <v>2</v>
      </c>
      <c r="F944">
        <v>670050</v>
      </c>
      <c r="G944" t="s">
        <v>113</v>
      </c>
      <c r="H944" t="s">
        <v>99</v>
      </c>
      <c r="I944">
        <v>0</v>
      </c>
      <c r="J944" s="1">
        <v>405676.76299999998</v>
      </c>
      <c r="K944" s="1">
        <v>278229.90000000002</v>
      </c>
      <c r="L944" s="1">
        <v>405726.96</v>
      </c>
      <c r="M944" s="1">
        <v>278330.43599999999</v>
      </c>
      <c r="N944" t="s">
        <v>40</v>
      </c>
      <c r="P944" t="s">
        <v>40</v>
      </c>
      <c r="Q944">
        <v>0</v>
      </c>
      <c r="R944">
        <v>0</v>
      </c>
      <c r="S944">
        <v>0</v>
      </c>
      <c r="T944">
        <v>6</v>
      </c>
      <c r="U944">
        <v>6</v>
      </c>
      <c r="V944">
        <v>1</v>
      </c>
      <c r="W944">
        <v>2</v>
      </c>
      <c r="X944" t="s">
        <v>40</v>
      </c>
      <c r="Y944">
        <v>3</v>
      </c>
      <c r="Z944">
        <v>86</v>
      </c>
      <c r="AA944">
        <v>1</v>
      </c>
      <c r="AB944">
        <v>0</v>
      </c>
      <c r="AC944">
        <v>152.98200000000003</v>
      </c>
      <c r="AD944">
        <v>5059</v>
      </c>
      <c r="AH944">
        <v>0</v>
      </c>
      <c r="AI944">
        <v>0</v>
      </c>
      <c r="AL944" t="s">
        <v>40</v>
      </c>
      <c r="AM944" t="str">
        <f t="shared" si="75"/>
        <v>86 1</v>
      </c>
      <c r="AN944" s="6" t="s">
        <v>1505</v>
      </c>
      <c r="AO944" s="6" t="s">
        <v>1504</v>
      </c>
      <c r="AQ944" t="s">
        <v>2755</v>
      </c>
      <c r="AR944" t="s">
        <v>2754</v>
      </c>
    </row>
    <row r="945" spans="1:44" x14ac:dyDescent="0.3">
      <c r="A945">
        <v>3869</v>
      </c>
      <c r="B945">
        <v>4</v>
      </c>
      <c r="C945">
        <v>4021415</v>
      </c>
      <c r="D945">
        <v>49956</v>
      </c>
      <c r="E945">
        <v>2</v>
      </c>
      <c r="F945">
        <v>670050</v>
      </c>
      <c r="G945" t="s">
        <v>113</v>
      </c>
      <c r="H945" t="s">
        <v>99</v>
      </c>
      <c r="I945">
        <v>0</v>
      </c>
      <c r="J945" s="1">
        <v>405689.53200000001</v>
      </c>
      <c r="K945" s="1">
        <v>278208.17099999997</v>
      </c>
      <c r="L945" s="1">
        <v>405690.08399999997</v>
      </c>
      <c r="M945" s="1">
        <v>278207.57299999997</v>
      </c>
      <c r="N945" t="s">
        <v>40</v>
      </c>
      <c r="P945" t="s">
        <v>40</v>
      </c>
      <c r="Q945">
        <v>0</v>
      </c>
      <c r="R945">
        <v>0</v>
      </c>
      <c r="S945">
        <v>200710</v>
      </c>
      <c r="T945">
        <v>6</v>
      </c>
      <c r="U945">
        <v>6</v>
      </c>
      <c r="V945">
        <v>1</v>
      </c>
      <c r="W945">
        <v>2</v>
      </c>
      <c r="X945" t="s">
        <v>40</v>
      </c>
      <c r="Y945">
        <v>3</v>
      </c>
      <c r="Z945">
        <v>5023</v>
      </c>
      <c r="AA945">
        <v>1</v>
      </c>
      <c r="AB945">
        <v>0</v>
      </c>
      <c r="AC945">
        <v>0.82299999999999995</v>
      </c>
      <c r="AD945">
        <v>5059</v>
      </c>
      <c r="AH945">
        <v>0</v>
      </c>
      <c r="AI945">
        <v>0</v>
      </c>
      <c r="AL945" t="s">
        <v>40</v>
      </c>
      <c r="AM945" t="str">
        <f t="shared" si="75"/>
        <v>5023 1</v>
      </c>
      <c r="AN945" t="str">
        <f t="shared" si="76"/>
        <v>405689.532,278208.171</v>
      </c>
      <c r="AO945" t="str">
        <f t="shared" si="77"/>
        <v>405690.084,278207.573</v>
      </c>
      <c r="AQ945" t="s">
        <v>2755</v>
      </c>
      <c r="AR945" t="s">
        <v>821</v>
      </c>
    </row>
    <row r="946" spans="1:44" x14ac:dyDescent="0.3">
      <c r="A946">
        <v>3869</v>
      </c>
      <c r="B946">
        <v>4</v>
      </c>
      <c r="C946">
        <v>4021544</v>
      </c>
      <c r="D946">
        <v>19032</v>
      </c>
      <c r="E946">
        <v>2</v>
      </c>
      <c r="F946">
        <v>670050</v>
      </c>
      <c r="G946" t="s">
        <v>113</v>
      </c>
      <c r="H946" t="s">
        <v>99</v>
      </c>
      <c r="I946">
        <v>0</v>
      </c>
      <c r="J946" s="1">
        <v>405521.85499999998</v>
      </c>
      <c r="K946" s="1">
        <v>278511.75900000002</v>
      </c>
      <c r="L946" s="1">
        <v>405535.71500000003</v>
      </c>
      <c r="M946" s="1">
        <v>278494.11</v>
      </c>
      <c r="N946" t="s">
        <v>40</v>
      </c>
      <c r="P946" t="s">
        <v>40</v>
      </c>
      <c r="Q946">
        <v>0</v>
      </c>
      <c r="R946">
        <v>0</v>
      </c>
      <c r="S946">
        <v>0</v>
      </c>
      <c r="T946">
        <v>6</v>
      </c>
      <c r="U946">
        <v>6</v>
      </c>
      <c r="V946">
        <v>1</v>
      </c>
      <c r="W946">
        <v>2</v>
      </c>
      <c r="X946" t="s">
        <v>40</v>
      </c>
      <c r="Y946">
        <v>3</v>
      </c>
      <c r="Z946">
        <v>38</v>
      </c>
      <c r="AA946">
        <v>1</v>
      </c>
      <c r="AB946">
        <v>0</v>
      </c>
      <c r="AC946">
        <v>37.539000000000001</v>
      </c>
      <c r="AD946">
        <v>5059</v>
      </c>
      <c r="AH946">
        <v>0</v>
      </c>
      <c r="AI946">
        <v>0</v>
      </c>
      <c r="AL946" t="s">
        <v>40</v>
      </c>
      <c r="AM946" t="str">
        <f t="shared" si="75"/>
        <v>38 1</v>
      </c>
      <c r="AN946" s="6" t="s">
        <v>1522</v>
      </c>
      <c r="AO946" s="6" t="s">
        <v>1506</v>
      </c>
      <c r="AQ946" t="s">
        <v>2756</v>
      </c>
      <c r="AR946" t="s">
        <v>2752</v>
      </c>
    </row>
    <row r="947" spans="1:44" x14ac:dyDescent="0.3">
      <c r="A947">
        <v>3869</v>
      </c>
      <c r="B947">
        <v>4</v>
      </c>
      <c r="C947">
        <v>4021344</v>
      </c>
      <c r="D947">
        <v>20611</v>
      </c>
      <c r="E947">
        <v>2</v>
      </c>
      <c r="F947">
        <v>670050</v>
      </c>
      <c r="G947" t="s">
        <v>113</v>
      </c>
      <c r="H947" t="s">
        <v>99</v>
      </c>
      <c r="I947">
        <v>0</v>
      </c>
      <c r="J947" s="1">
        <v>405789.06900000002</v>
      </c>
      <c r="K947" s="1">
        <v>278535.52899999998</v>
      </c>
      <c r="L947" s="1">
        <v>405773.902</v>
      </c>
      <c r="M947" s="1">
        <v>278546.06800000003</v>
      </c>
      <c r="N947" t="s">
        <v>40</v>
      </c>
      <c r="P947" t="s">
        <v>40</v>
      </c>
      <c r="Q947">
        <v>0</v>
      </c>
      <c r="R947">
        <v>0</v>
      </c>
      <c r="S947">
        <v>0</v>
      </c>
      <c r="T947">
        <v>6</v>
      </c>
      <c r="U947">
        <v>6</v>
      </c>
      <c r="V947">
        <v>1</v>
      </c>
      <c r="W947">
        <v>3</v>
      </c>
      <c r="X947" t="s">
        <v>40</v>
      </c>
      <c r="Y947">
        <v>3</v>
      </c>
      <c r="Z947">
        <v>36</v>
      </c>
      <c r="AA947">
        <v>1</v>
      </c>
      <c r="AB947">
        <v>0</v>
      </c>
      <c r="AC947">
        <v>21.741</v>
      </c>
      <c r="AD947">
        <v>5059</v>
      </c>
      <c r="AH947">
        <v>0</v>
      </c>
      <c r="AI947">
        <v>0</v>
      </c>
      <c r="AL947" t="s">
        <v>40</v>
      </c>
      <c r="AM947" t="str">
        <f t="shared" si="75"/>
        <v>36 1</v>
      </c>
      <c r="AN947" t="str">
        <f t="shared" si="76"/>
        <v>405789.069,278535.529</v>
      </c>
      <c r="AO947" t="str">
        <f t="shared" si="77"/>
        <v>405773.902,278546.068</v>
      </c>
      <c r="AQ947" t="s">
        <v>2750</v>
      </c>
      <c r="AR947" t="s">
        <v>2757</v>
      </c>
    </row>
    <row r="948" spans="1:44" x14ac:dyDescent="0.3">
      <c r="A948">
        <v>3869</v>
      </c>
      <c r="B948">
        <v>4</v>
      </c>
      <c r="C948">
        <v>4019889</v>
      </c>
      <c r="D948">
        <v>21946</v>
      </c>
      <c r="E948">
        <v>2</v>
      </c>
      <c r="F948">
        <v>670050</v>
      </c>
      <c r="G948" t="s">
        <v>113</v>
      </c>
      <c r="H948" t="s">
        <v>99</v>
      </c>
      <c r="I948">
        <v>0</v>
      </c>
      <c r="J948" s="1">
        <v>405479.23200000002</v>
      </c>
      <c r="K948" s="1">
        <v>278818.86099999998</v>
      </c>
      <c r="L948" s="1">
        <v>405478.12800000003</v>
      </c>
      <c r="M948" s="1">
        <v>278817.45799999998</v>
      </c>
      <c r="N948" t="s">
        <v>40</v>
      </c>
      <c r="P948" t="s">
        <v>40</v>
      </c>
      <c r="Q948">
        <v>0</v>
      </c>
      <c r="R948">
        <v>0</v>
      </c>
      <c r="S948">
        <v>0</v>
      </c>
      <c r="T948">
        <v>6</v>
      </c>
      <c r="U948">
        <v>6</v>
      </c>
      <c r="V948">
        <v>1</v>
      </c>
      <c r="W948">
        <v>3</v>
      </c>
      <c r="X948" t="s">
        <v>40</v>
      </c>
      <c r="Y948">
        <v>3</v>
      </c>
      <c r="Z948">
        <v>90</v>
      </c>
      <c r="AA948">
        <v>99</v>
      </c>
      <c r="AB948">
        <v>0</v>
      </c>
      <c r="AC948">
        <v>1.9350000000000001</v>
      </c>
      <c r="AD948">
        <v>5059</v>
      </c>
      <c r="AH948">
        <v>0</v>
      </c>
      <c r="AI948">
        <v>0</v>
      </c>
      <c r="AL948" t="s">
        <v>40</v>
      </c>
      <c r="AM948" t="str">
        <f t="shared" si="75"/>
        <v>90 99</v>
      </c>
      <c r="AN948" t="str">
        <f t="shared" si="76"/>
        <v>405479.232,278818.861</v>
      </c>
      <c r="AO948" t="str">
        <f t="shared" si="77"/>
        <v>405478.128,278817.458</v>
      </c>
      <c r="AQ948" t="s">
        <v>1905</v>
      </c>
      <c r="AR948" t="s">
        <v>1906</v>
      </c>
    </row>
    <row r="949" spans="1:44" x14ac:dyDescent="0.3">
      <c r="A949">
        <v>3869</v>
      </c>
      <c r="B949">
        <v>4</v>
      </c>
      <c r="C949">
        <v>4018157</v>
      </c>
      <c r="D949">
        <v>20113</v>
      </c>
      <c r="E949">
        <v>2</v>
      </c>
      <c r="F949">
        <v>670050</v>
      </c>
      <c r="G949" t="s">
        <v>113</v>
      </c>
      <c r="H949" t="s">
        <v>99</v>
      </c>
      <c r="I949">
        <v>0</v>
      </c>
      <c r="J949" s="1">
        <v>405755.00400000002</v>
      </c>
      <c r="K949" s="1">
        <v>278432.83199999999</v>
      </c>
      <c r="L949" s="1">
        <v>405763.67599999998</v>
      </c>
      <c r="M949" s="1">
        <v>278433.84100000001</v>
      </c>
      <c r="N949" t="s">
        <v>40</v>
      </c>
      <c r="P949" t="s">
        <v>40</v>
      </c>
      <c r="Q949">
        <v>0</v>
      </c>
      <c r="R949">
        <v>0</v>
      </c>
      <c r="S949">
        <v>0</v>
      </c>
      <c r="T949">
        <v>6</v>
      </c>
      <c r="U949">
        <v>6</v>
      </c>
      <c r="V949">
        <v>1</v>
      </c>
      <c r="W949">
        <v>3</v>
      </c>
      <c r="X949" t="s">
        <v>40</v>
      </c>
      <c r="Y949">
        <v>3</v>
      </c>
      <c r="Z949">
        <v>86</v>
      </c>
      <c r="AA949">
        <v>99</v>
      </c>
      <c r="AB949">
        <v>0</v>
      </c>
      <c r="AC949">
        <v>11.151999999999999</v>
      </c>
      <c r="AD949">
        <v>5059</v>
      </c>
      <c r="AH949">
        <v>0</v>
      </c>
      <c r="AI949">
        <v>0</v>
      </c>
      <c r="AL949" t="s">
        <v>40</v>
      </c>
      <c r="AM949" t="str">
        <f t="shared" si="75"/>
        <v>86 99</v>
      </c>
      <c r="AN949" t="str">
        <f t="shared" si="76"/>
        <v>405755.004,278432.832</v>
      </c>
      <c r="AO949" t="str">
        <f t="shared" si="77"/>
        <v>405763.676,278433.841</v>
      </c>
      <c r="AQ949" t="s">
        <v>1907</v>
      </c>
      <c r="AR949" t="s">
        <v>1908</v>
      </c>
    </row>
    <row r="950" spans="1:44" x14ac:dyDescent="0.3">
      <c r="A950">
        <v>3869</v>
      </c>
      <c r="B950">
        <v>4</v>
      </c>
      <c r="C950">
        <v>4021357</v>
      </c>
      <c r="D950">
        <v>20121</v>
      </c>
      <c r="E950">
        <v>2</v>
      </c>
      <c r="F950">
        <v>670050</v>
      </c>
      <c r="G950" t="s">
        <v>113</v>
      </c>
      <c r="H950" t="s">
        <v>99</v>
      </c>
      <c r="I950">
        <v>0</v>
      </c>
      <c r="J950" s="1">
        <v>405767.13099999999</v>
      </c>
      <c r="K950" s="1">
        <v>278472.821</v>
      </c>
      <c r="L950" s="1">
        <v>405763.67599999998</v>
      </c>
      <c r="M950" s="1">
        <v>278433.84100000001</v>
      </c>
      <c r="N950" t="s">
        <v>40</v>
      </c>
      <c r="P950" t="s">
        <v>40</v>
      </c>
      <c r="Q950">
        <v>0</v>
      </c>
      <c r="R950">
        <v>0</v>
      </c>
      <c r="S950">
        <v>0</v>
      </c>
      <c r="T950">
        <v>6</v>
      </c>
      <c r="U950">
        <v>6</v>
      </c>
      <c r="V950">
        <v>1</v>
      </c>
      <c r="W950">
        <v>2</v>
      </c>
      <c r="X950" t="s">
        <v>40</v>
      </c>
      <c r="Y950">
        <v>3</v>
      </c>
      <c r="Z950">
        <v>86</v>
      </c>
      <c r="AA950">
        <v>1</v>
      </c>
      <c r="AB950">
        <v>0</v>
      </c>
      <c r="AC950">
        <v>464.26099999999997</v>
      </c>
      <c r="AD950">
        <v>5059</v>
      </c>
      <c r="AH950">
        <v>0</v>
      </c>
      <c r="AI950">
        <v>0</v>
      </c>
      <c r="AL950" t="s">
        <v>40</v>
      </c>
      <c r="AM950" t="str">
        <f t="shared" si="75"/>
        <v>86 1</v>
      </c>
      <c r="AN950" s="6" t="s">
        <v>1785</v>
      </c>
      <c r="AO950" s="6" t="s">
        <v>1485</v>
      </c>
      <c r="AQ950" t="s">
        <v>1908</v>
      </c>
      <c r="AR950" t="s">
        <v>2758</v>
      </c>
    </row>
    <row r="951" spans="1:44" x14ac:dyDescent="0.3">
      <c r="A951">
        <v>3869</v>
      </c>
      <c r="B951">
        <v>4</v>
      </c>
      <c r="C951">
        <v>4021391</v>
      </c>
      <c r="D951">
        <v>19963</v>
      </c>
      <c r="E951">
        <v>2</v>
      </c>
      <c r="F951">
        <v>670050</v>
      </c>
      <c r="G951" t="s">
        <v>113</v>
      </c>
      <c r="H951" t="s">
        <v>99</v>
      </c>
      <c r="I951">
        <v>0</v>
      </c>
      <c r="J951" s="1">
        <v>405679.78499999997</v>
      </c>
      <c r="K951" s="1">
        <v>278231.38500000001</v>
      </c>
      <c r="L951" s="1">
        <v>405684.73</v>
      </c>
      <c r="M951" s="1">
        <v>278240.89799999999</v>
      </c>
      <c r="N951" t="s">
        <v>40</v>
      </c>
      <c r="P951" t="s">
        <v>40</v>
      </c>
      <c r="Q951">
        <v>0</v>
      </c>
      <c r="R951">
        <v>0</v>
      </c>
      <c r="S951">
        <v>0</v>
      </c>
      <c r="T951">
        <v>6</v>
      </c>
      <c r="U951">
        <v>6</v>
      </c>
      <c r="V951">
        <v>1</v>
      </c>
      <c r="W951">
        <v>2</v>
      </c>
      <c r="X951" t="s">
        <v>40</v>
      </c>
      <c r="Y951">
        <v>3</v>
      </c>
      <c r="Z951">
        <v>88</v>
      </c>
      <c r="AA951">
        <v>1</v>
      </c>
      <c r="AB951">
        <v>0</v>
      </c>
      <c r="AC951">
        <v>255.01300000000003</v>
      </c>
      <c r="AD951">
        <v>5059</v>
      </c>
      <c r="AH951">
        <v>0</v>
      </c>
      <c r="AI951">
        <v>0</v>
      </c>
      <c r="AL951" t="s">
        <v>40</v>
      </c>
      <c r="AM951" t="str">
        <f t="shared" si="75"/>
        <v>88 1</v>
      </c>
      <c r="AN951" s="6" t="s">
        <v>1501</v>
      </c>
      <c r="AO951" s="6" t="s">
        <v>1785</v>
      </c>
      <c r="AQ951" t="s">
        <v>2749</v>
      </c>
      <c r="AR951" t="s">
        <v>1908</v>
      </c>
    </row>
    <row r="952" spans="1:44" x14ac:dyDescent="0.3">
      <c r="A952">
        <v>3869</v>
      </c>
      <c r="B952">
        <v>4</v>
      </c>
      <c r="C952">
        <v>4021599</v>
      </c>
      <c r="D952">
        <v>50049</v>
      </c>
      <c r="E952">
        <v>2</v>
      </c>
      <c r="F952">
        <v>670050</v>
      </c>
      <c r="G952" t="s">
        <v>113</v>
      </c>
      <c r="H952" t="s">
        <v>99</v>
      </c>
      <c r="I952">
        <v>0</v>
      </c>
      <c r="J952" s="1">
        <v>405342.5</v>
      </c>
      <c r="K952" s="1">
        <v>278487.46000000002</v>
      </c>
      <c r="L952" s="1">
        <v>405344.25799999997</v>
      </c>
      <c r="M952" s="1">
        <v>278487.31800000003</v>
      </c>
      <c r="N952" t="s">
        <v>40</v>
      </c>
      <c r="P952" t="s">
        <v>40</v>
      </c>
      <c r="Q952">
        <v>0</v>
      </c>
      <c r="R952">
        <v>0</v>
      </c>
      <c r="S952">
        <v>0</v>
      </c>
      <c r="T952">
        <v>6</v>
      </c>
      <c r="U952">
        <v>6</v>
      </c>
      <c r="V952">
        <v>1</v>
      </c>
      <c r="W952">
        <v>3</v>
      </c>
      <c r="X952" t="s">
        <v>40</v>
      </c>
      <c r="Y952">
        <v>3</v>
      </c>
      <c r="Z952">
        <v>36</v>
      </c>
      <c r="AA952">
        <v>1</v>
      </c>
      <c r="AB952">
        <v>0</v>
      </c>
      <c r="AC952">
        <v>3.6850000000000001</v>
      </c>
      <c r="AD952">
        <v>5059</v>
      </c>
      <c r="AH952">
        <v>0</v>
      </c>
      <c r="AI952">
        <v>0</v>
      </c>
      <c r="AL952" t="s">
        <v>40</v>
      </c>
      <c r="AM952" t="str">
        <f t="shared" si="75"/>
        <v>36 1</v>
      </c>
      <c r="AN952" t="str">
        <f t="shared" si="76"/>
        <v>405342.5,278487.46</v>
      </c>
      <c r="AO952" t="str">
        <f t="shared" si="77"/>
        <v>405344.258,278487.318</v>
      </c>
      <c r="AQ952" t="s">
        <v>2759</v>
      </c>
      <c r="AR952" t="s">
        <v>1909</v>
      </c>
    </row>
    <row r="953" spans="1:44" x14ac:dyDescent="0.3">
      <c r="A953">
        <v>3869</v>
      </c>
      <c r="B953">
        <v>4</v>
      </c>
      <c r="C953">
        <v>4011809</v>
      </c>
      <c r="D953">
        <v>11234</v>
      </c>
      <c r="E953">
        <v>2</v>
      </c>
      <c r="F953">
        <v>670050</v>
      </c>
      <c r="G953" t="s">
        <v>113</v>
      </c>
      <c r="H953" t="s">
        <v>45</v>
      </c>
      <c r="I953">
        <v>0</v>
      </c>
      <c r="J953" s="1">
        <v>405599.76799999998</v>
      </c>
      <c r="K953" s="1">
        <v>279370.63799999998</v>
      </c>
      <c r="L953" s="1">
        <v>405604.74300000002</v>
      </c>
      <c r="M953" s="1">
        <v>279368.38900000002</v>
      </c>
      <c r="N953" t="s">
        <v>40</v>
      </c>
      <c r="P953" t="s">
        <v>40</v>
      </c>
      <c r="Q953">
        <v>0</v>
      </c>
      <c r="R953">
        <v>0</v>
      </c>
      <c r="S953">
        <v>0</v>
      </c>
      <c r="T953">
        <v>6</v>
      </c>
      <c r="U953">
        <v>6</v>
      </c>
      <c r="V953">
        <v>1</v>
      </c>
      <c r="W953">
        <v>1</v>
      </c>
      <c r="X953" t="s">
        <v>40</v>
      </c>
      <c r="Y953">
        <v>3</v>
      </c>
      <c r="Z953">
        <v>38</v>
      </c>
      <c r="AA953">
        <v>1</v>
      </c>
      <c r="AB953">
        <v>0</v>
      </c>
      <c r="AC953">
        <v>5.4770000000000003</v>
      </c>
      <c r="AD953">
        <v>5059</v>
      </c>
      <c r="AH953">
        <v>0</v>
      </c>
      <c r="AI953">
        <v>0</v>
      </c>
      <c r="AL953" t="s">
        <v>40</v>
      </c>
      <c r="AM953" t="str">
        <f t="shared" si="75"/>
        <v>38 1</v>
      </c>
      <c r="AN953" t="str">
        <f t="shared" si="76"/>
        <v>405599.768,279370.638</v>
      </c>
      <c r="AO953" t="str">
        <f t="shared" si="77"/>
        <v>405604.743,279368.389</v>
      </c>
      <c r="AQ953" t="s">
        <v>2760</v>
      </c>
      <c r="AR953" t="s">
        <v>2744</v>
      </c>
    </row>
    <row r="954" spans="1:44" x14ac:dyDescent="0.3">
      <c r="A954">
        <v>3869</v>
      </c>
      <c r="B954">
        <v>4</v>
      </c>
      <c r="C954">
        <v>4021674</v>
      </c>
      <c r="D954">
        <v>19817</v>
      </c>
      <c r="E954">
        <v>2</v>
      </c>
      <c r="F954">
        <v>670050</v>
      </c>
      <c r="G954" t="s">
        <v>113</v>
      </c>
      <c r="H954" t="s">
        <v>99</v>
      </c>
      <c r="I954">
        <v>0</v>
      </c>
      <c r="J954" s="1">
        <v>405483.71500000003</v>
      </c>
      <c r="K954" s="1">
        <v>278331.31199999998</v>
      </c>
      <c r="L954" s="1">
        <v>405246.50099999999</v>
      </c>
      <c r="M954" s="1">
        <v>278303.05300000001</v>
      </c>
      <c r="N954" t="s">
        <v>40</v>
      </c>
      <c r="P954" t="s">
        <v>40</v>
      </c>
      <c r="Q954">
        <v>0</v>
      </c>
      <c r="R954">
        <v>0</v>
      </c>
      <c r="S954">
        <v>0</v>
      </c>
      <c r="T954">
        <v>6</v>
      </c>
      <c r="U954">
        <v>6</v>
      </c>
      <c r="V954">
        <v>1</v>
      </c>
      <c r="W954">
        <v>2</v>
      </c>
      <c r="X954" t="s">
        <v>40</v>
      </c>
      <c r="Y954">
        <v>3</v>
      </c>
      <c r="Z954">
        <v>86</v>
      </c>
      <c r="AA954">
        <v>1</v>
      </c>
      <c r="AB954">
        <v>0</v>
      </c>
      <c r="AC954">
        <v>251.001</v>
      </c>
      <c r="AD954">
        <v>5059</v>
      </c>
      <c r="AH954">
        <v>0</v>
      </c>
      <c r="AI954">
        <v>0</v>
      </c>
      <c r="AL954" t="s">
        <v>40</v>
      </c>
      <c r="AM954" t="str">
        <f t="shared" si="75"/>
        <v>86 1</v>
      </c>
      <c r="AN954" t="str">
        <f t="shared" si="76"/>
        <v>405483.715,278331.312</v>
      </c>
      <c r="AO954" t="str">
        <f t="shared" si="77"/>
        <v>405246.501,278303.053</v>
      </c>
      <c r="AQ954" t="s">
        <v>2761</v>
      </c>
      <c r="AR954" t="s">
        <v>1880</v>
      </c>
    </row>
    <row r="955" spans="1:44" x14ac:dyDescent="0.3">
      <c r="A955">
        <v>3869</v>
      </c>
      <c r="B955">
        <v>4</v>
      </c>
      <c r="C955">
        <v>4021652</v>
      </c>
      <c r="D955">
        <v>19200</v>
      </c>
      <c r="E955">
        <v>2</v>
      </c>
      <c r="F955">
        <v>670050</v>
      </c>
      <c r="G955" t="s">
        <v>113</v>
      </c>
      <c r="H955" t="s">
        <v>99</v>
      </c>
      <c r="I955">
        <v>0</v>
      </c>
      <c r="J955" s="1">
        <v>405515.22499999998</v>
      </c>
      <c r="K955" s="1">
        <v>278333.24699999997</v>
      </c>
      <c r="L955" s="1">
        <v>405594.57</v>
      </c>
      <c r="M955" s="1">
        <v>278433.97899999999</v>
      </c>
      <c r="N955" t="s">
        <v>40</v>
      </c>
      <c r="P955" t="s">
        <v>40</v>
      </c>
      <c r="Q955">
        <v>0</v>
      </c>
      <c r="R955">
        <v>0</v>
      </c>
      <c r="S955">
        <v>0</v>
      </c>
      <c r="T955">
        <v>6</v>
      </c>
      <c r="U955">
        <v>6</v>
      </c>
      <c r="V955">
        <v>1</v>
      </c>
      <c r="W955">
        <v>2</v>
      </c>
      <c r="X955" t="s">
        <v>40</v>
      </c>
      <c r="Y955">
        <v>3</v>
      </c>
      <c r="Z955">
        <v>86</v>
      </c>
      <c r="AA955">
        <v>1</v>
      </c>
      <c r="AB955">
        <v>0</v>
      </c>
      <c r="AC955">
        <v>224.66899999999998</v>
      </c>
      <c r="AD955">
        <v>5059</v>
      </c>
      <c r="AH955">
        <v>0</v>
      </c>
      <c r="AI955">
        <v>0</v>
      </c>
      <c r="AL955" t="s">
        <v>40</v>
      </c>
      <c r="AM955" t="str">
        <f t="shared" si="75"/>
        <v>86 1</v>
      </c>
      <c r="AN955" s="6" t="s">
        <v>1515</v>
      </c>
      <c r="AO955" s="6" t="s">
        <v>1516</v>
      </c>
      <c r="AQ955" t="s">
        <v>2762</v>
      </c>
      <c r="AR955" t="s">
        <v>2763</v>
      </c>
    </row>
    <row r="956" spans="1:44" x14ac:dyDescent="0.3">
      <c r="A956">
        <v>3869</v>
      </c>
      <c r="B956">
        <v>4</v>
      </c>
      <c r="C956">
        <v>4021650</v>
      </c>
      <c r="D956">
        <v>18915</v>
      </c>
      <c r="E956">
        <v>2</v>
      </c>
      <c r="F956">
        <v>670050</v>
      </c>
      <c r="G956" t="s">
        <v>113</v>
      </c>
      <c r="H956" t="s">
        <v>99</v>
      </c>
      <c r="I956">
        <v>0</v>
      </c>
      <c r="J956" s="1">
        <v>405514.21299999999</v>
      </c>
      <c r="K956" s="1">
        <v>278326.39</v>
      </c>
      <c r="L956" s="1">
        <v>405483.71500000003</v>
      </c>
      <c r="M956" s="1">
        <v>278331.31199999998</v>
      </c>
      <c r="N956" t="s">
        <v>40</v>
      </c>
      <c r="P956" t="s">
        <v>40</v>
      </c>
      <c r="Q956">
        <v>0</v>
      </c>
      <c r="R956">
        <v>0</v>
      </c>
      <c r="S956">
        <v>0</v>
      </c>
      <c r="T956">
        <v>6</v>
      </c>
      <c r="U956">
        <v>6</v>
      </c>
      <c r="V956">
        <v>1</v>
      </c>
      <c r="W956">
        <v>2</v>
      </c>
      <c r="X956" t="s">
        <v>40</v>
      </c>
      <c r="Y956">
        <v>3</v>
      </c>
      <c r="Z956">
        <v>5017</v>
      </c>
      <c r="AA956">
        <v>1</v>
      </c>
      <c r="AB956">
        <v>0</v>
      </c>
      <c r="AC956">
        <v>46.691000000000003</v>
      </c>
      <c r="AD956">
        <v>5059</v>
      </c>
      <c r="AH956">
        <v>0</v>
      </c>
      <c r="AI956">
        <v>0</v>
      </c>
      <c r="AL956" t="s">
        <v>40</v>
      </c>
      <c r="AM956" t="str">
        <f t="shared" ref="AM956:AM1002" si="78">_xlfn.CONCAT(Z956, " ",AA956)</f>
        <v>5017 1</v>
      </c>
      <c r="AN956" t="str">
        <f t="shared" si="76"/>
        <v>405514.213,278326.39</v>
      </c>
      <c r="AO956" t="str">
        <f t="shared" si="77"/>
        <v>405483.715,278331.312</v>
      </c>
      <c r="AQ956" t="s">
        <v>2762</v>
      </c>
      <c r="AR956" t="s">
        <v>2761</v>
      </c>
    </row>
    <row r="957" spans="1:44" x14ac:dyDescent="0.3">
      <c r="A957">
        <v>3869</v>
      </c>
      <c r="B957">
        <v>4</v>
      </c>
      <c r="C957">
        <v>4021172</v>
      </c>
      <c r="D957">
        <v>21130</v>
      </c>
      <c r="E957">
        <v>2</v>
      </c>
      <c r="F957">
        <v>670050</v>
      </c>
      <c r="G957" t="s">
        <v>113</v>
      </c>
      <c r="H957" t="s">
        <v>99</v>
      </c>
      <c r="I957">
        <v>0</v>
      </c>
      <c r="J957" s="1">
        <v>405723.05699999997</v>
      </c>
      <c r="K957" s="1">
        <v>278924.39600000001</v>
      </c>
      <c r="L957" s="1">
        <v>405729.92</v>
      </c>
      <c r="M957" s="1">
        <v>278928.40600000002</v>
      </c>
      <c r="N957" t="s">
        <v>40</v>
      </c>
      <c r="P957" t="s">
        <v>40</v>
      </c>
      <c r="Q957">
        <v>0</v>
      </c>
      <c r="R957">
        <v>0</v>
      </c>
      <c r="S957">
        <v>0</v>
      </c>
      <c r="T957">
        <v>6</v>
      </c>
      <c r="U957">
        <v>6</v>
      </c>
      <c r="V957">
        <v>1</v>
      </c>
      <c r="W957">
        <v>1</v>
      </c>
      <c r="X957" t="s">
        <v>40</v>
      </c>
      <c r="Y957">
        <v>3</v>
      </c>
      <c r="Z957">
        <v>38</v>
      </c>
      <c r="AA957">
        <v>5001</v>
      </c>
      <c r="AB957">
        <v>0</v>
      </c>
      <c r="AC957">
        <v>7.95</v>
      </c>
      <c r="AD957">
        <v>5059</v>
      </c>
      <c r="AH957">
        <v>0</v>
      </c>
      <c r="AI957">
        <v>0</v>
      </c>
      <c r="AL957" t="s">
        <v>40</v>
      </c>
      <c r="AM957" t="str">
        <f t="shared" si="78"/>
        <v>38 5001</v>
      </c>
      <c r="AN957" t="str">
        <f t="shared" ref="AN957:AN1004" si="79">ROUND(J957,3)&amp;","&amp;ROUND(K957,3)</f>
        <v>405723.057,278924.396</v>
      </c>
      <c r="AO957" t="str">
        <f t="shared" ref="AO957:AO1004" si="80">ROUND(L957,3)&amp;","&amp;ROUND(M957,3)</f>
        <v>405729.92,278928.406</v>
      </c>
      <c r="AQ957" t="s">
        <v>2764</v>
      </c>
      <c r="AR957" t="s">
        <v>2726</v>
      </c>
    </row>
    <row r="958" spans="1:44" x14ac:dyDescent="0.3">
      <c r="A958">
        <v>3869</v>
      </c>
      <c r="B958">
        <v>4</v>
      </c>
      <c r="C958">
        <v>4021622</v>
      </c>
      <c r="D958">
        <v>19195</v>
      </c>
      <c r="E958">
        <v>2</v>
      </c>
      <c r="F958">
        <v>670050</v>
      </c>
      <c r="G958" t="s">
        <v>113</v>
      </c>
      <c r="H958" t="s">
        <v>99</v>
      </c>
      <c r="I958">
        <v>0</v>
      </c>
      <c r="J958" s="1">
        <v>405339.33500000002</v>
      </c>
      <c r="K958" s="1">
        <v>278483.49400000001</v>
      </c>
      <c r="L958" s="1">
        <v>405261.08500000002</v>
      </c>
      <c r="M958" s="1">
        <v>278532.34999999998</v>
      </c>
      <c r="N958" t="s">
        <v>40</v>
      </c>
      <c r="P958" t="s">
        <v>40</v>
      </c>
      <c r="Q958">
        <v>0</v>
      </c>
      <c r="R958">
        <v>0</v>
      </c>
      <c r="S958">
        <v>0</v>
      </c>
      <c r="T958">
        <v>6</v>
      </c>
      <c r="U958">
        <v>6</v>
      </c>
      <c r="V958">
        <v>1</v>
      </c>
      <c r="W958">
        <v>1</v>
      </c>
      <c r="X958" t="s">
        <v>40</v>
      </c>
      <c r="Y958">
        <v>3</v>
      </c>
      <c r="Z958">
        <v>52</v>
      </c>
      <c r="AA958">
        <v>1</v>
      </c>
      <c r="AB958">
        <v>0</v>
      </c>
      <c r="AC958">
        <v>104.495</v>
      </c>
      <c r="AD958">
        <v>5059</v>
      </c>
      <c r="AH958">
        <v>0</v>
      </c>
      <c r="AI958">
        <v>0</v>
      </c>
      <c r="AL958" t="s">
        <v>40</v>
      </c>
      <c r="AM958" t="str">
        <f t="shared" si="78"/>
        <v>52 1</v>
      </c>
      <c r="AN958" s="6" t="s">
        <v>1541</v>
      </c>
      <c r="AO958" s="6" t="s">
        <v>1518</v>
      </c>
      <c r="AQ958" t="s">
        <v>1912</v>
      </c>
      <c r="AR958" t="s">
        <v>2765</v>
      </c>
    </row>
    <row r="959" spans="1:44" x14ac:dyDescent="0.3">
      <c r="A959">
        <v>3869</v>
      </c>
      <c r="B959">
        <v>4</v>
      </c>
      <c r="C959">
        <v>4021594</v>
      </c>
      <c r="D959">
        <v>50043</v>
      </c>
      <c r="E959">
        <v>2</v>
      </c>
      <c r="F959">
        <v>670050</v>
      </c>
      <c r="G959" t="s">
        <v>113</v>
      </c>
      <c r="H959" t="s">
        <v>99</v>
      </c>
      <c r="I959">
        <v>0</v>
      </c>
      <c r="J959" s="1">
        <v>405339.33500000002</v>
      </c>
      <c r="K959" s="1">
        <v>278483.49400000001</v>
      </c>
      <c r="L959" s="1">
        <v>405340.76799999998</v>
      </c>
      <c r="M959" s="1">
        <v>278486.61300000001</v>
      </c>
      <c r="N959" t="s">
        <v>40</v>
      </c>
      <c r="P959" t="s">
        <v>40</v>
      </c>
      <c r="Q959">
        <v>0</v>
      </c>
      <c r="R959">
        <v>0</v>
      </c>
      <c r="S959">
        <v>0</v>
      </c>
      <c r="T959">
        <v>6</v>
      </c>
      <c r="U959">
        <v>6</v>
      </c>
      <c r="V959">
        <v>1</v>
      </c>
      <c r="W959">
        <v>1</v>
      </c>
      <c r="X959" t="s">
        <v>40</v>
      </c>
      <c r="Y959">
        <v>3</v>
      </c>
      <c r="Z959">
        <v>38</v>
      </c>
      <c r="AA959">
        <v>5001</v>
      </c>
      <c r="AB959">
        <v>0</v>
      </c>
      <c r="AC959">
        <v>3.4580000000000002</v>
      </c>
      <c r="AD959">
        <v>5059</v>
      </c>
      <c r="AH959">
        <v>0</v>
      </c>
      <c r="AI959">
        <v>0</v>
      </c>
      <c r="AL959" t="s">
        <v>40</v>
      </c>
      <c r="AM959" t="str">
        <f t="shared" si="78"/>
        <v>38 5001</v>
      </c>
      <c r="AN959" t="str">
        <f t="shared" si="79"/>
        <v>405339.335,278483.494</v>
      </c>
      <c r="AO959" t="str">
        <f t="shared" si="80"/>
        <v>405340.768,278486.613</v>
      </c>
      <c r="AQ959" t="s">
        <v>2765</v>
      </c>
      <c r="AR959" t="s">
        <v>817</v>
      </c>
    </row>
    <row r="960" spans="1:44" x14ac:dyDescent="0.3">
      <c r="A960">
        <v>3869</v>
      </c>
      <c r="B960">
        <v>4</v>
      </c>
      <c r="C960">
        <v>4021593</v>
      </c>
      <c r="D960">
        <v>50042</v>
      </c>
      <c r="E960">
        <v>2</v>
      </c>
      <c r="F960">
        <v>670050</v>
      </c>
      <c r="G960" t="s">
        <v>113</v>
      </c>
      <c r="H960" t="s">
        <v>99</v>
      </c>
      <c r="I960">
        <v>0</v>
      </c>
      <c r="J960" s="1">
        <v>405342.5</v>
      </c>
      <c r="K960" s="1">
        <v>278487.46000000002</v>
      </c>
      <c r="L960" s="1">
        <v>405341.25599999999</v>
      </c>
      <c r="M960" s="1">
        <v>278486.755</v>
      </c>
      <c r="N960" t="s">
        <v>40</v>
      </c>
      <c r="P960" t="s">
        <v>40</v>
      </c>
      <c r="Q960">
        <v>0</v>
      </c>
      <c r="R960">
        <v>0</v>
      </c>
      <c r="S960">
        <v>0</v>
      </c>
      <c r="T960">
        <v>6</v>
      </c>
      <c r="U960">
        <v>6</v>
      </c>
      <c r="V960">
        <v>1</v>
      </c>
      <c r="W960">
        <v>3</v>
      </c>
      <c r="X960" t="s">
        <v>40</v>
      </c>
      <c r="Y960">
        <v>3</v>
      </c>
      <c r="Z960">
        <v>86</v>
      </c>
      <c r="AA960">
        <v>1</v>
      </c>
      <c r="AB960">
        <v>0</v>
      </c>
      <c r="AC960">
        <v>1.853</v>
      </c>
      <c r="AD960">
        <v>5059</v>
      </c>
      <c r="AH960">
        <v>0</v>
      </c>
      <c r="AI960">
        <v>0</v>
      </c>
      <c r="AL960" t="s">
        <v>40</v>
      </c>
      <c r="AM960" t="str">
        <f t="shared" si="78"/>
        <v>86 1</v>
      </c>
      <c r="AN960" t="str">
        <f t="shared" si="79"/>
        <v>405342.5,278487.46</v>
      </c>
      <c r="AO960" t="str">
        <f t="shared" si="80"/>
        <v>405341.256,278486.755</v>
      </c>
      <c r="AQ960" t="s">
        <v>2759</v>
      </c>
      <c r="AR960" t="s">
        <v>817</v>
      </c>
    </row>
    <row r="961" spans="1:44" x14ac:dyDescent="0.3">
      <c r="A961">
        <v>3869</v>
      </c>
      <c r="B961">
        <v>4</v>
      </c>
      <c r="C961">
        <v>4021584</v>
      </c>
      <c r="D961">
        <v>50041</v>
      </c>
      <c r="E961">
        <v>2</v>
      </c>
      <c r="F961">
        <v>670050</v>
      </c>
      <c r="G961" t="s">
        <v>113</v>
      </c>
      <c r="H961" t="s">
        <v>99</v>
      </c>
      <c r="I961">
        <v>0</v>
      </c>
      <c r="J961" s="1">
        <v>405340.44900000002</v>
      </c>
      <c r="K961" s="1">
        <v>278481.89600000001</v>
      </c>
      <c r="L961" s="1">
        <v>405341.21100000001</v>
      </c>
      <c r="M961" s="1">
        <v>278487.21100000001</v>
      </c>
      <c r="N961" t="s">
        <v>40</v>
      </c>
      <c r="P961" t="s">
        <v>40</v>
      </c>
      <c r="Q961">
        <v>0</v>
      </c>
      <c r="R961">
        <v>0</v>
      </c>
      <c r="S961">
        <v>199802</v>
      </c>
      <c r="T961">
        <v>6</v>
      </c>
      <c r="U961">
        <v>6</v>
      </c>
      <c r="V961">
        <v>1</v>
      </c>
      <c r="W961">
        <v>2</v>
      </c>
      <c r="X961" t="s">
        <v>40</v>
      </c>
      <c r="Y961">
        <v>3</v>
      </c>
      <c r="Z961">
        <v>38</v>
      </c>
      <c r="AA961">
        <v>1</v>
      </c>
      <c r="AB961">
        <v>0</v>
      </c>
      <c r="AC961">
        <v>10.388999999999999</v>
      </c>
      <c r="AD961">
        <v>5059</v>
      </c>
      <c r="AH961">
        <v>0</v>
      </c>
      <c r="AI961">
        <v>0</v>
      </c>
      <c r="AL961" t="s">
        <v>40</v>
      </c>
      <c r="AM961" t="str">
        <f t="shared" si="78"/>
        <v>38 1</v>
      </c>
      <c r="AN961" t="str">
        <f t="shared" si="79"/>
        <v>405340.449,278481.896</v>
      </c>
      <c r="AO961" t="str">
        <f t="shared" si="80"/>
        <v>405341.211,278487.211</v>
      </c>
      <c r="AQ961" t="s">
        <v>2751</v>
      </c>
      <c r="AR961" t="s">
        <v>816</v>
      </c>
    </row>
    <row r="962" spans="1:44" x14ac:dyDescent="0.3">
      <c r="A962">
        <v>3869</v>
      </c>
      <c r="B962">
        <v>4</v>
      </c>
      <c r="C962">
        <v>4021551</v>
      </c>
      <c r="D962">
        <v>50007</v>
      </c>
      <c r="E962">
        <v>2</v>
      </c>
      <c r="F962">
        <v>670050</v>
      </c>
      <c r="G962" t="s">
        <v>113</v>
      </c>
      <c r="H962" t="s">
        <v>99</v>
      </c>
      <c r="I962">
        <v>0</v>
      </c>
      <c r="J962" s="1">
        <v>405652.93</v>
      </c>
      <c r="K962" s="1">
        <v>278448.48599999998</v>
      </c>
      <c r="L962" s="1">
        <v>405654.21899999998</v>
      </c>
      <c r="M962" s="1">
        <v>278449.78499999997</v>
      </c>
      <c r="N962" t="s">
        <v>40</v>
      </c>
      <c r="P962" t="s">
        <v>40</v>
      </c>
      <c r="Q962">
        <v>0</v>
      </c>
      <c r="R962">
        <v>0</v>
      </c>
      <c r="S962">
        <v>0</v>
      </c>
      <c r="T962">
        <v>6</v>
      </c>
      <c r="U962">
        <v>6</v>
      </c>
      <c r="V962">
        <v>1</v>
      </c>
      <c r="W962">
        <v>2</v>
      </c>
      <c r="X962" t="s">
        <v>40</v>
      </c>
      <c r="Y962">
        <v>3</v>
      </c>
      <c r="Z962">
        <v>38</v>
      </c>
      <c r="AA962">
        <v>1</v>
      </c>
      <c r="AB962">
        <v>0</v>
      </c>
      <c r="AC962">
        <v>86.87700000000001</v>
      </c>
      <c r="AD962">
        <v>5059</v>
      </c>
      <c r="AH962">
        <v>0</v>
      </c>
      <c r="AI962">
        <v>0</v>
      </c>
      <c r="AL962" t="s">
        <v>40</v>
      </c>
      <c r="AM962" t="str">
        <f t="shared" si="78"/>
        <v>38 1</v>
      </c>
      <c r="AN962" s="6" t="s">
        <v>1787</v>
      </c>
      <c r="AO962" s="6" t="s">
        <v>595</v>
      </c>
      <c r="AQ962" t="s">
        <v>2766</v>
      </c>
      <c r="AR962" t="s">
        <v>811</v>
      </c>
    </row>
    <row r="963" spans="1:44" x14ac:dyDescent="0.3">
      <c r="A963">
        <v>3869</v>
      </c>
      <c r="B963">
        <v>4</v>
      </c>
      <c r="C963">
        <v>4021548</v>
      </c>
      <c r="D963">
        <v>20288</v>
      </c>
      <c r="E963">
        <v>2</v>
      </c>
      <c r="F963">
        <v>670050</v>
      </c>
      <c r="G963" t="s">
        <v>113</v>
      </c>
      <c r="H963" t="s">
        <v>99</v>
      </c>
      <c r="I963">
        <v>0</v>
      </c>
      <c r="J963" s="1">
        <v>405578.7</v>
      </c>
      <c r="K963" s="1">
        <v>278441.69</v>
      </c>
      <c r="L963" s="1">
        <v>405592.91</v>
      </c>
      <c r="M963" s="1">
        <v>278439.94500000001</v>
      </c>
      <c r="N963" t="s">
        <v>40</v>
      </c>
      <c r="P963" t="s">
        <v>40</v>
      </c>
      <c r="Q963">
        <v>0</v>
      </c>
      <c r="R963">
        <v>0</v>
      </c>
      <c r="S963">
        <v>0</v>
      </c>
      <c r="T963">
        <v>6</v>
      </c>
      <c r="U963">
        <v>6</v>
      </c>
      <c r="V963">
        <v>1</v>
      </c>
      <c r="W963">
        <v>2</v>
      </c>
      <c r="X963" t="s">
        <v>40</v>
      </c>
      <c r="Y963">
        <v>3</v>
      </c>
      <c r="Z963">
        <v>92</v>
      </c>
      <c r="AA963">
        <v>1</v>
      </c>
      <c r="AB963">
        <v>0</v>
      </c>
      <c r="AC963">
        <v>19.327000000000002</v>
      </c>
      <c r="AD963">
        <v>5059</v>
      </c>
      <c r="AH963">
        <v>0</v>
      </c>
      <c r="AI963">
        <v>0</v>
      </c>
      <c r="AL963" t="s">
        <v>40</v>
      </c>
      <c r="AM963" t="str">
        <f t="shared" si="78"/>
        <v>92 1</v>
      </c>
      <c r="AN963" t="str">
        <f t="shared" si="79"/>
        <v>405578.7,278441.69</v>
      </c>
      <c r="AO963" t="str">
        <f t="shared" si="80"/>
        <v>405592.91,278439.945</v>
      </c>
      <c r="AQ963" t="s">
        <v>2767</v>
      </c>
      <c r="AR963" t="s">
        <v>2766</v>
      </c>
    </row>
    <row r="964" spans="1:44" x14ac:dyDescent="0.3">
      <c r="A964">
        <v>3869</v>
      </c>
      <c r="B964">
        <v>4</v>
      </c>
      <c r="C964">
        <v>4021547</v>
      </c>
      <c r="D964">
        <v>19024</v>
      </c>
      <c r="E964">
        <v>2</v>
      </c>
      <c r="F964">
        <v>670050</v>
      </c>
      <c r="G964" t="s">
        <v>113</v>
      </c>
      <c r="H964" t="s">
        <v>99</v>
      </c>
      <c r="I964">
        <v>0</v>
      </c>
      <c r="J964" s="1">
        <v>405578.7</v>
      </c>
      <c r="K964" s="1">
        <v>278441.69</v>
      </c>
      <c r="L964" s="1">
        <v>405534.15500000003</v>
      </c>
      <c r="M964" s="1">
        <v>278481.516</v>
      </c>
      <c r="N964" t="s">
        <v>40</v>
      </c>
      <c r="P964" t="s">
        <v>40</v>
      </c>
      <c r="Q964">
        <v>0</v>
      </c>
      <c r="R964">
        <v>0</v>
      </c>
      <c r="S964">
        <v>0</v>
      </c>
      <c r="T964">
        <v>6</v>
      </c>
      <c r="U964">
        <v>6</v>
      </c>
      <c r="V964">
        <v>1</v>
      </c>
      <c r="W964">
        <v>2</v>
      </c>
      <c r="X964" t="s">
        <v>40</v>
      </c>
      <c r="Y964">
        <v>3</v>
      </c>
      <c r="Z964">
        <v>38</v>
      </c>
      <c r="AA964">
        <v>1</v>
      </c>
      <c r="AB964">
        <v>0</v>
      </c>
      <c r="AC964">
        <v>65.158000000000001</v>
      </c>
      <c r="AD964">
        <v>5059</v>
      </c>
      <c r="AH964">
        <v>0</v>
      </c>
      <c r="AI964">
        <v>0</v>
      </c>
      <c r="AL964" t="s">
        <v>40</v>
      </c>
      <c r="AM964" t="str">
        <f t="shared" si="78"/>
        <v>38 1</v>
      </c>
      <c r="AN964" t="str">
        <f t="shared" si="79"/>
        <v>405578.7,278441.69</v>
      </c>
      <c r="AO964" t="str">
        <f t="shared" si="80"/>
        <v>405534.155,278481.516</v>
      </c>
      <c r="AQ964" t="s">
        <v>2767</v>
      </c>
      <c r="AR964" t="s">
        <v>2768</v>
      </c>
    </row>
    <row r="965" spans="1:44" x14ac:dyDescent="0.3">
      <c r="A965">
        <v>3869</v>
      </c>
      <c r="B965">
        <v>4</v>
      </c>
      <c r="C965">
        <v>4021546</v>
      </c>
      <c r="D965">
        <v>19019</v>
      </c>
      <c r="E965">
        <v>2</v>
      </c>
      <c r="F965">
        <v>670050</v>
      </c>
      <c r="G965" t="s">
        <v>113</v>
      </c>
      <c r="H965" t="s">
        <v>99</v>
      </c>
      <c r="I965">
        <v>0</v>
      </c>
      <c r="J965" s="1">
        <v>405534.15500000003</v>
      </c>
      <c r="K965" s="1">
        <v>278481.516</v>
      </c>
      <c r="L965" s="1">
        <v>405535.50400000002</v>
      </c>
      <c r="M965" s="1">
        <v>278489.66200000001</v>
      </c>
      <c r="N965" t="s">
        <v>40</v>
      </c>
      <c r="P965" t="s">
        <v>40</v>
      </c>
      <c r="Q965">
        <v>0</v>
      </c>
      <c r="R965">
        <v>0</v>
      </c>
      <c r="S965">
        <v>200710</v>
      </c>
      <c r="T965">
        <v>6</v>
      </c>
      <c r="U965">
        <v>6</v>
      </c>
      <c r="V965">
        <v>1</v>
      </c>
      <c r="W965">
        <v>2</v>
      </c>
      <c r="X965" t="s">
        <v>40</v>
      </c>
      <c r="Y965">
        <v>3</v>
      </c>
      <c r="Z965">
        <v>5023</v>
      </c>
      <c r="AA965">
        <v>1</v>
      </c>
      <c r="AB965">
        <v>0</v>
      </c>
      <c r="AC965">
        <v>8.2769999999999992</v>
      </c>
      <c r="AD965">
        <v>5059</v>
      </c>
      <c r="AH965">
        <v>0</v>
      </c>
      <c r="AI965">
        <v>0</v>
      </c>
      <c r="AL965" t="s">
        <v>40</v>
      </c>
      <c r="AM965" t="str">
        <f t="shared" si="78"/>
        <v>5023 1</v>
      </c>
      <c r="AN965" t="str">
        <f t="shared" si="79"/>
        <v>405534.155,278481.516</v>
      </c>
      <c r="AO965" t="str">
        <f t="shared" si="80"/>
        <v>405535.504,278489.662</v>
      </c>
      <c r="AQ965" t="s">
        <v>2768</v>
      </c>
      <c r="AR965" t="s">
        <v>2756</v>
      </c>
    </row>
    <row r="966" spans="1:44" x14ac:dyDescent="0.3">
      <c r="A966">
        <v>3869</v>
      </c>
      <c r="B966">
        <v>4</v>
      </c>
      <c r="C966">
        <v>4021629</v>
      </c>
      <c r="D966">
        <v>50006</v>
      </c>
      <c r="E966">
        <v>2</v>
      </c>
      <c r="F966">
        <v>670050</v>
      </c>
      <c r="G966" t="s">
        <v>113</v>
      </c>
      <c r="H966" t="s">
        <v>99</v>
      </c>
      <c r="I966">
        <v>0</v>
      </c>
      <c r="J966" s="1">
        <v>405652.79800000001</v>
      </c>
      <c r="K966" s="1">
        <v>278448.59399999998</v>
      </c>
      <c r="L966" s="1">
        <v>405653.81900000002</v>
      </c>
      <c r="M966" s="1">
        <v>278449.99200000003</v>
      </c>
      <c r="N966" t="s">
        <v>40</v>
      </c>
      <c r="P966" t="s">
        <v>40</v>
      </c>
      <c r="Q966">
        <v>0</v>
      </c>
      <c r="R966">
        <v>0</v>
      </c>
      <c r="S966">
        <v>0</v>
      </c>
      <c r="T966">
        <v>6</v>
      </c>
      <c r="U966">
        <v>6</v>
      </c>
      <c r="V966">
        <v>1</v>
      </c>
      <c r="W966">
        <v>2</v>
      </c>
      <c r="X966" t="s">
        <v>40</v>
      </c>
      <c r="Y966">
        <v>3</v>
      </c>
      <c r="Z966">
        <v>38</v>
      </c>
      <c r="AA966">
        <v>1</v>
      </c>
      <c r="AB966">
        <v>0</v>
      </c>
      <c r="AC966">
        <v>1.738</v>
      </c>
      <c r="AD966">
        <v>5059</v>
      </c>
      <c r="AH966">
        <v>0</v>
      </c>
      <c r="AI966">
        <v>0</v>
      </c>
      <c r="AL966" t="s">
        <v>40</v>
      </c>
      <c r="AM966" t="str">
        <f t="shared" si="78"/>
        <v>38 1</v>
      </c>
      <c r="AN966" t="str">
        <f t="shared" si="79"/>
        <v>405652.798,278448.594</v>
      </c>
      <c r="AO966" t="str">
        <f t="shared" si="80"/>
        <v>405653.819,278449.992</v>
      </c>
      <c r="AQ966" t="s">
        <v>2763</v>
      </c>
      <c r="AR966" t="s">
        <v>810</v>
      </c>
    </row>
    <row r="967" spans="1:44" x14ac:dyDescent="0.3">
      <c r="A967">
        <v>3869</v>
      </c>
      <c r="B967">
        <v>4</v>
      </c>
      <c r="C967">
        <v>4021720</v>
      </c>
      <c r="D967">
        <v>50079</v>
      </c>
      <c r="E967">
        <v>2</v>
      </c>
      <c r="F967">
        <v>670050</v>
      </c>
      <c r="G967" t="s">
        <v>113</v>
      </c>
      <c r="H967" t="s">
        <v>99</v>
      </c>
      <c r="I967">
        <v>0</v>
      </c>
      <c r="J967" s="1">
        <v>405246.62699999998</v>
      </c>
      <c r="K967" s="1">
        <v>278301.87599999999</v>
      </c>
      <c r="L967" s="1">
        <v>405248.12699999998</v>
      </c>
      <c r="M967" s="1">
        <v>278297.72399999999</v>
      </c>
      <c r="N967" t="s">
        <v>40</v>
      </c>
      <c r="P967" t="s">
        <v>40</v>
      </c>
      <c r="Q967">
        <v>0</v>
      </c>
      <c r="R967">
        <v>0</v>
      </c>
      <c r="S967">
        <v>0</v>
      </c>
      <c r="T967">
        <v>6</v>
      </c>
      <c r="U967">
        <v>6</v>
      </c>
      <c r="V967">
        <v>1</v>
      </c>
      <c r="W967">
        <v>2</v>
      </c>
      <c r="X967" t="s">
        <v>40</v>
      </c>
      <c r="Y967">
        <v>3</v>
      </c>
      <c r="Z967">
        <v>38</v>
      </c>
      <c r="AA967">
        <v>1</v>
      </c>
      <c r="AB967">
        <v>0</v>
      </c>
      <c r="AC967">
        <v>5.2830000000000004</v>
      </c>
      <c r="AD967">
        <v>5059</v>
      </c>
      <c r="AH967">
        <v>0</v>
      </c>
      <c r="AI967">
        <v>0</v>
      </c>
      <c r="AL967" t="s">
        <v>40</v>
      </c>
      <c r="AM967" t="str">
        <f t="shared" si="78"/>
        <v>38 1</v>
      </c>
      <c r="AN967" t="str">
        <f t="shared" si="79"/>
        <v>405246.627,278301.876</v>
      </c>
      <c r="AO967" t="str">
        <f t="shared" si="80"/>
        <v>405248.127,278297.724</v>
      </c>
      <c r="AQ967" t="s">
        <v>2748</v>
      </c>
      <c r="AR967" t="s">
        <v>821</v>
      </c>
    </row>
    <row r="968" spans="1:44" x14ac:dyDescent="0.3">
      <c r="A968">
        <v>3869</v>
      </c>
      <c r="B968">
        <v>4</v>
      </c>
      <c r="C968">
        <v>4021800</v>
      </c>
      <c r="D968">
        <v>50116</v>
      </c>
      <c r="E968">
        <v>2</v>
      </c>
      <c r="F968">
        <v>670050</v>
      </c>
      <c r="G968" t="s">
        <v>113</v>
      </c>
      <c r="H968" t="s">
        <v>99</v>
      </c>
      <c r="I968">
        <v>0</v>
      </c>
      <c r="J968" s="1">
        <v>405156.57400000002</v>
      </c>
      <c r="K968" s="1">
        <v>278551.29499999998</v>
      </c>
      <c r="L968" s="1">
        <v>405153.14299999998</v>
      </c>
      <c r="M968" s="1">
        <v>278551.84700000001</v>
      </c>
      <c r="N968" t="s">
        <v>40</v>
      </c>
      <c r="P968" t="s">
        <v>40</v>
      </c>
      <c r="Q968">
        <v>0</v>
      </c>
      <c r="R968">
        <v>0</v>
      </c>
      <c r="S968">
        <v>0</v>
      </c>
      <c r="T968">
        <v>6</v>
      </c>
      <c r="U968">
        <v>6</v>
      </c>
      <c r="V968">
        <v>1</v>
      </c>
      <c r="W968">
        <v>3</v>
      </c>
      <c r="X968" t="s">
        <v>40</v>
      </c>
      <c r="Y968">
        <v>3</v>
      </c>
      <c r="Z968">
        <v>86</v>
      </c>
      <c r="AA968">
        <v>1</v>
      </c>
      <c r="AB968">
        <v>0</v>
      </c>
      <c r="AC968">
        <v>3.7160000000000002</v>
      </c>
      <c r="AD968">
        <v>5059</v>
      </c>
      <c r="AH968">
        <v>0</v>
      </c>
      <c r="AI968">
        <v>0</v>
      </c>
      <c r="AL968" t="s">
        <v>40</v>
      </c>
      <c r="AM968" t="str">
        <f t="shared" si="78"/>
        <v>86 1</v>
      </c>
      <c r="AN968" t="str">
        <f t="shared" si="79"/>
        <v>405156.574,278551.295</v>
      </c>
      <c r="AO968" t="str">
        <f t="shared" si="80"/>
        <v>405153.143,278551.847</v>
      </c>
      <c r="AQ968" t="s">
        <v>1881</v>
      </c>
      <c r="AR968" t="s">
        <v>1881</v>
      </c>
    </row>
    <row r="969" spans="1:44" x14ac:dyDescent="0.3">
      <c r="A969">
        <v>3869</v>
      </c>
      <c r="B969">
        <v>4</v>
      </c>
      <c r="C969">
        <v>4022875</v>
      </c>
      <c r="D969">
        <v>19635</v>
      </c>
      <c r="E969">
        <v>2</v>
      </c>
      <c r="F969">
        <v>670050</v>
      </c>
      <c r="G969" t="s">
        <v>113</v>
      </c>
      <c r="H969" t="s">
        <v>99</v>
      </c>
      <c r="I969">
        <v>0</v>
      </c>
      <c r="J969" s="1">
        <v>405221.58600000001</v>
      </c>
      <c r="K969" s="1">
        <v>278474.91600000003</v>
      </c>
      <c r="L969" s="1">
        <v>405222.429</v>
      </c>
      <c r="M969" s="1">
        <v>278446.15600000002</v>
      </c>
      <c r="N969" t="s">
        <v>40</v>
      </c>
      <c r="P969" t="s">
        <v>40</v>
      </c>
      <c r="Q969">
        <v>0</v>
      </c>
      <c r="R969">
        <v>0</v>
      </c>
      <c r="S969">
        <v>201009</v>
      </c>
      <c r="T969">
        <v>6</v>
      </c>
      <c r="U969">
        <v>6</v>
      </c>
      <c r="V969">
        <v>1</v>
      </c>
      <c r="W969">
        <v>2</v>
      </c>
      <c r="X969" t="s">
        <v>40</v>
      </c>
      <c r="Y969">
        <v>3</v>
      </c>
      <c r="Z969">
        <v>5023</v>
      </c>
      <c r="AA969">
        <v>1</v>
      </c>
      <c r="AB969">
        <v>0</v>
      </c>
      <c r="AC969">
        <v>36.646000000000001</v>
      </c>
      <c r="AD969">
        <v>5059</v>
      </c>
      <c r="AE969" t="s">
        <v>114</v>
      </c>
      <c r="AH969">
        <v>0</v>
      </c>
      <c r="AI969">
        <v>0</v>
      </c>
      <c r="AL969" t="s">
        <v>40</v>
      </c>
      <c r="AM969" t="str">
        <f t="shared" si="78"/>
        <v>5023 1</v>
      </c>
      <c r="AN969" t="str">
        <f t="shared" si="79"/>
        <v>405221.586,278474.916</v>
      </c>
      <c r="AO969" t="str">
        <f t="shared" si="80"/>
        <v>405222.429,278446.156</v>
      </c>
      <c r="AQ969" t="s">
        <v>2769</v>
      </c>
      <c r="AR969" t="s">
        <v>2770</v>
      </c>
    </row>
    <row r="970" spans="1:44" x14ac:dyDescent="0.3">
      <c r="A970">
        <v>3869</v>
      </c>
      <c r="B970">
        <v>4</v>
      </c>
      <c r="C970">
        <v>4022872</v>
      </c>
      <c r="D970">
        <v>19804</v>
      </c>
      <c r="E970">
        <v>2</v>
      </c>
      <c r="F970">
        <v>670050</v>
      </c>
      <c r="G970" t="s">
        <v>113</v>
      </c>
      <c r="H970" t="s">
        <v>99</v>
      </c>
      <c r="I970">
        <v>0</v>
      </c>
      <c r="J970" s="1">
        <v>405246.23200000002</v>
      </c>
      <c r="K970" s="1">
        <v>278301.79200000002</v>
      </c>
      <c r="L970" s="1">
        <v>405222.429</v>
      </c>
      <c r="M970" s="1">
        <v>278446.15600000002</v>
      </c>
      <c r="N970" t="s">
        <v>40</v>
      </c>
      <c r="P970" t="s">
        <v>40</v>
      </c>
      <c r="Q970">
        <v>0</v>
      </c>
      <c r="R970">
        <v>0</v>
      </c>
      <c r="S970">
        <v>0</v>
      </c>
      <c r="T970">
        <v>6</v>
      </c>
      <c r="U970">
        <v>6</v>
      </c>
      <c r="V970">
        <v>1</v>
      </c>
      <c r="W970">
        <v>2</v>
      </c>
      <c r="X970" t="s">
        <v>40</v>
      </c>
      <c r="Y970">
        <v>3</v>
      </c>
      <c r="Z970">
        <v>86</v>
      </c>
      <c r="AA970">
        <v>1</v>
      </c>
      <c r="AB970">
        <v>0</v>
      </c>
      <c r="AC970">
        <v>201.86500000000001</v>
      </c>
      <c r="AD970">
        <v>5059</v>
      </c>
      <c r="AH970">
        <v>0</v>
      </c>
      <c r="AI970">
        <v>0</v>
      </c>
      <c r="AL970" t="s">
        <v>40</v>
      </c>
      <c r="AM970" t="str">
        <f t="shared" si="78"/>
        <v>86 1</v>
      </c>
      <c r="AN970" t="str">
        <f t="shared" si="79"/>
        <v>405246.232,278301.792</v>
      </c>
      <c r="AO970" t="str">
        <f t="shared" si="80"/>
        <v>405222.429,278446.156</v>
      </c>
      <c r="AQ970" t="s">
        <v>2771</v>
      </c>
      <c r="AR970" t="s">
        <v>2770</v>
      </c>
    </row>
    <row r="971" spans="1:44" x14ac:dyDescent="0.3">
      <c r="A971">
        <v>3869</v>
      </c>
      <c r="B971">
        <v>4</v>
      </c>
      <c r="C971">
        <v>4011751</v>
      </c>
      <c r="D971">
        <v>11023</v>
      </c>
      <c r="E971">
        <v>2</v>
      </c>
      <c r="F971">
        <v>670050</v>
      </c>
      <c r="G971" t="s">
        <v>113</v>
      </c>
      <c r="H971" t="s">
        <v>45</v>
      </c>
      <c r="I971">
        <v>0</v>
      </c>
      <c r="J971" s="1">
        <v>405539.76299999998</v>
      </c>
      <c r="K971" s="1">
        <v>279766.71899999998</v>
      </c>
      <c r="L971" s="1">
        <v>405564.42099999997</v>
      </c>
      <c r="M971" s="1">
        <v>279565.00900000002</v>
      </c>
      <c r="N971" t="s">
        <v>40</v>
      </c>
      <c r="P971" t="s">
        <v>40</v>
      </c>
      <c r="Q971">
        <v>0</v>
      </c>
      <c r="R971">
        <v>0</v>
      </c>
      <c r="S971">
        <v>0</v>
      </c>
      <c r="T971">
        <v>6</v>
      </c>
      <c r="U971">
        <v>6</v>
      </c>
      <c r="V971">
        <v>1</v>
      </c>
      <c r="W971">
        <v>1</v>
      </c>
      <c r="X971" t="s">
        <v>40</v>
      </c>
      <c r="Y971">
        <v>3</v>
      </c>
      <c r="Z971">
        <v>92</v>
      </c>
      <c r="AA971">
        <v>1</v>
      </c>
      <c r="AB971">
        <v>0</v>
      </c>
      <c r="AC971">
        <v>203.73599999999999</v>
      </c>
      <c r="AD971">
        <v>5059</v>
      </c>
      <c r="AH971">
        <v>0</v>
      </c>
      <c r="AI971">
        <v>0</v>
      </c>
      <c r="AL971" t="s">
        <v>40</v>
      </c>
      <c r="AM971" t="str">
        <f t="shared" si="78"/>
        <v>92 1</v>
      </c>
      <c r="AN971" t="str">
        <f t="shared" si="79"/>
        <v>405539.763,279766.719</v>
      </c>
      <c r="AO971" t="str">
        <f t="shared" si="80"/>
        <v>405564.421,279565.009</v>
      </c>
      <c r="AQ971" t="s">
        <v>2739</v>
      </c>
      <c r="AR971" t="s">
        <v>2742</v>
      </c>
    </row>
    <row r="972" spans="1:44" x14ac:dyDescent="0.3">
      <c r="A972">
        <v>3869</v>
      </c>
      <c r="B972">
        <v>4</v>
      </c>
      <c r="C972">
        <v>4021788</v>
      </c>
      <c r="D972">
        <v>21480</v>
      </c>
      <c r="E972">
        <v>2</v>
      </c>
      <c r="F972">
        <v>670050</v>
      </c>
      <c r="G972" t="s">
        <v>113</v>
      </c>
      <c r="H972" t="s">
        <v>99</v>
      </c>
      <c r="I972">
        <v>0</v>
      </c>
      <c r="J972" s="1">
        <v>405158.77799999999</v>
      </c>
      <c r="K972" s="1">
        <v>278550.65299999999</v>
      </c>
      <c r="L972" s="1">
        <v>405156.67499999999</v>
      </c>
      <c r="M972" s="1">
        <v>278551.24200000003</v>
      </c>
      <c r="N972" t="s">
        <v>40</v>
      </c>
      <c r="P972" t="s">
        <v>40</v>
      </c>
      <c r="Q972">
        <v>0</v>
      </c>
      <c r="R972">
        <v>0</v>
      </c>
      <c r="S972">
        <v>0</v>
      </c>
      <c r="T972">
        <v>6</v>
      </c>
      <c r="U972">
        <v>6</v>
      </c>
      <c r="V972">
        <v>1</v>
      </c>
      <c r="W972">
        <v>3</v>
      </c>
      <c r="X972" t="s">
        <v>40</v>
      </c>
      <c r="Y972">
        <v>3</v>
      </c>
      <c r="Z972">
        <v>86</v>
      </c>
      <c r="AA972">
        <v>1</v>
      </c>
      <c r="AB972">
        <v>0</v>
      </c>
      <c r="AC972">
        <v>55.830000000000005</v>
      </c>
      <c r="AD972">
        <v>5059</v>
      </c>
      <c r="AH972">
        <v>0</v>
      </c>
      <c r="AI972">
        <v>0</v>
      </c>
      <c r="AL972" t="s">
        <v>40</v>
      </c>
      <c r="AM972" t="str">
        <f t="shared" si="78"/>
        <v>86 1</v>
      </c>
      <c r="AN972" s="6" t="s">
        <v>1539</v>
      </c>
      <c r="AO972" s="6" t="s">
        <v>604</v>
      </c>
      <c r="AQ972" t="s">
        <v>2772</v>
      </c>
      <c r="AR972" t="s">
        <v>815</v>
      </c>
    </row>
    <row r="973" spans="1:44" x14ac:dyDescent="0.3">
      <c r="A973">
        <v>3869</v>
      </c>
      <c r="B973">
        <v>4</v>
      </c>
      <c r="C973">
        <v>4011810</v>
      </c>
      <c r="D973">
        <v>11232</v>
      </c>
      <c r="E973">
        <v>2</v>
      </c>
      <c r="F973">
        <v>670050</v>
      </c>
      <c r="G973" t="s">
        <v>113</v>
      </c>
      <c r="H973" t="s">
        <v>45</v>
      </c>
      <c r="I973">
        <v>0</v>
      </c>
      <c r="J973" s="1">
        <v>405598.32799999998</v>
      </c>
      <c r="K973" s="1">
        <v>279370.01</v>
      </c>
      <c r="L973" s="1">
        <v>405599.76799999998</v>
      </c>
      <c r="M973" s="1">
        <v>279370.63799999998</v>
      </c>
      <c r="N973" t="s">
        <v>40</v>
      </c>
      <c r="P973" t="s">
        <v>40</v>
      </c>
      <c r="Q973">
        <v>0</v>
      </c>
      <c r="R973">
        <v>0</v>
      </c>
      <c r="S973">
        <v>0</v>
      </c>
      <c r="T973">
        <v>6</v>
      </c>
      <c r="U973">
        <v>6</v>
      </c>
      <c r="V973">
        <v>1</v>
      </c>
      <c r="W973">
        <v>1</v>
      </c>
      <c r="X973" t="s">
        <v>40</v>
      </c>
      <c r="Y973">
        <v>3</v>
      </c>
      <c r="Z973">
        <v>86</v>
      </c>
      <c r="AA973">
        <v>1</v>
      </c>
      <c r="AB973">
        <v>0</v>
      </c>
      <c r="AC973">
        <v>1.853</v>
      </c>
      <c r="AD973">
        <v>5059</v>
      </c>
      <c r="AH973">
        <v>0</v>
      </c>
      <c r="AI973">
        <v>0</v>
      </c>
      <c r="AL973" t="s">
        <v>40</v>
      </c>
      <c r="AM973" t="str">
        <f t="shared" si="78"/>
        <v>86 1</v>
      </c>
      <c r="AN973" t="str">
        <f t="shared" si="79"/>
        <v>405598.328,279370.01</v>
      </c>
      <c r="AO973" t="str">
        <f t="shared" si="80"/>
        <v>405599.768,279370.638</v>
      </c>
      <c r="AQ973" t="s">
        <v>1904</v>
      </c>
      <c r="AR973" t="s">
        <v>2760</v>
      </c>
    </row>
    <row r="974" spans="1:44" x14ac:dyDescent="0.3">
      <c r="A974">
        <v>3869</v>
      </c>
      <c r="B974">
        <v>4</v>
      </c>
      <c r="C974">
        <v>4021760</v>
      </c>
      <c r="D974">
        <v>19632</v>
      </c>
      <c r="E974">
        <v>2</v>
      </c>
      <c r="F974">
        <v>670050</v>
      </c>
      <c r="G974" t="s">
        <v>113</v>
      </c>
      <c r="H974" t="s">
        <v>99</v>
      </c>
      <c r="I974">
        <v>0</v>
      </c>
      <c r="J974" s="1">
        <v>405221.50699999998</v>
      </c>
      <c r="K974" s="1">
        <v>278481.47899999999</v>
      </c>
      <c r="L974" s="1">
        <v>405221.58600000001</v>
      </c>
      <c r="M974" s="1">
        <v>278474.91600000003</v>
      </c>
      <c r="N974" t="s">
        <v>40</v>
      </c>
      <c r="P974" t="s">
        <v>40</v>
      </c>
      <c r="Q974">
        <v>0</v>
      </c>
      <c r="R974">
        <v>0</v>
      </c>
      <c r="S974">
        <v>0</v>
      </c>
      <c r="T974">
        <v>6</v>
      </c>
      <c r="U974">
        <v>6</v>
      </c>
      <c r="V974">
        <v>1</v>
      </c>
      <c r="W974">
        <v>2</v>
      </c>
      <c r="X974" t="s">
        <v>40</v>
      </c>
      <c r="Y974">
        <v>3</v>
      </c>
      <c r="Z974">
        <v>86</v>
      </c>
      <c r="AA974">
        <v>1</v>
      </c>
      <c r="AB974">
        <v>0</v>
      </c>
      <c r="AC974">
        <v>6.5629999999999997</v>
      </c>
      <c r="AD974">
        <v>5059</v>
      </c>
      <c r="AH974">
        <v>0</v>
      </c>
      <c r="AI974">
        <v>0</v>
      </c>
      <c r="AL974" t="s">
        <v>40</v>
      </c>
      <c r="AM974" t="str">
        <f t="shared" si="78"/>
        <v>86 1</v>
      </c>
      <c r="AN974" t="str">
        <f t="shared" si="79"/>
        <v>405221.507,278481.479</v>
      </c>
      <c r="AO974" t="str">
        <f t="shared" si="80"/>
        <v>405221.586,278474.916</v>
      </c>
      <c r="AQ974" t="s">
        <v>1910</v>
      </c>
      <c r="AR974" t="s">
        <v>2769</v>
      </c>
    </row>
    <row r="975" spans="1:44" x14ac:dyDescent="0.3">
      <c r="A975">
        <v>3869</v>
      </c>
      <c r="B975">
        <v>4</v>
      </c>
      <c r="C975">
        <v>4021802</v>
      </c>
      <c r="D975">
        <v>19671</v>
      </c>
      <c r="E975">
        <v>2</v>
      </c>
      <c r="F975">
        <v>670050</v>
      </c>
      <c r="G975" t="s">
        <v>113</v>
      </c>
      <c r="H975" t="s">
        <v>99</v>
      </c>
      <c r="I975">
        <v>0</v>
      </c>
      <c r="J975" s="1">
        <v>405207.67499999999</v>
      </c>
      <c r="K975" s="1">
        <v>278517.12699999998</v>
      </c>
      <c r="L975" s="1">
        <v>405206.77899999998</v>
      </c>
      <c r="M975" s="1">
        <v>278480.54200000002</v>
      </c>
      <c r="N975" t="s">
        <v>40</v>
      </c>
      <c r="P975" t="s">
        <v>40</v>
      </c>
      <c r="Q975">
        <v>0</v>
      </c>
      <c r="R975">
        <v>0</v>
      </c>
      <c r="S975">
        <v>0</v>
      </c>
      <c r="T975">
        <v>6</v>
      </c>
      <c r="U975">
        <v>6</v>
      </c>
      <c r="V975">
        <v>1</v>
      </c>
      <c r="W975">
        <v>3</v>
      </c>
      <c r="X975" t="s">
        <v>40</v>
      </c>
      <c r="Y975">
        <v>3</v>
      </c>
      <c r="Z975">
        <v>89</v>
      </c>
      <c r="AA975">
        <v>1</v>
      </c>
      <c r="AB975">
        <v>0</v>
      </c>
      <c r="AC975">
        <v>69.510999999999996</v>
      </c>
      <c r="AD975">
        <v>5059</v>
      </c>
      <c r="AH975">
        <v>0</v>
      </c>
      <c r="AI975">
        <v>0</v>
      </c>
      <c r="AL975" t="s">
        <v>40</v>
      </c>
      <c r="AM975" t="str">
        <f t="shared" si="78"/>
        <v>89 1</v>
      </c>
      <c r="AN975" s="6" t="s">
        <v>1528</v>
      </c>
      <c r="AO975" s="6" t="s">
        <v>1529</v>
      </c>
      <c r="AQ975" t="s">
        <v>1910</v>
      </c>
      <c r="AR975" t="s">
        <v>2773</v>
      </c>
    </row>
    <row r="976" spans="1:44" x14ac:dyDescent="0.3">
      <c r="A976">
        <v>3869</v>
      </c>
      <c r="B976">
        <v>4</v>
      </c>
      <c r="C976">
        <v>4021728</v>
      </c>
      <c r="D976">
        <v>50082</v>
      </c>
      <c r="E976">
        <v>2</v>
      </c>
      <c r="F976">
        <v>670050</v>
      </c>
      <c r="G976" t="s">
        <v>113</v>
      </c>
      <c r="H976" t="s">
        <v>99</v>
      </c>
      <c r="I976">
        <v>0</v>
      </c>
      <c r="J976" s="1">
        <v>405246.74300000002</v>
      </c>
      <c r="K976" s="1">
        <v>278297.33899999998</v>
      </c>
      <c r="L976" s="1">
        <v>405249.01500000001</v>
      </c>
      <c r="M976" s="1">
        <v>278297.54800000001</v>
      </c>
      <c r="N976" t="s">
        <v>40</v>
      </c>
      <c r="P976" t="s">
        <v>40</v>
      </c>
      <c r="Q976">
        <v>0</v>
      </c>
      <c r="R976">
        <v>0</v>
      </c>
      <c r="S976">
        <v>0</v>
      </c>
      <c r="T976">
        <v>6</v>
      </c>
      <c r="U976">
        <v>6</v>
      </c>
      <c r="V976">
        <v>1</v>
      </c>
      <c r="W976">
        <v>3</v>
      </c>
      <c r="X976" t="s">
        <v>40</v>
      </c>
      <c r="Y976">
        <v>3</v>
      </c>
      <c r="Z976">
        <v>38</v>
      </c>
      <c r="AA976">
        <v>1</v>
      </c>
      <c r="AB976">
        <v>0</v>
      </c>
      <c r="AC976">
        <v>3.0859999999999999</v>
      </c>
      <c r="AD976">
        <v>5059</v>
      </c>
      <c r="AH976">
        <v>0</v>
      </c>
      <c r="AI976">
        <v>0</v>
      </c>
      <c r="AL976" t="s">
        <v>40</v>
      </c>
      <c r="AM976" t="str">
        <f t="shared" si="78"/>
        <v>38 1</v>
      </c>
      <c r="AN976" t="str">
        <f t="shared" si="79"/>
        <v>405246.743,278297.339</v>
      </c>
      <c r="AO976" t="str">
        <f t="shared" si="80"/>
        <v>405249.015,278297.548</v>
      </c>
      <c r="AQ976" t="s">
        <v>768</v>
      </c>
      <c r="AR976" t="s">
        <v>1911</v>
      </c>
    </row>
    <row r="977" spans="1:44" x14ac:dyDescent="0.3">
      <c r="A977">
        <v>3869</v>
      </c>
      <c r="B977">
        <v>4</v>
      </c>
      <c r="C977">
        <v>4021983</v>
      </c>
      <c r="D977">
        <v>51791</v>
      </c>
      <c r="E977">
        <v>2</v>
      </c>
      <c r="F977">
        <v>670050</v>
      </c>
      <c r="G977" t="s">
        <v>113</v>
      </c>
      <c r="H977" t="s">
        <v>99</v>
      </c>
      <c r="I977">
        <v>0</v>
      </c>
      <c r="J977" s="1">
        <v>405011.80599999998</v>
      </c>
      <c r="K977" s="1">
        <v>278873.28600000002</v>
      </c>
      <c r="L977" s="1">
        <v>405047.88900000002</v>
      </c>
      <c r="M977" s="1">
        <v>278981.64</v>
      </c>
      <c r="N977" t="s">
        <v>40</v>
      </c>
      <c r="P977" t="s">
        <v>40</v>
      </c>
      <c r="Q977">
        <v>0</v>
      </c>
      <c r="R977">
        <v>0</v>
      </c>
      <c r="S977">
        <v>0</v>
      </c>
      <c r="T977">
        <v>6</v>
      </c>
      <c r="U977">
        <v>6</v>
      </c>
      <c r="V977">
        <v>1</v>
      </c>
      <c r="W977">
        <v>2</v>
      </c>
      <c r="X977" t="s">
        <v>40</v>
      </c>
      <c r="Y977">
        <v>3</v>
      </c>
      <c r="Z977">
        <v>90</v>
      </c>
      <c r="AA977">
        <v>1</v>
      </c>
      <c r="AB977">
        <v>0</v>
      </c>
      <c r="AC977">
        <v>146.15700000000001</v>
      </c>
      <c r="AD977">
        <v>5059</v>
      </c>
      <c r="AH977">
        <v>0</v>
      </c>
      <c r="AI977">
        <v>0</v>
      </c>
      <c r="AL977" t="s">
        <v>40</v>
      </c>
      <c r="AM977" t="str">
        <f t="shared" si="78"/>
        <v>90 1</v>
      </c>
      <c r="AN977" t="str">
        <f t="shared" si="79"/>
        <v>405011.806,278873.286</v>
      </c>
      <c r="AO977" t="str">
        <f t="shared" si="80"/>
        <v>405047.889,278981.64</v>
      </c>
      <c r="AQ977" t="s">
        <v>2774</v>
      </c>
      <c r="AR977" t="s">
        <v>806</v>
      </c>
    </row>
    <row r="978" spans="1:44" x14ac:dyDescent="0.3">
      <c r="A978">
        <v>3869</v>
      </c>
      <c r="B978">
        <v>4</v>
      </c>
      <c r="C978">
        <v>4021168</v>
      </c>
      <c r="D978">
        <v>22291</v>
      </c>
      <c r="E978">
        <v>2</v>
      </c>
      <c r="F978">
        <v>670050</v>
      </c>
      <c r="G978" t="s">
        <v>113</v>
      </c>
      <c r="H978" t="s">
        <v>99</v>
      </c>
      <c r="I978">
        <v>0</v>
      </c>
      <c r="J978" s="1">
        <v>405680.592</v>
      </c>
      <c r="K978" s="1">
        <v>278902.08799999999</v>
      </c>
      <c r="L978" s="1">
        <v>405502.16200000001</v>
      </c>
      <c r="M978" s="1">
        <v>278901.114</v>
      </c>
      <c r="N978" t="s">
        <v>40</v>
      </c>
      <c r="P978" t="s">
        <v>40</v>
      </c>
      <c r="Q978">
        <v>0</v>
      </c>
      <c r="R978">
        <v>0</v>
      </c>
      <c r="S978">
        <v>0</v>
      </c>
      <c r="T978">
        <v>6</v>
      </c>
      <c r="U978">
        <v>6</v>
      </c>
      <c r="V978">
        <v>1</v>
      </c>
      <c r="W978">
        <v>1</v>
      </c>
      <c r="X978" t="s">
        <v>40</v>
      </c>
      <c r="Y978">
        <v>3</v>
      </c>
      <c r="Z978">
        <v>52</v>
      </c>
      <c r="AA978">
        <v>1</v>
      </c>
      <c r="AB978">
        <v>0</v>
      </c>
      <c r="AC978">
        <v>180.27</v>
      </c>
      <c r="AD978">
        <v>5059</v>
      </c>
      <c r="AH978">
        <v>0</v>
      </c>
      <c r="AI978">
        <v>0</v>
      </c>
      <c r="AL978" t="s">
        <v>40</v>
      </c>
      <c r="AM978" t="str">
        <f t="shared" si="78"/>
        <v>52 1</v>
      </c>
      <c r="AN978" t="str">
        <f t="shared" si="79"/>
        <v>405680.592,278902.088</v>
      </c>
      <c r="AO978" t="str">
        <f t="shared" si="80"/>
        <v>405502.162,278901.114</v>
      </c>
      <c r="AQ978" t="s">
        <v>2775</v>
      </c>
      <c r="AR978" t="s">
        <v>2776</v>
      </c>
    </row>
    <row r="979" spans="1:44" x14ac:dyDescent="0.3">
      <c r="A979">
        <v>3869</v>
      </c>
      <c r="B979">
        <v>4</v>
      </c>
      <c r="C979">
        <v>4021135</v>
      </c>
      <c r="D979">
        <v>49886</v>
      </c>
      <c r="E979">
        <v>2</v>
      </c>
      <c r="F979">
        <v>670050</v>
      </c>
      <c r="G979" t="s">
        <v>113</v>
      </c>
      <c r="H979" t="s">
        <v>99</v>
      </c>
      <c r="I979">
        <v>0</v>
      </c>
      <c r="J979" s="1">
        <v>405821.54800000001</v>
      </c>
      <c r="K979" s="1">
        <v>278931.592</v>
      </c>
      <c r="L979" s="1">
        <v>405822.78600000002</v>
      </c>
      <c r="M979" s="1">
        <v>278929.85100000002</v>
      </c>
      <c r="N979" t="s">
        <v>40</v>
      </c>
      <c r="P979" t="s">
        <v>40</v>
      </c>
      <c r="Q979">
        <v>0</v>
      </c>
      <c r="R979">
        <v>0</v>
      </c>
      <c r="S979">
        <v>0</v>
      </c>
      <c r="T979">
        <v>6</v>
      </c>
      <c r="U979">
        <v>6</v>
      </c>
      <c r="V979">
        <v>1</v>
      </c>
      <c r="W979">
        <v>1</v>
      </c>
      <c r="X979" t="s">
        <v>40</v>
      </c>
      <c r="Y979">
        <v>3</v>
      </c>
      <c r="Z979">
        <v>92</v>
      </c>
      <c r="AA979">
        <v>1</v>
      </c>
      <c r="AB979">
        <v>0</v>
      </c>
      <c r="AC979">
        <v>2.145</v>
      </c>
      <c r="AD979">
        <v>5059</v>
      </c>
      <c r="AH979">
        <v>0</v>
      </c>
      <c r="AI979">
        <v>0</v>
      </c>
      <c r="AL979" t="s">
        <v>40</v>
      </c>
      <c r="AM979" t="str">
        <f t="shared" si="78"/>
        <v>92 1</v>
      </c>
      <c r="AN979" t="str">
        <f t="shared" si="79"/>
        <v>405821.548,278931.592</v>
      </c>
      <c r="AO979" t="str">
        <f t="shared" si="80"/>
        <v>405822.786,278929.851</v>
      </c>
      <c r="AQ979" t="s">
        <v>2732</v>
      </c>
      <c r="AR979" t="s">
        <v>809</v>
      </c>
    </row>
    <row r="980" spans="1:44" x14ac:dyDescent="0.3">
      <c r="A980">
        <v>3869</v>
      </c>
      <c r="B980">
        <v>4</v>
      </c>
      <c r="C980">
        <v>4021169</v>
      </c>
      <c r="D980">
        <v>21124</v>
      </c>
      <c r="E980">
        <v>2</v>
      </c>
      <c r="F980">
        <v>670050</v>
      </c>
      <c r="G980" t="s">
        <v>113</v>
      </c>
      <c r="H980" t="s">
        <v>99</v>
      </c>
      <c r="I980">
        <v>0</v>
      </c>
      <c r="J980" s="1">
        <v>405689.42499999999</v>
      </c>
      <c r="K980" s="1">
        <v>278906.21399999998</v>
      </c>
      <c r="L980" s="1">
        <v>405680.592</v>
      </c>
      <c r="M980" s="1">
        <v>278902.08799999999</v>
      </c>
      <c r="N980" t="s">
        <v>40</v>
      </c>
      <c r="P980" t="s">
        <v>40</v>
      </c>
      <c r="Q980">
        <v>0</v>
      </c>
      <c r="R980">
        <v>0</v>
      </c>
      <c r="S980">
        <v>0</v>
      </c>
      <c r="T980">
        <v>6</v>
      </c>
      <c r="U980">
        <v>6</v>
      </c>
      <c r="V980">
        <v>1</v>
      </c>
      <c r="W980">
        <v>1</v>
      </c>
      <c r="X980" t="s">
        <v>40</v>
      </c>
      <c r="Y980">
        <v>3</v>
      </c>
      <c r="Z980">
        <v>5024</v>
      </c>
      <c r="AA980">
        <v>1</v>
      </c>
      <c r="AB980">
        <v>0</v>
      </c>
      <c r="AC980">
        <v>9.7509999999999994</v>
      </c>
      <c r="AD980">
        <v>5059</v>
      </c>
      <c r="AH980">
        <v>0</v>
      </c>
      <c r="AI980">
        <v>0</v>
      </c>
      <c r="AL980" t="s">
        <v>40</v>
      </c>
      <c r="AM980" t="str">
        <f t="shared" si="78"/>
        <v>5024 1</v>
      </c>
      <c r="AN980" t="str">
        <f t="shared" si="79"/>
        <v>405689.425,278906.214</v>
      </c>
      <c r="AO980" t="str">
        <f t="shared" si="80"/>
        <v>405680.592,278902.088</v>
      </c>
      <c r="AQ980" t="s">
        <v>2777</v>
      </c>
      <c r="AR980" t="s">
        <v>2775</v>
      </c>
    </row>
    <row r="981" spans="1:44" x14ac:dyDescent="0.3">
      <c r="A981">
        <v>3869</v>
      </c>
      <c r="B981">
        <v>4</v>
      </c>
      <c r="C981">
        <v>4021170</v>
      </c>
      <c r="D981">
        <v>30850</v>
      </c>
      <c r="E981">
        <v>2</v>
      </c>
      <c r="F981">
        <v>670050</v>
      </c>
      <c r="G981" t="s">
        <v>113</v>
      </c>
      <c r="H981" t="s">
        <v>99</v>
      </c>
      <c r="I981">
        <v>0</v>
      </c>
      <c r="J981" s="1">
        <v>405700.24400000001</v>
      </c>
      <c r="K981" s="1">
        <v>278911.84100000001</v>
      </c>
      <c r="L981" s="1">
        <v>405689.42499999999</v>
      </c>
      <c r="M981" s="1">
        <v>278906.21399999998</v>
      </c>
      <c r="N981" t="s">
        <v>40</v>
      </c>
      <c r="P981" t="s">
        <v>40</v>
      </c>
      <c r="Q981">
        <v>0</v>
      </c>
      <c r="R981">
        <v>0</v>
      </c>
      <c r="S981">
        <v>0</v>
      </c>
      <c r="T981">
        <v>6</v>
      </c>
      <c r="U981">
        <v>6</v>
      </c>
      <c r="V981">
        <v>1</v>
      </c>
      <c r="W981">
        <v>1</v>
      </c>
      <c r="X981" t="s">
        <v>40</v>
      </c>
      <c r="Y981">
        <v>3</v>
      </c>
      <c r="Z981">
        <v>52</v>
      </c>
      <c r="AA981">
        <v>1</v>
      </c>
      <c r="AB981">
        <v>0</v>
      </c>
      <c r="AC981">
        <v>12.196</v>
      </c>
      <c r="AD981">
        <v>5059</v>
      </c>
      <c r="AH981">
        <v>0</v>
      </c>
      <c r="AI981">
        <v>0</v>
      </c>
      <c r="AL981" t="s">
        <v>40</v>
      </c>
      <c r="AM981" t="str">
        <f t="shared" si="78"/>
        <v>52 1</v>
      </c>
      <c r="AN981" t="str">
        <f t="shared" si="79"/>
        <v>405700.244,278911.841</v>
      </c>
      <c r="AO981" t="str">
        <f t="shared" si="80"/>
        <v>405689.425,278906.214</v>
      </c>
      <c r="AQ981" t="s">
        <v>2778</v>
      </c>
      <c r="AR981" t="s">
        <v>2777</v>
      </c>
    </row>
    <row r="982" spans="1:44" x14ac:dyDescent="0.3">
      <c r="A982">
        <v>3869</v>
      </c>
      <c r="B982">
        <v>4</v>
      </c>
      <c r="C982">
        <v>4021171</v>
      </c>
      <c r="D982">
        <v>30867</v>
      </c>
      <c r="E982">
        <v>2</v>
      </c>
      <c r="F982">
        <v>670050</v>
      </c>
      <c r="G982" t="s">
        <v>113</v>
      </c>
      <c r="H982" t="s">
        <v>99</v>
      </c>
      <c r="I982">
        <v>0</v>
      </c>
      <c r="J982" s="1">
        <v>405723.05699999997</v>
      </c>
      <c r="K982" s="1">
        <v>278924.39600000001</v>
      </c>
      <c r="L982" s="1">
        <v>405700.24400000001</v>
      </c>
      <c r="M982" s="1">
        <v>278911.84100000001</v>
      </c>
      <c r="N982" t="s">
        <v>40</v>
      </c>
      <c r="P982" t="s">
        <v>40</v>
      </c>
      <c r="Q982">
        <v>0</v>
      </c>
      <c r="R982">
        <v>0</v>
      </c>
      <c r="S982">
        <v>201202</v>
      </c>
      <c r="T982">
        <v>6</v>
      </c>
      <c r="U982">
        <v>6</v>
      </c>
      <c r="V982">
        <v>1</v>
      </c>
      <c r="W982">
        <v>1</v>
      </c>
      <c r="X982" t="s">
        <v>40</v>
      </c>
      <c r="Y982">
        <v>3</v>
      </c>
      <c r="Z982">
        <v>5023</v>
      </c>
      <c r="AA982">
        <v>99</v>
      </c>
      <c r="AB982">
        <v>0</v>
      </c>
      <c r="AC982">
        <v>26.04</v>
      </c>
      <c r="AD982">
        <v>5059</v>
      </c>
      <c r="AE982" t="s">
        <v>46</v>
      </c>
      <c r="AH982">
        <v>0</v>
      </c>
      <c r="AI982">
        <v>0</v>
      </c>
      <c r="AL982" t="s">
        <v>40</v>
      </c>
      <c r="AM982" t="str">
        <f t="shared" si="78"/>
        <v>5023 99</v>
      </c>
      <c r="AN982" t="str">
        <f t="shared" si="79"/>
        <v>405723.057,278924.396</v>
      </c>
      <c r="AO982" t="str">
        <f t="shared" si="80"/>
        <v>405700.244,278911.841</v>
      </c>
      <c r="AQ982" t="s">
        <v>2764</v>
      </c>
      <c r="AR982" t="s">
        <v>2778</v>
      </c>
    </row>
    <row r="983" spans="1:44" x14ac:dyDescent="0.3">
      <c r="A983">
        <v>3869</v>
      </c>
      <c r="B983">
        <v>4</v>
      </c>
      <c r="C983">
        <v>4021978</v>
      </c>
      <c r="D983">
        <v>21794</v>
      </c>
      <c r="E983">
        <v>2</v>
      </c>
      <c r="F983">
        <v>670050</v>
      </c>
      <c r="G983" t="s">
        <v>113</v>
      </c>
      <c r="H983" t="s">
        <v>99</v>
      </c>
      <c r="I983">
        <v>0</v>
      </c>
      <c r="J983" s="1">
        <v>405011.80599999998</v>
      </c>
      <c r="K983" s="1">
        <v>278873.28600000002</v>
      </c>
      <c r="L983" s="1">
        <v>405049.87300000002</v>
      </c>
      <c r="M983" s="1">
        <v>278845.59499999997</v>
      </c>
      <c r="N983" t="s">
        <v>40</v>
      </c>
      <c r="P983" t="s">
        <v>40</v>
      </c>
      <c r="Q983">
        <v>0</v>
      </c>
      <c r="R983">
        <v>0</v>
      </c>
      <c r="S983">
        <v>0</v>
      </c>
      <c r="T983">
        <v>6</v>
      </c>
      <c r="U983">
        <v>6</v>
      </c>
      <c r="V983">
        <v>1</v>
      </c>
      <c r="W983">
        <v>2</v>
      </c>
      <c r="X983" t="s">
        <v>40</v>
      </c>
      <c r="Y983">
        <v>3</v>
      </c>
      <c r="Z983">
        <v>38</v>
      </c>
      <c r="AA983">
        <v>1</v>
      </c>
      <c r="AB983">
        <v>0</v>
      </c>
      <c r="AC983">
        <v>56.851999999999997</v>
      </c>
      <c r="AD983">
        <v>5059</v>
      </c>
      <c r="AH983">
        <v>0</v>
      </c>
      <c r="AI983">
        <v>0</v>
      </c>
      <c r="AL983" t="s">
        <v>40</v>
      </c>
      <c r="AM983" t="str">
        <f t="shared" si="78"/>
        <v>38 1</v>
      </c>
      <c r="AN983" t="str">
        <f t="shared" si="79"/>
        <v>405011.806,278873.286</v>
      </c>
      <c r="AO983" t="str">
        <f t="shared" si="80"/>
        <v>405049.873,278845.595</v>
      </c>
      <c r="AQ983" t="s">
        <v>2774</v>
      </c>
      <c r="AR983" t="s">
        <v>2747</v>
      </c>
    </row>
    <row r="984" spans="1:44" x14ac:dyDescent="0.3">
      <c r="A984">
        <v>3869</v>
      </c>
      <c r="B984">
        <v>4</v>
      </c>
      <c r="C984">
        <v>4021737</v>
      </c>
      <c r="D984">
        <v>50080</v>
      </c>
      <c r="E984">
        <v>2</v>
      </c>
      <c r="F984">
        <v>670050</v>
      </c>
      <c r="G984" t="s">
        <v>113</v>
      </c>
      <c r="H984" t="s">
        <v>99</v>
      </c>
      <c r="I984">
        <v>0</v>
      </c>
      <c r="J984" s="1">
        <v>405246.23200000002</v>
      </c>
      <c r="K984" s="1">
        <v>278301.79200000002</v>
      </c>
      <c r="L984" s="1">
        <v>405246.30200000003</v>
      </c>
      <c r="M984" s="1">
        <v>278297.636</v>
      </c>
      <c r="N984" t="s">
        <v>40</v>
      </c>
      <c r="P984" t="s">
        <v>40</v>
      </c>
      <c r="Q984">
        <v>0</v>
      </c>
      <c r="R984">
        <v>0</v>
      </c>
      <c r="S984">
        <v>0</v>
      </c>
      <c r="T984">
        <v>6</v>
      </c>
      <c r="U984">
        <v>6</v>
      </c>
      <c r="V984">
        <v>1</v>
      </c>
      <c r="W984">
        <v>2</v>
      </c>
      <c r="X984" t="s">
        <v>40</v>
      </c>
      <c r="Y984">
        <v>3</v>
      </c>
      <c r="Z984">
        <v>38</v>
      </c>
      <c r="AA984">
        <v>1</v>
      </c>
      <c r="AB984">
        <v>0</v>
      </c>
      <c r="AC984">
        <v>8.1790000000000003</v>
      </c>
      <c r="AD984">
        <v>5059</v>
      </c>
      <c r="AH984">
        <v>0</v>
      </c>
      <c r="AI984">
        <v>0</v>
      </c>
      <c r="AL984" t="s">
        <v>40</v>
      </c>
      <c r="AM984" t="str">
        <f t="shared" si="78"/>
        <v>38 1</v>
      </c>
      <c r="AN984" t="str">
        <f t="shared" si="79"/>
        <v>405246.232,278301.792</v>
      </c>
      <c r="AO984" t="str">
        <f t="shared" si="80"/>
        <v>405246.302,278297.636</v>
      </c>
      <c r="AQ984" t="s">
        <v>2771</v>
      </c>
      <c r="AR984" t="s">
        <v>768</v>
      </c>
    </row>
    <row r="985" spans="1:44" x14ac:dyDescent="0.3">
      <c r="A985">
        <v>3869</v>
      </c>
      <c r="B985">
        <v>4</v>
      </c>
      <c r="C985">
        <v>4021872</v>
      </c>
      <c r="D985">
        <v>50145</v>
      </c>
      <c r="E985">
        <v>2</v>
      </c>
      <c r="F985">
        <v>670050</v>
      </c>
      <c r="G985" t="s">
        <v>113</v>
      </c>
      <c r="H985" t="s">
        <v>99</v>
      </c>
      <c r="I985">
        <v>0</v>
      </c>
      <c r="J985" s="1">
        <v>405502.16200000001</v>
      </c>
      <c r="K985" s="1">
        <v>278901.114</v>
      </c>
      <c r="L985" s="1">
        <v>405484.93</v>
      </c>
      <c r="M985" s="1">
        <v>278850.03200000001</v>
      </c>
      <c r="N985" t="s">
        <v>40</v>
      </c>
      <c r="P985" t="s">
        <v>40</v>
      </c>
      <c r="Q985">
        <v>0</v>
      </c>
      <c r="R985">
        <v>0</v>
      </c>
      <c r="S985">
        <v>0</v>
      </c>
      <c r="T985">
        <v>6</v>
      </c>
      <c r="U985">
        <v>6</v>
      </c>
      <c r="V985">
        <v>1</v>
      </c>
      <c r="W985">
        <v>1</v>
      </c>
      <c r="X985" t="s">
        <v>40</v>
      </c>
      <c r="Y985">
        <v>3</v>
      </c>
      <c r="Z985">
        <v>90</v>
      </c>
      <c r="AA985">
        <v>1</v>
      </c>
      <c r="AB985">
        <v>0</v>
      </c>
      <c r="AC985">
        <v>59.396999999999998</v>
      </c>
      <c r="AD985">
        <v>5059</v>
      </c>
      <c r="AH985">
        <v>0</v>
      </c>
      <c r="AI985">
        <v>0</v>
      </c>
      <c r="AL985" t="s">
        <v>40</v>
      </c>
      <c r="AM985" t="str">
        <f t="shared" si="78"/>
        <v>90 1</v>
      </c>
      <c r="AN985" t="str">
        <f t="shared" si="79"/>
        <v>405502.162,278901.114</v>
      </c>
      <c r="AO985" t="str">
        <f t="shared" si="80"/>
        <v>405484.93,278850.032</v>
      </c>
      <c r="AQ985" t="s">
        <v>2776</v>
      </c>
      <c r="AR985" t="s">
        <v>807</v>
      </c>
    </row>
    <row r="986" spans="1:44" x14ac:dyDescent="0.3">
      <c r="A986">
        <v>3869</v>
      </c>
      <c r="B986">
        <v>4</v>
      </c>
      <c r="C986">
        <v>4021950</v>
      </c>
      <c r="D986">
        <v>22276</v>
      </c>
      <c r="E986">
        <v>2</v>
      </c>
      <c r="F986">
        <v>670050</v>
      </c>
      <c r="G986" t="s">
        <v>113</v>
      </c>
      <c r="H986" t="s">
        <v>99</v>
      </c>
      <c r="I986">
        <v>0</v>
      </c>
      <c r="J986" s="1">
        <v>405360.94</v>
      </c>
      <c r="K986" s="1">
        <v>278920.68800000002</v>
      </c>
      <c r="L986" s="1">
        <v>405304.42599999998</v>
      </c>
      <c r="M986" s="1">
        <v>278927.06099999999</v>
      </c>
      <c r="N986" t="s">
        <v>40</v>
      </c>
      <c r="P986" t="s">
        <v>40</v>
      </c>
      <c r="Q986">
        <v>0</v>
      </c>
      <c r="R986">
        <v>0</v>
      </c>
      <c r="S986">
        <v>0</v>
      </c>
      <c r="T986">
        <v>6</v>
      </c>
      <c r="U986">
        <v>6</v>
      </c>
      <c r="V986">
        <v>1</v>
      </c>
      <c r="W986">
        <v>2</v>
      </c>
      <c r="X986" t="s">
        <v>40</v>
      </c>
      <c r="Y986">
        <v>3</v>
      </c>
      <c r="Z986">
        <v>52</v>
      </c>
      <c r="AA986">
        <v>1</v>
      </c>
      <c r="AB986">
        <v>0</v>
      </c>
      <c r="AC986">
        <v>110.634</v>
      </c>
      <c r="AD986">
        <v>5059</v>
      </c>
      <c r="AH986">
        <v>0</v>
      </c>
      <c r="AI986">
        <v>0</v>
      </c>
      <c r="AL986" t="s">
        <v>40</v>
      </c>
      <c r="AM986" t="str">
        <f t="shared" si="78"/>
        <v>52 1</v>
      </c>
      <c r="AN986" s="6" t="s">
        <v>1536</v>
      </c>
      <c r="AO986" s="6" t="s">
        <v>1791</v>
      </c>
      <c r="AQ986" t="s">
        <v>2779</v>
      </c>
      <c r="AR986" t="s">
        <v>2746</v>
      </c>
    </row>
    <row r="987" spans="1:44" x14ac:dyDescent="0.3">
      <c r="A987">
        <v>3869</v>
      </c>
      <c r="B987">
        <v>4</v>
      </c>
      <c r="C987">
        <v>4021926</v>
      </c>
      <c r="D987">
        <v>51767</v>
      </c>
      <c r="E987">
        <v>2</v>
      </c>
      <c r="F987">
        <v>670050</v>
      </c>
      <c r="G987" t="s">
        <v>113</v>
      </c>
      <c r="H987" t="s">
        <v>99</v>
      </c>
      <c r="I987">
        <v>0</v>
      </c>
      <c r="J987" s="1">
        <v>405413.36499999999</v>
      </c>
      <c r="K987" s="1">
        <v>278912.658</v>
      </c>
      <c r="L987" s="1">
        <v>405406.42200000002</v>
      </c>
      <c r="M987" s="1">
        <v>278864.15000000002</v>
      </c>
      <c r="N987" t="s">
        <v>40</v>
      </c>
      <c r="P987" t="s">
        <v>40</v>
      </c>
      <c r="Q987">
        <v>0</v>
      </c>
      <c r="R987">
        <v>0</v>
      </c>
      <c r="S987">
        <v>0</v>
      </c>
      <c r="T987">
        <v>6</v>
      </c>
      <c r="U987">
        <v>6</v>
      </c>
      <c r="V987">
        <v>1</v>
      </c>
      <c r="W987">
        <v>2</v>
      </c>
      <c r="X987" t="s">
        <v>40</v>
      </c>
      <c r="Y987">
        <v>3</v>
      </c>
      <c r="Z987">
        <v>5024</v>
      </c>
      <c r="AA987">
        <v>1</v>
      </c>
      <c r="AB987">
        <v>0</v>
      </c>
      <c r="AC987">
        <v>58.588000000000001</v>
      </c>
      <c r="AD987">
        <v>5059</v>
      </c>
      <c r="AH987">
        <v>0</v>
      </c>
      <c r="AI987">
        <v>0</v>
      </c>
      <c r="AL987" t="s">
        <v>40</v>
      </c>
      <c r="AM987" t="str">
        <f t="shared" si="78"/>
        <v>5024 1</v>
      </c>
      <c r="AN987" t="str">
        <f t="shared" si="79"/>
        <v>405413.365,278912.658</v>
      </c>
      <c r="AO987" t="str">
        <f t="shared" si="80"/>
        <v>405406.422,278864.15</v>
      </c>
      <c r="AQ987" t="s">
        <v>2779</v>
      </c>
      <c r="AR987" t="s">
        <v>809</v>
      </c>
    </row>
    <row r="988" spans="1:44" x14ac:dyDescent="0.3">
      <c r="A988">
        <v>3869</v>
      </c>
      <c r="B988">
        <v>4</v>
      </c>
      <c r="C988">
        <v>4021909</v>
      </c>
      <c r="D988">
        <v>51766</v>
      </c>
      <c r="E988">
        <v>2</v>
      </c>
      <c r="F988">
        <v>670050</v>
      </c>
      <c r="G988" t="s">
        <v>113</v>
      </c>
      <c r="H988" t="s">
        <v>99</v>
      </c>
      <c r="I988">
        <v>0</v>
      </c>
      <c r="J988" s="1">
        <v>405421.06300000002</v>
      </c>
      <c r="K988" s="1">
        <v>278910.86200000002</v>
      </c>
      <c r="L988" s="1">
        <v>405406.37800000003</v>
      </c>
      <c r="M988" s="1">
        <v>278863.68</v>
      </c>
      <c r="N988" t="s">
        <v>40</v>
      </c>
      <c r="P988" t="s">
        <v>40</v>
      </c>
      <c r="Q988">
        <v>0</v>
      </c>
      <c r="R988">
        <v>0</v>
      </c>
      <c r="S988">
        <v>0</v>
      </c>
      <c r="T988">
        <v>6</v>
      </c>
      <c r="U988">
        <v>6</v>
      </c>
      <c r="V988">
        <v>1</v>
      </c>
      <c r="W988">
        <v>2</v>
      </c>
      <c r="X988" t="s">
        <v>40</v>
      </c>
      <c r="Y988">
        <v>3</v>
      </c>
      <c r="Z988">
        <v>5024</v>
      </c>
      <c r="AA988">
        <v>1</v>
      </c>
      <c r="AB988">
        <v>0</v>
      </c>
      <c r="AC988">
        <v>56.933</v>
      </c>
      <c r="AD988">
        <v>5059</v>
      </c>
      <c r="AH988">
        <v>0</v>
      </c>
      <c r="AI988">
        <v>0</v>
      </c>
      <c r="AL988" t="s">
        <v>40</v>
      </c>
      <c r="AM988" t="str">
        <f t="shared" si="78"/>
        <v>5024 1</v>
      </c>
      <c r="AN988" t="str">
        <f t="shared" si="79"/>
        <v>405421.063,278910.862</v>
      </c>
      <c r="AO988" t="str">
        <f t="shared" si="80"/>
        <v>405406.378,278863.68</v>
      </c>
      <c r="AQ988" t="s">
        <v>2780</v>
      </c>
      <c r="AR988" t="s">
        <v>809</v>
      </c>
    </row>
    <row r="989" spans="1:44" x14ac:dyDescent="0.3">
      <c r="A989">
        <v>3869</v>
      </c>
      <c r="B989">
        <v>4</v>
      </c>
      <c r="C989">
        <v>4021902</v>
      </c>
      <c r="D989">
        <v>22117</v>
      </c>
      <c r="E989">
        <v>2</v>
      </c>
      <c r="F989">
        <v>670050</v>
      </c>
      <c r="G989" t="s">
        <v>113</v>
      </c>
      <c r="H989" t="s">
        <v>99</v>
      </c>
      <c r="I989">
        <v>0</v>
      </c>
      <c r="J989" s="1">
        <v>405450.25799999997</v>
      </c>
      <c r="K989" s="1">
        <v>279000</v>
      </c>
      <c r="L989" s="1">
        <v>405421.06300000002</v>
      </c>
      <c r="M989" s="1">
        <v>278910.86200000002</v>
      </c>
      <c r="N989" t="s">
        <v>40</v>
      </c>
      <c r="P989" t="s">
        <v>40</v>
      </c>
      <c r="Q989">
        <v>0</v>
      </c>
      <c r="R989">
        <v>0</v>
      </c>
      <c r="S989">
        <v>0</v>
      </c>
      <c r="T989">
        <v>6</v>
      </c>
      <c r="U989">
        <v>6</v>
      </c>
      <c r="V989">
        <v>1</v>
      </c>
      <c r="W989">
        <v>2</v>
      </c>
      <c r="X989" t="s">
        <v>40</v>
      </c>
      <c r="Y989">
        <v>3</v>
      </c>
      <c r="Z989">
        <v>52</v>
      </c>
      <c r="AA989">
        <v>1</v>
      </c>
      <c r="AB989">
        <v>0</v>
      </c>
      <c r="AC989">
        <v>201.56300000000002</v>
      </c>
      <c r="AD989">
        <v>5059</v>
      </c>
      <c r="AH989">
        <v>0</v>
      </c>
      <c r="AI989">
        <v>0</v>
      </c>
      <c r="AL989" t="s">
        <v>40</v>
      </c>
      <c r="AM989" t="str">
        <f t="shared" si="78"/>
        <v>52 1</v>
      </c>
      <c r="AN989" s="6" t="s">
        <v>1537</v>
      </c>
      <c r="AO989" s="6" t="s">
        <v>1547</v>
      </c>
      <c r="AQ989" t="s">
        <v>2780</v>
      </c>
      <c r="AR989" t="s">
        <v>2781</v>
      </c>
    </row>
    <row r="990" spans="1:44" x14ac:dyDescent="0.3">
      <c r="A990">
        <v>3869</v>
      </c>
      <c r="B990">
        <v>4</v>
      </c>
      <c r="C990">
        <v>4021901</v>
      </c>
      <c r="D990">
        <v>22118</v>
      </c>
      <c r="E990">
        <v>2</v>
      </c>
      <c r="F990">
        <v>670050</v>
      </c>
      <c r="G990" t="s">
        <v>113</v>
      </c>
      <c r="H990" t="s">
        <v>99</v>
      </c>
      <c r="I990">
        <v>0</v>
      </c>
      <c r="J990" s="1">
        <v>405450.66899999999</v>
      </c>
      <c r="K990" s="1">
        <v>279000</v>
      </c>
      <c r="L990" s="1">
        <v>405470.71299999999</v>
      </c>
      <c r="M990" s="1">
        <v>278901.96999999997</v>
      </c>
      <c r="N990" t="s">
        <v>40</v>
      </c>
      <c r="P990" t="s">
        <v>40</v>
      </c>
      <c r="Q990">
        <v>0</v>
      </c>
      <c r="R990">
        <v>0</v>
      </c>
      <c r="S990">
        <v>0</v>
      </c>
      <c r="T990">
        <v>6</v>
      </c>
      <c r="U990">
        <v>6</v>
      </c>
      <c r="V990">
        <v>1</v>
      </c>
      <c r="W990">
        <v>2</v>
      </c>
      <c r="X990" t="s">
        <v>40</v>
      </c>
      <c r="Y990">
        <v>3</v>
      </c>
      <c r="Z990">
        <v>52</v>
      </c>
      <c r="AA990">
        <v>1</v>
      </c>
      <c r="AB990">
        <v>0</v>
      </c>
      <c r="AC990">
        <v>170.41800000000001</v>
      </c>
      <c r="AD990">
        <v>5059</v>
      </c>
      <c r="AH990">
        <v>0</v>
      </c>
      <c r="AI990">
        <v>0</v>
      </c>
      <c r="AL990" t="s">
        <v>40</v>
      </c>
      <c r="AM990" t="str">
        <f t="shared" si="78"/>
        <v>52 1</v>
      </c>
      <c r="AN990" s="6" t="s">
        <v>1544</v>
      </c>
      <c r="AO990" s="6" t="s">
        <v>606</v>
      </c>
      <c r="AQ990" t="s">
        <v>2782</v>
      </c>
      <c r="AR990" t="s">
        <v>816</v>
      </c>
    </row>
    <row r="991" spans="1:44" x14ac:dyDescent="0.3">
      <c r="A991">
        <v>3869</v>
      </c>
      <c r="B991">
        <v>4</v>
      </c>
      <c r="C991">
        <v>4021801</v>
      </c>
      <c r="D991">
        <v>19638</v>
      </c>
      <c r="E991">
        <v>2</v>
      </c>
      <c r="F991">
        <v>670050</v>
      </c>
      <c r="G991" t="s">
        <v>113</v>
      </c>
      <c r="H991" t="s">
        <v>99</v>
      </c>
      <c r="I991">
        <v>0</v>
      </c>
      <c r="J991" s="1">
        <v>405207.67499999999</v>
      </c>
      <c r="K991" s="1">
        <v>278517.12699999998</v>
      </c>
      <c r="L991" s="1">
        <v>405210.12699999998</v>
      </c>
      <c r="M991" s="1">
        <v>278540.141</v>
      </c>
      <c r="N991" t="s">
        <v>40</v>
      </c>
      <c r="P991" t="s">
        <v>40</v>
      </c>
      <c r="Q991">
        <v>0</v>
      </c>
      <c r="R991">
        <v>0</v>
      </c>
      <c r="S991">
        <v>0</v>
      </c>
      <c r="T991">
        <v>6</v>
      </c>
      <c r="U991">
        <v>6</v>
      </c>
      <c r="V991">
        <v>1</v>
      </c>
      <c r="W991">
        <v>3</v>
      </c>
      <c r="X991" t="s">
        <v>40</v>
      </c>
      <c r="Y991">
        <v>3</v>
      </c>
      <c r="Z991">
        <v>38</v>
      </c>
      <c r="AA991">
        <v>1</v>
      </c>
      <c r="AB991">
        <v>0</v>
      </c>
      <c r="AC991">
        <v>33.04</v>
      </c>
      <c r="AD991">
        <v>5059</v>
      </c>
      <c r="AH991">
        <v>0</v>
      </c>
      <c r="AI991">
        <v>0</v>
      </c>
      <c r="AL991" t="s">
        <v>40</v>
      </c>
      <c r="AM991" t="str">
        <f t="shared" si="78"/>
        <v>38 1</v>
      </c>
      <c r="AN991" t="str">
        <f t="shared" si="79"/>
        <v>405207.675,278517.127</v>
      </c>
      <c r="AO991" t="str">
        <f t="shared" si="80"/>
        <v>405210.127,278540.141</v>
      </c>
      <c r="AQ991" t="s">
        <v>2773</v>
      </c>
      <c r="AR991" t="s">
        <v>2772</v>
      </c>
    </row>
    <row r="992" spans="1:44" x14ac:dyDescent="0.3">
      <c r="A992">
        <v>3869</v>
      </c>
      <c r="B992">
        <v>4</v>
      </c>
      <c r="C992">
        <v>4021873</v>
      </c>
      <c r="D992">
        <v>50147</v>
      </c>
      <c r="E992">
        <v>2</v>
      </c>
      <c r="F992">
        <v>670050</v>
      </c>
      <c r="G992" t="s">
        <v>113</v>
      </c>
      <c r="H992" t="s">
        <v>99</v>
      </c>
      <c r="I992">
        <v>0</v>
      </c>
      <c r="J992" s="1">
        <v>405479.61800000002</v>
      </c>
      <c r="K992" s="1">
        <v>278820.81</v>
      </c>
      <c r="L992" s="1">
        <v>405484.74599999998</v>
      </c>
      <c r="M992" s="1">
        <v>278849.57299999997</v>
      </c>
      <c r="N992" t="s">
        <v>40</v>
      </c>
      <c r="P992" t="s">
        <v>40</v>
      </c>
      <c r="Q992">
        <v>0</v>
      </c>
      <c r="R992">
        <v>0</v>
      </c>
      <c r="S992">
        <v>0</v>
      </c>
      <c r="T992">
        <v>6</v>
      </c>
      <c r="U992">
        <v>6</v>
      </c>
      <c r="V992">
        <v>1</v>
      </c>
      <c r="W992">
        <v>1</v>
      </c>
      <c r="X992" t="s">
        <v>40</v>
      </c>
      <c r="Y992">
        <v>3</v>
      </c>
      <c r="Z992">
        <v>90</v>
      </c>
      <c r="AA992">
        <v>1</v>
      </c>
      <c r="AB992">
        <v>0</v>
      </c>
      <c r="AC992">
        <v>29.268000000000001</v>
      </c>
      <c r="AD992">
        <v>5059</v>
      </c>
      <c r="AH992">
        <v>0</v>
      </c>
      <c r="AI992">
        <v>0</v>
      </c>
      <c r="AL992" t="s">
        <v>40</v>
      </c>
      <c r="AM992" t="str">
        <f t="shared" si="78"/>
        <v>90 1</v>
      </c>
      <c r="AN992" t="str">
        <f t="shared" si="79"/>
        <v>405479.618,278820.81</v>
      </c>
      <c r="AO992" t="str">
        <f t="shared" si="80"/>
        <v>405484.746,278849.573</v>
      </c>
      <c r="AQ992" t="s">
        <v>2783</v>
      </c>
      <c r="AR992" t="s">
        <v>807</v>
      </c>
    </row>
    <row r="993" spans="1:44" x14ac:dyDescent="0.3">
      <c r="A993">
        <v>3869</v>
      </c>
      <c r="B993">
        <v>4</v>
      </c>
      <c r="C993">
        <v>4021867</v>
      </c>
      <c r="D993">
        <v>21947</v>
      </c>
      <c r="E993">
        <v>2</v>
      </c>
      <c r="F993">
        <v>670050</v>
      </c>
      <c r="G993" t="s">
        <v>113</v>
      </c>
      <c r="H993" t="s">
        <v>99</v>
      </c>
      <c r="I993">
        <v>0</v>
      </c>
      <c r="J993" s="1">
        <v>405479.23200000002</v>
      </c>
      <c r="K993" s="1">
        <v>278818.86099999998</v>
      </c>
      <c r="L993" s="1">
        <v>405479.61800000002</v>
      </c>
      <c r="M993" s="1">
        <v>278820.81</v>
      </c>
      <c r="N993" t="s">
        <v>40</v>
      </c>
      <c r="P993" t="s">
        <v>40</v>
      </c>
      <c r="Q993">
        <v>0</v>
      </c>
      <c r="R993">
        <v>0</v>
      </c>
      <c r="S993">
        <v>0</v>
      </c>
      <c r="T993">
        <v>6</v>
      </c>
      <c r="U993">
        <v>6</v>
      </c>
      <c r="V993">
        <v>1</v>
      </c>
      <c r="W993">
        <v>1</v>
      </c>
      <c r="X993" t="s">
        <v>40</v>
      </c>
      <c r="Y993">
        <v>3</v>
      </c>
      <c r="Z993">
        <v>5024</v>
      </c>
      <c r="AA993">
        <v>1</v>
      </c>
      <c r="AB993">
        <v>0</v>
      </c>
      <c r="AC993">
        <v>1.988</v>
      </c>
      <c r="AD993">
        <v>5059</v>
      </c>
      <c r="AH993">
        <v>0</v>
      </c>
      <c r="AI993">
        <v>0</v>
      </c>
      <c r="AL993" t="s">
        <v>40</v>
      </c>
      <c r="AM993" t="str">
        <f t="shared" si="78"/>
        <v>5024 1</v>
      </c>
      <c r="AN993" t="str">
        <f t="shared" si="79"/>
        <v>405479.232,278818.861</v>
      </c>
      <c r="AO993" t="str">
        <f t="shared" si="80"/>
        <v>405479.618,278820.81</v>
      </c>
      <c r="AQ993" t="s">
        <v>1905</v>
      </c>
      <c r="AR993" t="s">
        <v>2783</v>
      </c>
    </row>
    <row r="994" spans="1:44" x14ac:dyDescent="0.3">
      <c r="A994">
        <v>3869</v>
      </c>
      <c r="B994">
        <v>4</v>
      </c>
      <c r="C994">
        <v>4021851</v>
      </c>
      <c r="D994">
        <v>21948</v>
      </c>
      <c r="E994">
        <v>2</v>
      </c>
      <c r="F994">
        <v>670050</v>
      </c>
      <c r="G994" t="s">
        <v>113</v>
      </c>
      <c r="H994" t="s">
        <v>99</v>
      </c>
      <c r="I994">
        <v>0</v>
      </c>
      <c r="J994" s="1">
        <v>405478.20699999999</v>
      </c>
      <c r="K994" s="1">
        <v>278807.554</v>
      </c>
      <c r="L994" s="1">
        <v>405479.23200000002</v>
      </c>
      <c r="M994" s="1">
        <v>278818.86099999998</v>
      </c>
      <c r="N994" t="s">
        <v>40</v>
      </c>
      <c r="P994" t="s">
        <v>40</v>
      </c>
      <c r="Q994">
        <v>0</v>
      </c>
      <c r="R994">
        <v>0</v>
      </c>
      <c r="S994">
        <v>0</v>
      </c>
      <c r="T994">
        <v>6</v>
      </c>
      <c r="U994">
        <v>6</v>
      </c>
      <c r="V994">
        <v>1</v>
      </c>
      <c r="W994">
        <v>1</v>
      </c>
      <c r="X994" t="s">
        <v>40</v>
      </c>
      <c r="Y994">
        <v>3</v>
      </c>
      <c r="Z994">
        <v>5024</v>
      </c>
      <c r="AA994">
        <v>1</v>
      </c>
      <c r="AB994">
        <v>0</v>
      </c>
      <c r="AC994">
        <v>18.837</v>
      </c>
      <c r="AD994">
        <v>5059</v>
      </c>
      <c r="AH994">
        <v>0</v>
      </c>
      <c r="AI994">
        <v>0</v>
      </c>
      <c r="AL994" t="s">
        <v>40</v>
      </c>
      <c r="AM994" t="str">
        <f t="shared" si="78"/>
        <v>5024 1</v>
      </c>
      <c r="AN994" s="6" t="s">
        <v>1508</v>
      </c>
      <c r="AO994" s="6" t="s">
        <v>1540</v>
      </c>
      <c r="AQ994" t="s">
        <v>1905</v>
      </c>
      <c r="AR994" t="s">
        <v>2784</v>
      </c>
    </row>
    <row r="995" spans="1:44" x14ac:dyDescent="0.3">
      <c r="A995">
        <v>3869</v>
      </c>
      <c r="B995">
        <v>4</v>
      </c>
      <c r="C995">
        <v>4021839</v>
      </c>
      <c r="D995">
        <v>50122</v>
      </c>
      <c r="E995">
        <v>2</v>
      </c>
      <c r="F995">
        <v>670050</v>
      </c>
      <c r="G995" t="s">
        <v>113</v>
      </c>
      <c r="H995" t="s">
        <v>99</v>
      </c>
      <c r="I995">
        <v>0</v>
      </c>
      <c r="J995" s="1">
        <v>405475.163</v>
      </c>
      <c r="K995" s="1">
        <v>278808.62300000002</v>
      </c>
      <c r="L995" s="1">
        <v>405365.43800000002</v>
      </c>
      <c r="M995" s="1">
        <v>278709.72399999999</v>
      </c>
      <c r="N995" t="s">
        <v>40</v>
      </c>
      <c r="P995" t="s">
        <v>40</v>
      </c>
      <c r="Q995">
        <v>0</v>
      </c>
      <c r="R995">
        <v>0</v>
      </c>
      <c r="S995">
        <v>0</v>
      </c>
      <c r="T995">
        <v>6</v>
      </c>
      <c r="U995">
        <v>6</v>
      </c>
      <c r="V995">
        <v>1</v>
      </c>
      <c r="W995">
        <v>1</v>
      </c>
      <c r="X995" t="s">
        <v>40</v>
      </c>
      <c r="Y995">
        <v>3</v>
      </c>
      <c r="Z995">
        <v>52</v>
      </c>
      <c r="AA995">
        <v>1</v>
      </c>
      <c r="AB995">
        <v>0</v>
      </c>
      <c r="AC995">
        <v>195.596</v>
      </c>
      <c r="AD995">
        <v>5059</v>
      </c>
      <c r="AH995">
        <v>0</v>
      </c>
      <c r="AI995">
        <v>0</v>
      </c>
      <c r="AL995" t="s">
        <v>40</v>
      </c>
      <c r="AM995" t="str">
        <f t="shared" si="78"/>
        <v>52 1</v>
      </c>
      <c r="AN995" t="str">
        <f t="shared" si="79"/>
        <v>405475.163,278808.623</v>
      </c>
      <c r="AO995" t="str">
        <f t="shared" si="80"/>
        <v>405365.438,278709.724</v>
      </c>
      <c r="AQ995" t="s">
        <v>2784</v>
      </c>
      <c r="AR995" t="s">
        <v>819</v>
      </c>
    </row>
    <row r="996" spans="1:44" x14ac:dyDescent="0.3">
      <c r="A996">
        <v>3869</v>
      </c>
      <c r="B996">
        <v>4</v>
      </c>
      <c r="C996">
        <v>4021822</v>
      </c>
      <c r="D996">
        <v>50123</v>
      </c>
      <c r="E996">
        <v>2</v>
      </c>
      <c r="F996">
        <v>670050</v>
      </c>
      <c r="G996" t="s">
        <v>113</v>
      </c>
      <c r="H996" t="s">
        <v>99</v>
      </c>
      <c r="I996">
        <v>0</v>
      </c>
      <c r="J996" s="1">
        <v>405261.75799999997</v>
      </c>
      <c r="K996" s="1">
        <v>278538.30800000002</v>
      </c>
      <c r="L996" s="1">
        <v>405365.08199999999</v>
      </c>
      <c r="M996" s="1">
        <v>278708.96000000002</v>
      </c>
      <c r="N996" t="s">
        <v>40</v>
      </c>
      <c r="P996" t="s">
        <v>40</v>
      </c>
      <c r="Q996">
        <v>0</v>
      </c>
      <c r="R996">
        <v>0</v>
      </c>
      <c r="S996">
        <v>0</v>
      </c>
      <c r="T996">
        <v>6</v>
      </c>
      <c r="U996">
        <v>6</v>
      </c>
      <c r="V996">
        <v>1</v>
      </c>
      <c r="W996">
        <v>1</v>
      </c>
      <c r="X996" t="s">
        <v>40</v>
      </c>
      <c r="Y996">
        <v>3</v>
      </c>
      <c r="Z996">
        <v>52</v>
      </c>
      <c r="AA996">
        <v>1</v>
      </c>
      <c r="AB996">
        <v>0</v>
      </c>
      <c r="AC996">
        <v>219.816</v>
      </c>
      <c r="AD996">
        <v>5059</v>
      </c>
      <c r="AH996">
        <v>0</v>
      </c>
      <c r="AI996">
        <v>0</v>
      </c>
      <c r="AL996" t="s">
        <v>40</v>
      </c>
      <c r="AM996" t="str">
        <f t="shared" si="78"/>
        <v>52 1</v>
      </c>
      <c r="AN996" t="str">
        <f t="shared" si="79"/>
        <v>405261.758,278538.308</v>
      </c>
      <c r="AO996" t="str">
        <f t="shared" si="80"/>
        <v>405365.082,278708.96</v>
      </c>
      <c r="AQ996" t="s">
        <v>1912</v>
      </c>
      <c r="AR996" t="s">
        <v>818</v>
      </c>
    </row>
    <row r="997" spans="1:44" x14ac:dyDescent="0.3">
      <c r="A997">
        <v>3869</v>
      </c>
      <c r="B997">
        <v>4</v>
      </c>
      <c r="C997">
        <v>4021806</v>
      </c>
      <c r="D997">
        <v>19661</v>
      </c>
      <c r="E997">
        <v>2</v>
      </c>
      <c r="F997">
        <v>670050</v>
      </c>
      <c r="G997" t="s">
        <v>113</v>
      </c>
      <c r="H997" t="s">
        <v>99</v>
      </c>
      <c r="I997">
        <v>0</v>
      </c>
      <c r="J997" s="1">
        <v>405261.75799999997</v>
      </c>
      <c r="K997" s="1">
        <v>278538.30800000002</v>
      </c>
      <c r="L997" s="1">
        <v>405222.179</v>
      </c>
      <c r="M997" s="1">
        <v>278489.53100000002</v>
      </c>
      <c r="N997" t="s">
        <v>40</v>
      </c>
      <c r="P997" t="s">
        <v>40</v>
      </c>
      <c r="Q997">
        <v>0</v>
      </c>
      <c r="R997">
        <v>0</v>
      </c>
      <c r="S997">
        <v>0</v>
      </c>
      <c r="T997">
        <v>6</v>
      </c>
      <c r="U997">
        <v>6</v>
      </c>
      <c r="V997">
        <v>1</v>
      </c>
      <c r="W997">
        <v>2</v>
      </c>
      <c r="X997" t="s">
        <v>40</v>
      </c>
      <c r="Y997">
        <v>3</v>
      </c>
      <c r="Z997">
        <v>38</v>
      </c>
      <c r="AA997">
        <v>1</v>
      </c>
      <c r="AB997">
        <v>0</v>
      </c>
      <c r="AC997">
        <v>69.376999999999995</v>
      </c>
      <c r="AD997">
        <v>5059</v>
      </c>
      <c r="AH997">
        <v>0</v>
      </c>
      <c r="AI997">
        <v>0</v>
      </c>
      <c r="AL997" t="s">
        <v>40</v>
      </c>
      <c r="AM997" t="str">
        <f t="shared" si="78"/>
        <v>38 1</v>
      </c>
      <c r="AN997" t="str">
        <f t="shared" si="79"/>
        <v>405261.758,278538.308</v>
      </c>
      <c r="AO997" t="str">
        <f t="shared" si="80"/>
        <v>405222.179,278489.531</v>
      </c>
      <c r="AQ997" t="s">
        <v>1912</v>
      </c>
      <c r="AR997" t="s">
        <v>2785</v>
      </c>
    </row>
    <row r="998" spans="1:44" x14ac:dyDescent="0.3">
      <c r="A998">
        <v>3869</v>
      </c>
      <c r="B998">
        <v>4</v>
      </c>
      <c r="C998">
        <v>4021805</v>
      </c>
      <c r="D998">
        <v>19631</v>
      </c>
      <c r="E998">
        <v>2</v>
      </c>
      <c r="F998">
        <v>670050</v>
      </c>
      <c r="G998" t="s">
        <v>113</v>
      </c>
      <c r="H998" t="s">
        <v>99</v>
      </c>
      <c r="I998">
        <v>0</v>
      </c>
      <c r="J998" s="1">
        <v>405222.179</v>
      </c>
      <c r="K998" s="1">
        <v>278489.53100000002</v>
      </c>
      <c r="L998" s="1">
        <v>405221.391</v>
      </c>
      <c r="M998" s="1">
        <v>278485.06199999998</v>
      </c>
      <c r="N998" t="s">
        <v>40</v>
      </c>
      <c r="P998" t="s">
        <v>40</v>
      </c>
      <c r="Q998">
        <v>0</v>
      </c>
      <c r="R998">
        <v>0</v>
      </c>
      <c r="S998">
        <v>0</v>
      </c>
      <c r="T998">
        <v>6</v>
      </c>
      <c r="U998">
        <v>6</v>
      </c>
      <c r="V998">
        <v>1</v>
      </c>
      <c r="W998">
        <v>2</v>
      </c>
      <c r="X998" t="s">
        <v>40</v>
      </c>
      <c r="Y998">
        <v>3</v>
      </c>
      <c r="Z998">
        <v>36</v>
      </c>
      <c r="AA998">
        <v>5001</v>
      </c>
      <c r="AB998">
        <v>0</v>
      </c>
      <c r="AC998">
        <v>4.6070000000000002</v>
      </c>
      <c r="AD998">
        <v>5059</v>
      </c>
      <c r="AH998">
        <v>0</v>
      </c>
      <c r="AI998">
        <v>0</v>
      </c>
      <c r="AL998" t="s">
        <v>40</v>
      </c>
      <c r="AM998" t="str">
        <f t="shared" si="78"/>
        <v>36 5001</v>
      </c>
      <c r="AN998" t="str">
        <f t="shared" si="79"/>
        <v>405222.179,278489.531</v>
      </c>
      <c r="AO998" t="str">
        <f t="shared" si="80"/>
        <v>405221.391,278485.062</v>
      </c>
      <c r="AQ998" t="s">
        <v>2785</v>
      </c>
      <c r="AR998" t="s">
        <v>2786</v>
      </c>
    </row>
    <row r="999" spans="1:44" x14ac:dyDescent="0.3">
      <c r="A999">
        <v>3869</v>
      </c>
      <c r="B999">
        <v>4</v>
      </c>
      <c r="C999">
        <v>4021804</v>
      </c>
      <c r="D999">
        <v>19630</v>
      </c>
      <c r="E999">
        <v>2</v>
      </c>
      <c r="F999">
        <v>670050</v>
      </c>
      <c r="G999" t="s">
        <v>113</v>
      </c>
      <c r="H999" t="s">
        <v>99</v>
      </c>
      <c r="I999">
        <v>0</v>
      </c>
      <c r="J999" s="1">
        <v>405221.391</v>
      </c>
      <c r="K999" s="1">
        <v>278485.06199999998</v>
      </c>
      <c r="L999" s="1">
        <v>405221.50699999998</v>
      </c>
      <c r="M999" s="1">
        <v>278481.47899999999</v>
      </c>
      <c r="N999" t="s">
        <v>40</v>
      </c>
      <c r="P999" t="s">
        <v>40</v>
      </c>
      <c r="Q999">
        <v>0</v>
      </c>
      <c r="R999">
        <v>0</v>
      </c>
      <c r="S999">
        <v>0</v>
      </c>
      <c r="T999">
        <v>6</v>
      </c>
      <c r="U999">
        <v>6</v>
      </c>
      <c r="V999">
        <v>1</v>
      </c>
      <c r="W999">
        <v>2</v>
      </c>
      <c r="X999" t="s">
        <v>40</v>
      </c>
      <c r="Y999">
        <v>3</v>
      </c>
      <c r="Z999">
        <v>86</v>
      </c>
      <c r="AA999">
        <v>1</v>
      </c>
      <c r="AB999">
        <v>0</v>
      </c>
      <c r="AC999">
        <v>3.585</v>
      </c>
      <c r="AD999">
        <v>5059</v>
      </c>
      <c r="AH999">
        <v>0</v>
      </c>
      <c r="AI999">
        <v>0</v>
      </c>
      <c r="AL999" t="s">
        <v>40</v>
      </c>
      <c r="AM999" t="str">
        <f t="shared" si="78"/>
        <v>86 1</v>
      </c>
      <c r="AN999" t="str">
        <f t="shared" si="79"/>
        <v>405221.391,278485.062</v>
      </c>
      <c r="AO999" t="str">
        <f t="shared" si="80"/>
        <v>405221.507,278481.479</v>
      </c>
      <c r="AQ999" t="s">
        <v>2786</v>
      </c>
      <c r="AR999" t="s">
        <v>1910</v>
      </c>
    </row>
    <row r="1000" spans="1:44" x14ac:dyDescent="0.3">
      <c r="A1000">
        <v>3869</v>
      </c>
      <c r="B1000">
        <v>4</v>
      </c>
      <c r="C1000">
        <v>4021895</v>
      </c>
      <c r="D1000">
        <v>50156</v>
      </c>
      <c r="E1000">
        <v>2</v>
      </c>
      <c r="F1000">
        <v>670050</v>
      </c>
      <c r="G1000" t="s">
        <v>113</v>
      </c>
      <c r="H1000" t="s">
        <v>99</v>
      </c>
      <c r="I1000">
        <v>0</v>
      </c>
      <c r="J1000" s="1">
        <v>405470.71299999999</v>
      </c>
      <c r="K1000" s="1">
        <v>278901.96999999997</v>
      </c>
      <c r="L1000" s="1">
        <v>405484.97600000002</v>
      </c>
      <c r="M1000" s="1">
        <v>278850.46999999997</v>
      </c>
      <c r="N1000" t="s">
        <v>40</v>
      </c>
      <c r="P1000" t="s">
        <v>40</v>
      </c>
      <c r="Q1000">
        <v>0</v>
      </c>
      <c r="R1000">
        <v>0</v>
      </c>
      <c r="S1000">
        <v>0</v>
      </c>
      <c r="T1000">
        <v>6</v>
      </c>
      <c r="U1000">
        <v>6</v>
      </c>
      <c r="V1000">
        <v>1</v>
      </c>
      <c r="W1000">
        <v>2</v>
      </c>
      <c r="X1000" t="s">
        <v>40</v>
      </c>
      <c r="Y1000">
        <v>3</v>
      </c>
      <c r="Z1000">
        <v>90</v>
      </c>
      <c r="AA1000">
        <v>1</v>
      </c>
      <c r="AB1000">
        <v>0</v>
      </c>
      <c r="AC1000">
        <v>83.623000000000005</v>
      </c>
      <c r="AD1000">
        <v>5059</v>
      </c>
      <c r="AH1000">
        <v>0</v>
      </c>
      <c r="AI1000">
        <v>0</v>
      </c>
      <c r="AL1000" t="s">
        <v>40</v>
      </c>
      <c r="AM1000" t="str">
        <f t="shared" si="78"/>
        <v>90 1</v>
      </c>
      <c r="AN1000" t="str">
        <f t="shared" si="79"/>
        <v>405470.713,278901.97</v>
      </c>
      <c r="AO1000" t="str">
        <f t="shared" si="80"/>
        <v>405484.976,278850.47</v>
      </c>
      <c r="AQ1000" t="s">
        <v>2782</v>
      </c>
      <c r="AR1000" t="s">
        <v>807</v>
      </c>
    </row>
    <row r="1001" spans="1:44" x14ac:dyDescent="0.3">
      <c r="A1001">
        <v>3869</v>
      </c>
      <c r="B1001">
        <v>4</v>
      </c>
      <c r="C1001">
        <v>4011874</v>
      </c>
      <c r="D1001">
        <v>11219</v>
      </c>
      <c r="E1001">
        <v>2</v>
      </c>
      <c r="F1001">
        <v>670050</v>
      </c>
      <c r="G1001" t="s">
        <v>113</v>
      </c>
      <c r="H1001" t="s">
        <v>45</v>
      </c>
      <c r="I1001">
        <v>0</v>
      </c>
      <c r="J1001" s="1">
        <v>405600.201</v>
      </c>
      <c r="K1001" s="1">
        <v>279367.20899999997</v>
      </c>
      <c r="L1001" s="1">
        <v>405605.19500000001</v>
      </c>
      <c r="M1001" s="1">
        <v>279367.84999999998</v>
      </c>
      <c r="N1001" t="s">
        <v>40</v>
      </c>
      <c r="P1001" t="s">
        <v>40</v>
      </c>
      <c r="Q1001">
        <v>0</v>
      </c>
      <c r="R1001">
        <v>0</v>
      </c>
      <c r="S1001">
        <v>0</v>
      </c>
      <c r="T1001">
        <v>6</v>
      </c>
      <c r="U1001">
        <v>6</v>
      </c>
      <c r="V1001">
        <v>1</v>
      </c>
      <c r="W1001">
        <v>1</v>
      </c>
      <c r="X1001" t="s">
        <v>40</v>
      </c>
      <c r="Y1001">
        <v>3</v>
      </c>
      <c r="Z1001">
        <v>38</v>
      </c>
      <c r="AA1001">
        <v>1</v>
      </c>
      <c r="AB1001">
        <v>0</v>
      </c>
      <c r="AC1001">
        <v>7.077</v>
      </c>
      <c r="AD1001">
        <v>5059</v>
      </c>
      <c r="AH1001">
        <v>0</v>
      </c>
      <c r="AI1001">
        <v>0</v>
      </c>
      <c r="AL1001" t="s">
        <v>40</v>
      </c>
      <c r="AM1001" t="str">
        <f t="shared" si="78"/>
        <v>38 1</v>
      </c>
      <c r="AN1001" t="str">
        <f t="shared" si="79"/>
        <v>405600.201,279367.209</v>
      </c>
      <c r="AO1001" t="str">
        <f t="shared" si="80"/>
        <v>405605.195,279367.85</v>
      </c>
      <c r="AQ1001" t="s">
        <v>2731</v>
      </c>
      <c r="AR1001" t="s">
        <v>2787</v>
      </c>
    </row>
    <row r="1002" spans="1:44" x14ac:dyDescent="0.3">
      <c r="A1002">
        <v>3869</v>
      </c>
      <c r="B1002">
        <v>4</v>
      </c>
      <c r="C1002">
        <v>4021180</v>
      </c>
      <c r="D1002">
        <v>21026</v>
      </c>
      <c r="E1002">
        <v>2</v>
      </c>
      <c r="F1002">
        <v>670050</v>
      </c>
      <c r="G1002" t="s">
        <v>113</v>
      </c>
      <c r="H1002" t="s">
        <v>99</v>
      </c>
      <c r="I1002">
        <v>0</v>
      </c>
      <c r="J1002" s="1">
        <v>405794.02899999998</v>
      </c>
      <c r="K1002" s="1">
        <v>278926.43800000002</v>
      </c>
      <c r="L1002" s="1">
        <v>405820.065</v>
      </c>
      <c r="M1002" s="1">
        <v>278931.71000000002</v>
      </c>
      <c r="N1002" t="s">
        <v>40</v>
      </c>
      <c r="P1002" t="s">
        <v>40</v>
      </c>
      <c r="Q1002">
        <v>0</v>
      </c>
      <c r="R1002">
        <v>0</v>
      </c>
      <c r="S1002">
        <v>0</v>
      </c>
      <c r="T1002">
        <v>6</v>
      </c>
      <c r="U1002">
        <v>6</v>
      </c>
      <c r="V1002">
        <v>1</v>
      </c>
      <c r="W1002">
        <v>2</v>
      </c>
      <c r="X1002" t="s">
        <v>40</v>
      </c>
      <c r="Y1002">
        <v>3</v>
      </c>
      <c r="Z1002">
        <v>86</v>
      </c>
      <c r="AA1002">
        <v>1</v>
      </c>
      <c r="AB1002">
        <v>0</v>
      </c>
      <c r="AC1002">
        <v>43.306000000000004</v>
      </c>
      <c r="AD1002">
        <v>5059</v>
      </c>
      <c r="AH1002">
        <v>0</v>
      </c>
      <c r="AI1002">
        <v>0</v>
      </c>
      <c r="AL1002" t="s">
        <v>40</v>
      </c>
      <c r="AM1002" t="str">
        <f t="shared" si="78"/>
        <v>86 1</v>
      </c>
      <c r="AN1002" s="6" t="s">
        <v>587</v>
      </c>
      <c r="AO1002" s="6" t="s">
        <v>1546</v>
      </c>
      <c r="AQ1002" t="s">
        <v>809</v>
      </c>
      <c r="AR1002" t="s">
        <v>2788</v>
      </c>
    </row>
    <row r="1003" spans="1:44" x14ac:dyDescent="0.3">
      <c r="A1003">
        <v>3869</v>
      </c>
      <c r="B1003">
        <v>4</v>
      </c>
      <c r="C1003">
        <v>4011923</v>
      </c>
      <c r="D1003">
        <v>32749</v>
      </c>
      <c r="E1003">
        <v>2</v>
      </c>
      <c r="F1003">
        <v>670050</v>
      </c>
      <c r="G1003" t="s">
        <v>113</v>
      </c>
      <c r="H1003" t="s">
        <v>45</v>
      </c>
      <c r="I1003">
        <v>0</v>
      </c>
      <c r="J1003" s="1">
        <v>405452.86700000003</v>
      </c>
      <c r="K1003" s="1">
        <v>279055.56300000002</v>
      </c>
      <c r="L1003" s="1">
        <v>405453.54100000003</v>
      </c>
      <c r="M1003" s="1">
        <v>279054.484</v>
      </c>
      <c r="N1003" t="s">
        <v>40</v>
      </c>
      <c r="P1003" t="s">
        <v>40</v>
      </c>
      <c r="Q1003">
        <v>0</v>
      </c>
      <c r="R1003">
        <v>0</v>
      </c>
      <c r="S1003">
        <v>0</v>
      </c>
      <c r="T1003">
        <v>6</v>
      </c>
      <c r="U1003">
        <v>6</v>
      </c>
      <c r="V1003">
        <v>1</v>
      </c>
      <c r="W1003">
        <v>2</v>
      </c>
      <c r="X1003" t="s">
        <v>40</v>
      </c>
      <c r="Y1003">
        <v>3</v>
      </c>
      <c r="Z1003">
        <v>38</v>
      </c>
      <c r="AA1003">
        <v>1</v>
      </c>
      <c r="AB1003">
        <v>0</v>
      </c>
      <c r="AC1003">
        <v>1.288</v>
      </c>
      <c r="AD1003">
        <v>5059</v>
      </c>
      <c r="AH1003">
        <v>0</v>
      </c>
      <c r="AI1003">
        <v>0</v>
      </c>
      <c r="AL1003" t="s">
        <v>40</v>
      </c>
      <c r="AM1003" t="str">
        <f t="shared" ref="AM1003:AM1029" si="81">_xlfn.CONCAT(Z1003, " ",AA1003)</f>
        <v>38 1</v>
      </c>
      <c r="AN1003" t="str">
        <f t="shared" si="79"/>
        <v>405452.867,279055.563</v>
      </c>
      <c r="AO1003" t="str">
        <f t="shared" si="80"/>
        <v>405453.541,279054.484</v>
      </c>
      <c r="AQ1003" t="s">
        <v>2781</v>
      </c>
      <c r="AR1003" t="s">
        <v>815</v>
      </c>
    </row>
    <row r="1004" spans="1:44" x14ac:dyDescent="0.3">
      <c r="A1004">
        <v>3869</v>
      </c>
      <c r="B1004">
        <v>4</v>
      </c>
      <c r="C1004">
        <v>4011907</v>
      </c>
      <c r="D1004">
        <v>32751</v>
      </c>
      <c r="E1004">
        <v>2</v>
      </c>
      <c r="F1004">
        <v>670050</v>
      </c>
      <c r="G1004" t="s">
        <v>113</v>
      </c>
      <c r="H1004" t="s">
        <v>45</v>
      </c>
      <c r="I1004">
        <v>0</v>
      </c>
      <c r="J1004" s="1">
        <v>405454.61800000002</v>
      </c>
      <c r="K1004" s="1">
        <v>279057.31400000001</v>
      </c>
      <c r="L1004" s="1">
        <v>405452.52100000001</v>
      </c>
      <c r="M1004" s="1">
        <v>279054.21600000001</v>
      </c>
      <c r="N1004" t="s">
        <v>40</v>
      </c>
      <c r="P1004" t="s">
        <v>40</v>
      </c>
      <c r="Q1004">
        <v>0</v>
      </c>
      <c r="R1004">
        <v>0</v>
      </c>
      <c r="S1004">
        <v>0</v>
      </c>
      <c r="T1004">
        <v>6</v>
      </c>
      <c r="U1004">
        <v>6</v>
      </c>
      <c r="V1004">
        <v>1</v>
      </c>
      <c r="W1004">
        <v>3</v>
      </c>
      <c r="X1004" t="s">
        <v>40</v>
      </c>
      <c r="Y1004">
        <v>3</v>
      </c>
      <c r="Z1004">
        <v>169</v>
      </c>
      <c r="AA1004">
        <v>1</v>
      </c>
      <c r="AB1004">
        <v>0</v>
      </c>
      <c r="AC1004">
        <v>8.3049999999999997</v>
      </c>
      <c r="AD1004">
        <v>5059</v>
      </c>
      <c r="AH1004">
        <v>0</v>
      </c>
      <c r="AI1004">
        <v>0</v>
      </c>
      <c r="AL1004" t="s">
        <v>40</v>
      </c>
      <c r="AM1004" t="str">
        <f t="shared" si="81"/>
        <v>169 1</v>
      </c>
      <c r="AN1004" t="str">
        <f t="shared" si="79"/>
        <v>405454.618,279057.314</v>
      </c>
      <c r="AO1004" t="str">
        <f t="shared" si="80"/>
        <v>405452.521,279054.216</v>
      </c>
      <c r="AQ1004" t="s">
        <v>1882</v>
      </c>
      <c r="AR1004" t="s">
        <v>816</v>
      </c>
    </row>
    <row r="1005" spans="1:44" x14ac:dyDescent="0.3">
      <c r="A1005">
        <v>3869</v>
      </c>
      <c r="B1005">
        <v>4</v>
      </c>
      <c r="C1005">
        <v>4021208</v>
      </c>
      <c r="D1005">
        <v>49887</v>
      </c>
      <c r="E1005">
        <v>2</v>
      </c>
      <c r="F1005">
        <v>670050</v>
      </c>
      <c r="G1005" t="s">
        <v>113</v>
      </c>
      <c r="H1005" t="s">
        <v>99</v>
      </c>
      <c r="I1005">
        <v>0</v>
      </c>
      <c r="J1005" s="1">
        <v>405785.73</v>
      </c>
      <c r="K1005" s="1">
        <v>278966.96899999998</v>
      </c>
      <c r="L1005" s="1">
        <v>405822.087</v>
      </c>
      <c r="M1005" s="1">
        <v>278929.46600000001</v>
      </c>
      <c r="N1005" t="s">
        <v>40</v>
      </c>
      <c r="P1005" t="s">
        <v>40</v>
      </c>
      <c r="Q1005">
        <v>0</v>
      </c>
      <c r="R1005">
        <v>0</v>
      </c>
      <c r="S1005">
        <v>0</v>
      </c>
      <c r="T1005">
        <v>6</v>
      </c>
      <c r="U1005">
        <v>6</v>
      </c>
      <c r="V1005">
        <v>1</v>
      </c>
      <c r="W1005">
        <v>1</v>
      </c>
      <c r="X1005" t="s">
        <v>40</v>
      </c>
      <c r="Y1005">
        <v>3</v>
      </c>
      <c r="Z1005">
        <v>52</v>
      </c>
      <c r="AA1005">
        <v>1</v>
      </c>
      <c r="AB1005">
        <v>0</v>
      </c>
      <c r="AC1005">
        <v>63.841000000000001</v>
      </c>
      <c r="AD1005">
        <v>5059</v>
      </c>
      <c r="AH1005">
        <v>0</v>
      </c>
      <c r="AI1005">
        <v>0</v>
      </c>
      <c r="AL1005" t="s">
        <v>40</v>
      </c>
      <c r="AM1005" t="str">
        <f t="shared" si="81"/>
        <v>52 1</v>
      </c>
      <c r="AN1005" t="str">
        <f t="shared" ref="AN1005:AN1028" si="82">ROUND(J1005,3)&amp;","&amp;ROUND(K1005,3)</f>
        <v>405785.73,278966.969</v>
      </c>
      <c r="AO1005" t="str">
        <f t="shared" ref="AO1005:AO1028" si="83">ROUND(L1005,3)&amp;","&amp;ROUND(M1005,3)</f>
        <v>405822.087,278929.466</v>
      </c>
      <c r="AQ1005" t="s">
        <v>2735</v>
      </c>
      <c r="AR1005" t="s">
        <v>808</v>
      </c>
    </row>
    <row r="1006" spans="1:44" x14ac:dyDescent="0.3">
      <c r="A1006">
        <v>3869</v>
      </c>
      <c r="B1006">
        <v>4</v>
      </c>
      <c r="C1006">
        <v>4021224</v>
      </c>
      <c r="D1006">
        <v>20925</v>
      </c>
      <c r="E1006">
        <v>2</v>
      </c>
      <c r="F1006">
        <v>670050</v>
      </c>
      <c r="G1006" t="s">
        <v>113</v>
      </c>
      <c r="H1006" t="s">
        <v>99</v>
      </c>
      <c r="I1006">
        <v>0</v>
      </c>
      <c r="J1006" s="1">
        <v>405794.02899999998</v>
      </c>
      <c r="K1006" s="1">
        <v>278926.43800000002</v>
      </c>
      <c r="L1006" s="1">
        <v>405775.538</v>
      </c>
      <c r="M1006" s="1">
        <v>278899.02899999998</v>
      </c>
      <c r="N1006" t="s">
        <v>40</v>
      </c>
      <c r="P1006" t="s">
        <v>40</v>
      </c>
      <c r="Q1006">
        <v>0</v>
      </c>
      <c r="R1006">
        <v>0</v>
      </c>
      <c r="S1006">
        <v>0</v>
      </c>
      <c r="T1006">
        <v>6</v>
      </c>
      <c r="U1006">
        <v>6</v>
      </c>
      <c r="V1006">
        <v>1</v>
      </c>
      <c r="W1006">
        <v>2</v>
      </c>
      <c r="X1006" t="s">
        <v>40</v>
      </c>
      <c r="Y1006">
        <v>3</v>
      </c>
      <c r="Z1006">
        <v>38</v>
      </c>
      <c r="AA1006">
        <v>5001</v>
      </c>
      <c r="AB1006">
        <v>0</v>
      </c>
      <c r="AC1006">
        <v>41.599999999999994</v>
      </c>
      <c r="AD1006">
        <v>5059</v>
      </c>
      <c r="AH1006">
        <v>0</v>
      </c>
      <c r="AI1006">
        <v>0</v>
      </c>
      <c r="AL1006" t="s">
        <v>40</v>
      </c>
      <c r="AM1006" t="str">
        <f t="shared" si="81"/>
        <v>38 5001</v>
      </c>
      <c r="AN1006" s="6" t="s">
        <v>1485</v>
      </c>
      <c r="AO1006" s="6" t="s">
        <v>1546</v>
      </c>
      <c r="AQ1006" t="s">
        <v>2758</v>
      </c>
      <c r="AR1006" t="s">
        <v>2788</v>
      </c>
    </row>
    <row r="1007" spans="1:44" x14ac:dyDescent="0.3">
      <c r="A1007">
        <v>3869</v>
      </c>
      <c r="B1007">
        <v>4</v>
      </c>
      <c r="C1007">
        <v>4011871</v>
      </c>
      <c r="D1007">
        <v>11554</v>
      </c>
      <c r="E1007">
        <v>2</v>
      </c>
      <c r="F1007">
        <v>670050</v>
      </c>
      <c r="G1007" t="s">
        <v>113</v>
      </c>
      <c r="H1007" t="s">
        <v>45</v>
      </c>
      <c r="I1007">
        <v>0</v>
      </c>
      <c r="J1007" s="1">
        <v>405605.19500000001</v>
      </c>
      <c r="K1007" s="1">
        <v>279367.84999999998</v>
      </c>
      <c r="L1007" s="1">
        <v>405750.26799999998</v>
      </c>
      <c r="M1007" s="1">
        <v>279313.81900000002</v>
      </c>
      <c r="N1007" t="s">
        <v>40</v>
      </c>
      <c r="P1007" t="s">
        <v>40</v>
      </c>
      <c r="Q1007">
        <v>0</v>
      </c>
      <c r="R1007">
        <v>0</v>
      </c>
      <c r="S1007">
        <v>0</v>
      </c>
      <c r="T1007">
        <v>6</v>
      </c>
      <c r="U1007">
        <v>6</v>
      </c>
      <c r="V1007">
        <v>1</v>
      </c>
      <c r="W1007">
        <v>1</v>
      </c>
      <c r="X1007" t="s">
        <v>40</v>
      </c>
      <c r="Y1007">
        <v>3</v>
      </c>
      <c r="Z1007">
        <v>90</v>
      </c>
      <c r="AA1007">
        <v>1</v>
      </c>
      <c r="AB1007">
        <v>0</v>
      </c>
      <c r="AC1007">
        <v>215.81700000000001</v>
      </c>
      <c r="AD1007">
        <v>5059</v>
      </c>
      <c r="AH1007">
        <v>0</v>
      </c>
      <c r="AI1007">
        <v>0</v>
      </c>
      <c r="AL1007" t="s">
        <v>40</v>
      </c>
      <c r="AM1007" t="str">
        <f t="shared" si="81"/>
        <v>90 1</v>
      </c>
      <c r="AN1007" t="str">
        <f t="shared" si="82"/>
        <v>405605.195,279367.85</v>
      </c>
      <c r="AO1007" t="str">
        <f t="shared" si="83"/>
        <v>405750.268,279313.819</v>
      </c>
      <c r="AQ1007" t="s">
        <v>2787</v>
      </c>
      <c r="AR1007" t="s">
        <v>2789</v>
      </c>
    </row>
    <row r="1008" spans="1:44" x14ac:dyDescent="0.3">
      <c r="A1008">
        <v>3869</v>
      </c>
      <c r="B1008">
        <v>4</v>
      </c>
      <c r="C1008">
        <v>4011856</v>
      </c>
      <c r="D1008">
        <v>31136</v>
      </c>
      <c r="E1008">
        <v>2</v>
      </c>
      <c r="F1008">
        <v>670050</v>
      </c>
      <c r="G1008" t="s">
        <v>113</v>
      </c>
      <c r="H1008" t="s">
        <v>45</v>
      </c>
      <c r="I1008">
        <v>0</v>
      </c>
      <c r="J1008" s="1">
        <v>405750.26799999998</v>
      </c>
      <c r="K1008" s="1">
        <v>279313.81900000002</v>
      </c>
      <c r="L1008" s="1">
        <v>405758.36099999998</v>
      </c>
      <c r="M1008" s="1">
        <v>279310.88199999998</v>
      </c>
      <c r="N1008" t="s">
        <v>40</v>
      </c>
      <c r="P1008" t="s">
        <v>40</v>
      </c>
      <c r="Q1008">
        <v>0</v>
      </c>
      <c r="R1008">
        <v>0</v>
      </c>
      <c r="S1008">
        <v>0</v>
      </c>
      <c r="T1008">
        <v>6</v>
      </c>
      <c r="U1008">
        <v>6</v>
      </c>
      <c r="V1008">
        <v>1</v>
      </c>
      <c r="W1008">
        <v>1</v>
      </c>
      <c r="X1008" t="s">
        <v>40</v>
      </c>
      <c r="Y1008">
        <v>3</v>
      </c>
      <c r="Z1008">
        <v>38</v>
      </c>
      <c r="AA1008">
        <v>1</v>
      </c>
      <c r="AB1008">
        <v>0</v>
      </c>
      <c r="AC1008">
        <v>11.721</v>
      </c>
      <c r="AD1008">
        <v>5059</v>
      </c>
      <c r="AH1008">
        <v>0</v>
      </c>
      <c r="AI1008">
        <v>0</v>
      </c>
      <c r="AL1008" t="s">
        <v>40</v>
      </c>
      <c r="AM1008" t="str">
        <f t="shared" si="81"/>
        <v>38 1</v>
      </c>
      <c r="AN1008" t="str">
        <f t="shared" si="82"/>
        <v>405750.268,279313.819</v>
      </c>
      <c r="AO1008" t="str">
        <f t="shared" si="83"/>
        <v>405758.361,279310.882</v>
      </c>
      <c r="AQ1008" t="s">
        <v>2789</v>
      </c>
      <c r="AR1008" t="s">
        <v>814</v>
      </c>
    </row>
    <row r="1009" spans="1:44" x14ac:dyDescent="0.3">
      <c r="A1009">
        <v>3869</v>
      </c>
      <c r="B1009">
        <v>4</v>
      </c>
      <c r="C1009">
        <v>4011840</v>
      </c>
      <c r="D1009">
        <v>31135</v>
      </c>
      <c r="E1009">
        <v>2</v>
      </c>
      <c r="F1009">
        <v>670050</v>
      </c>
      <c r="G1009" t="s">
        <v>113</v>
      </c>
      <c r="H1009" t="s">
        <v>45</v>
      </c>
      <c r="I1009">
        <v>0</v>
      </c>
      <c r="J1009" s="1">
        <v>405754.29200000002</v>
      </c>
      <c r="K1009" s="1">
        <v>279315.66499999998</v>
      </c>
      <c r="L1009" s="1">
        <v>405758.15899999999</v>
      </c>
      <c r="M1009" s="1">
        <v>279311.30800000002</v>
      </c>
      <c r="N1009" t="s">
        <v>40</v>
      </c>
      <c r="P1009" t="s">
        <v>40</v>
      </c>
      <c r="Q1009">
        <v>0</v>
      </c>
      <c r="R1009">
        <v>0</v>
      </c>
      <c r="S1009">
        <v>0</v>
      </c>
      <c r="T1009">
        <v>6</v>
      </c>
      <c r="U1009">
        <v>6</v>
      </c>
      <c r="V1009">
        <v>1</v>
      </c>
      <c r="W1009">
        <v>1</v>
      </c>
      <c r="X1009" t="s">
        <v>40</v>
      </c>
      <c r="Y1009">
        <v>3</v>
      </c>
      <c r="Z1009">
        <v>38</v>
      </c>
      <c r="AA1009">
        <v>1</v>
      </c>
      <c r="AB1009">
        <v>0</v>
      </c>
      <c r="AC1009">
        <v>7.3090000000000002</v>
      </c>
      <c r="AD1009">
        <v>5059</v>
      </c>
      <c r="AH1009">
        <v>0</v>
      </c>
      <c r="AI1009">
        <v>0</v>
      </c>
      <c r="AL1009" t="s">
        <v>40</v>
      </c>
      <c r="AM1009" t="str">
        <f t="shared" si="81"/>
        <v>38 1</v>
      </c>
      <c r="AN1009" t="str">
        <f t="shared" si="82"/>
        <v>405754.292,279315.665</v>
      </c>
      <c r="AO1009" t="str">
        <f t="shared" si="83"/>
        <v>405758.159,279311.308</v>
      </c>
      <c r="AQ1009" t="s">
        <v>2745</v>
      </c>
      <c r="AR1009" t="s">
        <v>814</v>
      </c>
    </row>
    <row r="1010" spans="1:44" x14ac:dyDescent="0.3">
      <c r="A1010">
        <v>3869</v>
      </c>
      <c r="B1010">
        <v>4</v>
      </c>
      <c r="C1010">
        <v>4011839</v>
      </c>
      <c r="D1010">
        <v>31134</v>
      </c>
      <c r="E1010">
        <v>2</v>
      </c>
      <c r="F1010">
        <v>670050</v>
      </c>
      <c r="G1010" t="s">
        <v>113</v>
      </c>
      <c r="H1010" t="s">
        <v>45</v>
      </c>
      <c r="I1010">
        <v>0</v>
      </c>
      <c r="J1010" s="1">
        <v>405755.848</v>
      </c>
      <c r="K1010" s="1">
        <v>279308.70699999999</v>
      </c>
      <c r="L1010" s="1">
        <v>405757.97600000002</v>
      </c>
      <c r="M1010" s="1">
        <v>279311.73300000001</v>
      </c>
      <c r="N1010" t="s">
        <v>40</v>
      </c>
      <c r="P1010" t="s">
        <v>40</v>
      </c>
      <c r="Q1010">
        <v>0</v>
      </c>
      <c r="R1010">
        <v>0</v>
      </c>
      <c r="S1010">
        <v>0</v>
      </c>
      <c r="T1010">
        <v>6</v>
      </c>
      <c r="U1010">
        <v>6</v>
      </c>
      <c r="V1010">
        <v>1</v>
      </c>
      <c r="W1010">
        <v>3</v>
      </c>
      <c r="X1010" t="s">
        <v>40</v>
      </c>
      <c r="Y1010">
        <v>3</v>
      </c>
      <c r="Z1010">
        <v>90</v>
      </c>
      <c r="AA1010">
        <v>1</v>
      </c>
      <c r="AB1010">
        <v>0</v>
      </c>
      <c r="AC1010">
        <v>5.9649999999999999</v>
      </c>
      <c r="AD1010">
        <v>5059</v>
      </c>
      <c r="AH1010">
        <v>0</v>
      </c>
      <c r="AI1010">
        <v>0</v>
      </c>
      <c r="AL1010" t="s">
        <v>40</v>
      </c>
      <c r="AM1010" t="str">
        <f t="shared" si="81"/>
        <v>90 1</v>
      </c>
      <c r="AN1010" t="str">
        <f t="shared" si="82"/>
        <v>405755.848,279308.707</v>
      </c>
      <c r="AO1010" t="str">
        <f t="shared" si="83"/>
        <v>405757.976,279311.733</v>
      </c>
      <c r="AQ1010" t="s">
        <v>1913</v>
      </c>
      <c r="AR1010" t="s">
        <v>815</v>
      </c>
    </row>
    <row r="1011" spans="1:44" x14ac:dyDescent="0.3">
      <c r="A1011">
        <v>3869</v>
      </c>
      <c r="B1011">
        <v>4</v>
      </c>
      <c r="C1011">
        <v>4025757</v>
      </c>
      <c r="D1011">
        <v>22477</v>
      </c>
      <c r="E1011">
        <v>2</v>
      </c>
      <c r="F1011">
        <v>670050</v>
      </c>
      <c r="G1011" t="s">
        <v>115</v>
      </c>
      <c r="H1011" t="s">
        <v>41</v>
      </c>
      <c r="I1011">
        <v>0</v>
      </c>
      <c r="J1011" s="1">
        <v>405047.27399999998</v>
      </c>
      <c r="K1011" s="1">
        <v>281110.174</v>
      </c>
      <c r="L1011" s="1">
        <v>405000</v>
      </c>
      <c r="M1011" s="1">
        <v>281059.86800000002</v>
      </c>
      <c r="N1011" t="s">
        <v>40</v>
      </c>
      <c r="P1011" t="s">
        <v>40</v>
      </c>
      <c r="Q1011">
        <v>0</v>
      </c>
      <c r="R1011">
        <v>0</v>
      </c>
      <c r="S1011">
        <v>0</v>
      </c>
      <c r="T1011">
        <v>6</v>
      </c>
      <c r="U1011">
        <v>6</v>
      </c>
      <c r="V1011">
        <v>1</v>
      </c>
      <c r="W1011">
        <v>1</v>
      </c>
      <c r="X1011" t="s">
        <v>40</v>
      </c>
      <c r="Y1011">
        <v>3</v>
      </c>
      <c r="Z1011">
        <v>90</v>
      </c>
      <c r="AA1011">
        <v>1</v>
      </c>
      <c r="AB1011">
        <v>0</v>
      </c>
      <c r="AC1011">
        <v>194.00700000000001</v>
      </c>
      <c r="AD1011">
        <v>5059</v>
      </c>
      <c r="AH1011">
        <v>0</v>
      </c>
      <c r="AI1011">
        <v>0</v>
      </c>
      <c r="AL1011" t="s">
        <v>40</v>
      </c>
      <c r="AM1011" t="str">
        <f t="shared" si="81"/>
        <v>90 1</v>
      </c>
      <c r="AN1011" s="6" t="s">
        <v>1555</v>
      </c>
      <c r="AO1011" s="6" t="s">
        <v>1792</v>
      </c>
      <c r="AQ1011" t="s">
        <v>2790</v>
      </c>
      <c r="AR1011" t="s">
        <v>2791</v>
      </c>
    </row>
    <row r="1012" spans="1:44" x14ac:dyDescent="0.3">
      <c r="A1012">
        <v>3869</v>
      </c>
      <c r="B1012">
        <v>4</v>
      </c>
      <c r="C1012">
        <v>4025742</v>
      </c>
      <c r="D1012">
        <v>22939</v>
      </c>
      <c r="E1012">
        <v>2</v>
      </c>
      <c r="F1012">
        <v>670050</v>
      </c>
      <c r="G1012" t="s">
        <v>115</v>
      </c>
      <c r="H1012" t="s">
        <v>41</v>
      </c>
      <c r="I1012">
        <v>0</v>
      </c>
      <c r="J1012" s="1">
        <v>405118.56300000002</v>
      </c>
      <c r="K1012" s="1">
        <v>281011.44799999997</v>
      </c>
      <c r="L1012" s="1">
        <v>405051.261</v>
      </c>
      <c r="M1012" s="1">
        <v>281113.90999999997</v>
      </c>
      <c r="N1012" t="s">
        <v>40</v>
      </c>
      <c r="P1012" t="s">
        <v>40</v>
      </c>
      <c r="Q1012">
        <v>0</v>
      </c>
      <c r="R1012">
        <v>0</v>
      </c>
      <c r="S1012">
        <v>0</v>
      </c>
      <c r="T1012">
        <v>6</v>
      </c>
      <c r="U1012">
        <v>6</v>
      </c>
      <c r="V1012">
        <v>1</v>
      </c>
      <c r="W1012">
        <v>1</v>
      </c>
      <c r="X1012" t="s">
        <v>40</v>
      </c>
      <c r="Y1012">
        <v>3</v>
      </c>
      <c r="Z1012">
        <v>89</v>
      </c>
      <c r="AA1012">
        <v>99</v>
      </c>
      <c r="AB1012">
        <v>0</v>
      </c>
      <c r="AC1012">
        <v>193.53800000000001</v>
      </c>
      <c r="AD1012">
        <v>5059</v>
      </c>
      <c r="AH1012">
        <v>0</v>
      </c>
      <c r="AI1012">
        <v>0</v>
      </c>
      <c r="AL1012" t="s">
        <v>40</v>
      </c>
      <c r="AM1012" t="str">
        <f t="shared" si="81"/>
        <v>89 99</v>
      </c>
      <c r="AN1012" t="str">
        <f t="shared" si="82"/>
        <v>405118.563,281011.448</v>
      </c>
      <c r="AO1012" t="str">
        <f t="shared" si="83"/>
        <v>405051.261,281113.91</v>
      </c>
      <c r="AQ1012" t="s">
        <v>1914</v>
      </c>
      <c r="AR1012" t="s">
        <v>2790</v>
      </c>
    </row>
    <row r="1013" spans="1:44" x14ac:dyDescent="0.3">
      <c r="A1013">
        <v>3869</v>
      </c>
      <c r="B1013">
        <v>4</v>
      </c>
      <c r="C1013">
        <v>4014597</v>
      </c>
      <c r="D1013">
        <v>14388</v>
      </c>
      <c r="E1013">
        <v>2</v>
      </c>
      <c r="F1013">
        <v>670050</v>
      </c>
      <c r="G1013" t="s">
        <v>115</v>
      </c>
      <c r="H1013" t="s">
        <v>42</v>
      </c>
      <c r="I1013">
        <v>0</v>
      </c>
      <c r="J1013" s="1">
        <v>404795.228</v>
      </c>
      <c r="K1013" s="1">
        <v>281062.67300000001</v>
      </c>
      <c r="L1013" s="1">
        <v>404886.18599999999</v>
      </c>
      <c r="M1013" s="1">
        <v>281013.87400000001</v>
      </c>
      <c r="N1013" t="s">
        <v>40</v>
      </c>
      <c r="P1013" t="s">
        <v>40</v>
      </c>
      <c r="Q1013">
        <v>0</v>
      </c>
      <c r="R1013">
        <v>0</v>
      </c>
      <c r="S1013">
        <v>0</v>
      </c>
      <c r="T1013">
        <v>6</v>
      </c>
      <c r="U1013">
        <v>6</v>
      </c>
      <c r="V1013">
        <v>1</v>
      </c>
      <c r="W1013">
        <v>1</v>
      </c>
      <c r="X1013" t="s">
        <v>40</v>
      </c>
      <c r="Y1013">
        <v>3</v>
      </c>
      <c r="Z1013">
        <v>90</v>
      </c>
      <c r="AA1013">
        <v>1</v>
      </c>
      <c r="AB1013">
        <v>0</v>
      </c>
      <c r="AC1013">
        <v>136.69499999999999</v>
      </c>
      <c r="AD1013">
        <v>5059</v>
      </c>
      <c r="AH1013">
        <v>0</v>
      </c>
      <c r="AI1013">
        <v>0</v>
      </c>
      <c r="AL1013" t="s">
        <v>40</v>
      </c>
      <c r="AM1013" t="str">
        <f t="shared" si="81"/>
        <v>90 1</v>
      </c>
      <c r="AN1013" t="str">
        <f t="shared" si="82"/>
        <v>404795.228,281062.673</v>
      </c>
      <c r="AO1013" t="str">
        <f t="shared" si="83"/>
        <v>404886.186,281013.874</v>
      </c>
      <c r="AQ1013" t="s">
        <v>2792</v>
      </c>
      <c r="AR1013" t="s">
        <v>2793</v>
      </c>
    </row>
    <row r="1014" spans="1:44" x14ac:dyDescent="0.3">
      <c r="A1014">
        <v>3869</v>
      </c>
      <c r="B1014">
        <v>4</v>
      </c>
      <c r="C1014">
        <v>4014600</v>
      </c>
      <c r="D1014">
        <v>14291</v>
      </c>
      <c r="E1014">
        <v>2</v>
      </c>
      <c r="F1014">
        <v>670050</v>
      </c>
      <c r="G1014" t="s">
        <v>115</v>
      </c>
      <c r="H1014" t="s">
        <v>42</v>
      </c>
      <c r="I1014">
        <v>0</v>
      </c>
      <c r="J1014" s="1">
        <v>404795.228</v>
      </c>
      <c r="K1014" s="1">
        <v>281062.67300000001</v>
      </c>
      <c r="L1014" s="1">
        <v>404766.72899999999</v>
      </c>
      <c r="M1014" s="1">
        <v>281090.51</v>
      </c>
      <c r="N1014" t="s">
        <v>40</v>
      </c>
      <c r="P1014" t="s">
        <v>40</v>
      </c>
      <c r="Q1014">
        <v>0</v>
      </c>
      <c r="R1014">
        <v>0</v>
      </c>
      <c r="S1014">
        <v>200504</v>
      </c>
      <c r="T1014">
        <v>6</v>
      </c>
      <c r="U1014">
        <v>6</v>
      </c>
      <c r="V1014">
        <v>1</v>
      </c>
      <c r="W1014">
        <v>1</v>
      </c>
      <c r="X1014" t="s">
        <v>40</v>
      </c>
      <c r="Y1014">
        <v>3</v>
      </c>
      <c r="Z1014">
        <v>5028</v>
      </c>
      <c r="AA1014">
        <v>1</v>
      </c>
      <c r="AB1014">
        <v>0</v>
      </c>
      <c r="AC1014">
        <v>55.537999999999997</v>
      </c>
      <c r="AD1014">
        <v>5059</v>
      </c>
      <c r="AH1014">
        <v>0</v>
      </c>
      <c r="AI1014">
        <v>0</v>
      </c>
      <c r="AL1014" t="s">
        <v>40</v>
      </c>
      <c r="AM1014" t="str">
        <f t="shared" si="81"/>
        <v>5028 1</v>
      </c>
      <c r="AN1014" t="str">
        <f t="shared" si="82"/>
        <v>404795.228,281062.673</v>
      </c>
      <c r="AO1014" t="str">
        <f t="shared" si="83"/>
        <v>404766.729,281090.51</v>
      </c>
      <c r="AQ1014" t="s">
        <v>2792</v>
      </c>
      <c r="AR1014" t="s">
        <v>2794</v>
      </c>
    </row>
    <row r="1015" spans="1:44" x14ac:dyDescent="0.3">
      <c r="A1015">
        <v>3869</v>
      </c>
      <c r="B1015">
        <v>4</v>
      </c>
      <c r="C1015">
        <v>4014595</v>
      </c>
      <c r="D1015">
        <v>14360</v>
      </c>
      <c r="E1015">
        <v>2</v>
      </c>
      <c r="F1015">
        <v>670050</v>
      </c>
      <c r="G1015" t="s">
        <v>115</v>
      </c>
      <c r="H1015" t="s">
        <v>42</v>
      </c>
      <c r="I1015">
        <v>0</v>
      </c>
      <c r="J1015" s="1">
        <v>404886.18599999999</v>
      </c>
      <c r="K1015" s="1">
        <v>281013.87400000001</v>
      </c>
      <c r="L1015" s="1">
        <v>404893.36599999998</v>
      </c>
      <c r="M1015" s="1">
        <v>281014.04599999997</v>
      </c>
      <c r="N1015" t="s">
        <v>40</v>
      </c>
      <c r="P1015" t="s">
        <v>40</v>
      </c>
      <c r="Q1015">
        <v>0</v>
      </c>
      <c r="R1015">
        <v>0</v>
      </c>
      <c r="S1015">
        <v>200910</v>
      </c>
      <c r="T1015">
        <v>6</v>
      </c>
      <c r="U1015">
        <v>6</v>
      </c>
      <c r="V1015">
        <v>1</v>
      </c>
      <c r="W1015">
        <v>1</v>
      </c>
      <c r="X1015" t="s">
        <v>40</v>
      </c>
      <c r="Y1015">
        <v>3</v>
      </c>
      <c r="Z1015">
        <v>5028</v>
      </c>
      <c r="AA1015">
        <v>1</v>
      </c>
      <c r="AB1015">
        <v>0</v>
      </c>
      <c r="AC1015">
        <v>7.1820000000000004</v>
      </c>
      <c r="AD1015">
        <v>5059</v>
      </c>
      <c r="AH1015">
        <v>0</v>
      </c>
      <c r="AI1015">
        <v>0</v>
      </c>
      <c r="AL1015" t="s">
        <v>40</v>
      </c>
      <c r="AM1015" t="str">
        <f t="shared" si="81"/>
        <v>5028 1</v>
      </c>
      <c r="AN1015" t="str">
        <f t="shared" si="82"/>
        <v>404886.186,281013.874</v>
      </c>
      <c r="AO1015" t="str">
        <f t="shared" si="83"/>
        <v>404893.366,281014.046</v>
      </c>
      <c r="AQ1015" t="s">
        <v>2793</v>
      </c>
      <c r="AR1015" t="s">
        <v>2791</v>
      </c>
    </row>
    <row r="1016" spans="1:44" x14ac:dyDescent="0.3">
      <c r="A1016">
        <v>3869</v>
      </c>
      <c r="B1016">
        <v>4</v>
      </c>
      <c r="C1016">
        <v>4014609</v>
      </c>
      <c r="D1016">
        <v>67746</v>
      </c>
      <c r="E1016">
        <v>2</v>
      </c>
      <c r="F1016">
        <v>670050</v>
      </c>
      <c r="G1016" t="s">
        <v>115</v>
      </c>
      <c r="H1016" t="s">
        <v>42</v>
      </c>
      <c r="I1016">
        <v>0</v>
      </c>
      <c r="J1016" s="1">
        <v>404766.72899999999</v>
      </c>
      <c r="K1016" s="1">
        <v>281090.51</v>
      </c>
      <c r="L1016" s="1">
        <v>404759.00699999998</v>
      </c>
      <c r="M1016" s="1">
        <v>281125.89299999998</v>
      </c>
      <c r="N1016" t="s">
        <v>40</v>
      </c>
      <c r="P1016" t="s">
        <v>40</v>
      </c>
      <c r="Q1016">
        <v>0</v>
      </c>
      <c r="R1016">
        <v>0</v>
      </c>
      <c r="S1016">
        <v>0</v>
      </c>
      <c r="T1016">
        <v>6</v>
      </c>
      <c r="U1016">
        <v>6</v>
      </c>
      <c r="V1016">
        <v>1</v>
      </c>
      <c r="W1016">
        <v>1</v>
      </c>
      <c r="X1016" t="s">
        <v>40</v>
      </c>
      <c r="Y1016">
        <v>3</v>
      </c>
      <c r="Z1016">
        <v>90</v>
      </c>
      <c r="AA1016">
        <v>1</v>
      </c>
      <c r="AB1016">
        <v>0</v>
      </c>
      <c r="AC1016">
        <v>38.286000000000001</v>
      </c>
      <c r="AD1016">
        <v>5059</v>
      </c>
      <c r="AH1016">
        <v>0</v>
      </c>
      <c r="AI1016">
        <v>0</v>
      </c>
      <c r="AL1016" t="s">
        <v>40</v>
      </c>
      <c r="AM1016" t="str">
        <f t="shared" si="81"/>
        <v>90 1</v>
      </c>
      <c r="AN1016" t="str">
        <f t="shared" si="82"/>
        <v>404766.729,281090.51</v>
      </c>
      <c r="AO1016" t="str">
        <f t="shared" si="83"/>
        <v>404759.007,281125.893</v>
      </c>
      <c r="AQ1016" t="s">
        <v>2794</v>
      </c>
      <c r="AR1016" t="s">
        <v>822</v>
      </c>
    </row>
    <row r="1017" spans="1:44" x14ac:dyDescent="0.3">
      <c r="A1017">
        <v>3869</v>
      </c>
      <c r="B1017">
        <v>4</v>
      </c>
      <c r="C1017">
        <v>4018908</v>
      </c>
      <c r="D1017">
        <v>18248</v>
      </c>
      <c r="E1017">
        <v>2</v>
      </c>
      <c r="F1017">
        <v>670050</v>
      </c>
      <c r="G1017" t="s">
        <v>116</v>
      </c>
      <c r="H1017" t="s">
        <v>58</v>
      </c>
      <c r="I1017">
        <v>0</v>
      </c>
      <c r="J1017" s="1">
        <v>404518.53899999999</v>
      </c>
      <c r="K1017" s="1">
        <v>280694.79399999999</v>
      </c>
      <c r="L1017" s="1">
        <v>404729.95</v>
      </c>
      <c r="M1017" s="1">
        <v>280782.576</v>
      </c>
      <c r="N1017" t="s">
        <v>40</v>
      </c>
      <c r="P1017" t="s">
        <v>40</v>
      </c>
      <c r="Q1017">
        <v>0</v>
      </c>
      <c r="R1017">
        <v>0</v>
      </c>
      <c r="S1017">
        <v>0</v>
      </c>
      <c r="T1017">
        <v>6</v>
      </c>
      <c r="U1017">
        <v>6</v>
      </c>
      <c r="V1017">
        <v>1</v>
      </c>
      <c r="W1017">
        <v>1</v>
      </c>
      <c r="X1017" t="s">
        <v>40</v>
      </c>
      <c r="Y1017">
        <v>3</v>
      </c>
      <c r="Z1017">
        <v>91</v>
      </c>
      <c r="AA1017">
        <v>1</v>
      </c>
      <c r="AB1017">
        <v>0</v>
      </c>
      <c r="AC1017">
        <v>1238.3810000000001</v>
      </c>
      <c r="AD1017">
        <v>5059</v>
      </c>
      <c r="AH1017">
        <v>0</v>
      </c>
      <c r="AI1017">
        <v>0</v>
      </c>
      <c r="AL1017" t="s">
        <v>40</v>
      </c>
      <c r="AM1017" t="str">
        <f t="shared" si="81"/>
        <v>91 1</v>
      </c>
      <c r="AN1017" s="6" t="s">
        <v>1572</v>
      </c>
      <c r="AO1017" s="6" t="s">
        <v>1562</v>
      </c>
      <c r="AQ1017" t="s">
        <v>2795</v>
      </c>
      <c r="AR1017" t="s">
        <v>2796</v>
      </c>
    </row>
    <row r="1018" spans="1:44" x14ac:dyDescent="0.3">
      <c r="A1018">
        <v>3869</v>
      </c>
      <c r="B1018">
        <v>4</v>
      </c>
      <c r="C1018">
        <v>4015430</v>
      </c>
      <c r="D1018">
        <v>13952</v>
      </c>
      <c r="E1018">
        <v>2</v>
      </c>
      <c r="F1018">
        <v>670050</v>
      </c>
      <c r="G1018" t="s">
        <v>116</v>
      </c>
      <c r="H1018" t="s">
        <v>96</v>
      </c>
      <c r="I1018">
        <v>0</v>
      </c>
      <c r="J1018" s="1">
        <v>402220.13099999999</v>
      </c>
      <c r="K1018" s="1">
        <v>280183.23800000001</v>
      </c>
      <c r="L1018" s="1">
        <v>402206.14799999999</v>
      </c>
      <c r="M1018" s="1">
        <v>280134.08299999998</v>
      </c>
      <c r="N1018" t="s">
        <v>40</v>
      </c>
      <c r="P1018" t="s">
        <v>40</v>
      </c>
      <c r="Q1018">
        <v>0</v>
      </c>
      <c r="R1018">
        <v>0</v>
      </c>
      <c r="S1018">
        <v>0</v>
      </c>
      <c r="T1018">
        <v>6</v>
      </c>
      <c r="U1018">
        <v>6</v>
      </c>
      <c r="V1018">
        <v>1</v>
      </c>
      <c r="W1018">
        <v>1</v>
      </c>
      <c r="X1018" t="s">
        <v>40</v>
      </c>
      <c r="Y1018">
        <v>3</v>
      </c>
      <c r="Z1018">
        <v>54</v>
      </c>
      <c r="AA1018">
        <v>1</v>
      </c>
      <c r="AB1018">
        <v>0</v>
      </c>
      <c r="AC1018">
        <v>51.110999999999997</v>
      </c>
      <c r="AD1018">
        <v>5059</v>
      </c>
      <c r="AH1018">
        <v>0</v>
      </c>
      <c r="AI1018">
        <v>0</v>
      </c>
      <c r="AL1018" t="s">
        <v>40</v>
      </c>
      <c r="AM1018" t="str">
        <f t="shared" si="81"/>
        <v>54 1</v>
      </c>
      <c r="AN1018" t="str">
        <f t="shared" si="82"/>
        <v>402220.131,280183.238</v>
      </c>
      <c r="AO1018" t="str">
        <f t="shared" si="83"/>
        <v>402206.148,280134.083</v>
      </c>
      <c r="AQ1018" t="s">
        <v>2797</v>
      </c>
      <c r="AR1018" t="s">
        <v>1915</v>
      </c>
    </row>
    <row r="1019" spans="1:44" x14ac:dyDescent="0.3">
      <c r="A1019">
        <v>3869</v>
      </c>
      <c r="B1019">
        <v>4</v>
      </c>
      <c r="C1019">
        <v>4015438</v>
      </c>
      <c r="D1019">
        <v>13991</v>
      </c>
      <c r="E1019">
        <v>2</v>
      </c>
      <c r="F1019">
        <v>670050</v>
      </c>
      <c r="G1019" t="s">
        <v>116</v>
      </c>
      <c r="H1019" t="s">
        <v>96</v>
      </c>
      <c r="I1019">
        <v>0</v>
      </c>
      <c r="J1019" s="1">
        <v>402243.71100000001</v>
      </c>
      <c r="K1019" s="1">
        <v>280273.61099999998</v>
      </c>
      <c r="L1019" s="1">
        <v>402220.13099999999</v>
      </c>
      <c r="M1019" s="1">
        <v>280183.23800000001</v>
      </c>
      <c r="N1019" t="s">
        <v>40</v>
      </c>
      <c r="P1019" t="s">
        <v>40</v>
      </c>
      <c r="Q1019">
        <v>0</v>
      </c>
      <c r="R1019">
        <v>0</v>
      </c>
      <c r="S1019">
        <v>200512</v>
      </c>
      <c r="T1019">
        <v>6</v>
      </c>
      <c r="U1019">
        <v>6</v>
      </c>
      <c r="V1019">
        <v>1</v>
      </c>
      <c r="W1019">
        <v>1</v>
      </c>
      <c r="X1019" t="s">
        <v>40</v>
      </c>
      <c r="Y1019">
        <v>3</v>
      </c>
      <c r="Z1019">
        <v>5028</v>
      </c>
      <c r="AA1019">
        <v>1</v>
      </c>
      <c r="AB1019">
        <v>0</v>
      </c>
      <c r="AC1019">
        <v>100.422</v>
      </c>
      <c r="AD1019">
        <v>5059</v>
      </c>
      <c r="AH1019">
        <v>0</v>
      </c>
      <c r="AI1019">
        <v>0</v>
      </c>
      <c r="AL1019" t="s">
        <v>40</v>
      </c>
      <c r="AM1019" t="str">
        <f t="shared" si="81"/>
        <v>5028 1</v>
      </c>
      <c r="AN1019" t="str">
        <f t="shared" si="82"/>
        <v>402243.711,280273.611</v>
      </c>
      <c r="AO1019" t="str">
        <f t="shared" si="83"/>
        <v>402220.131,280183.238</v>
      </c>
      <c r="AQ1019" t="s">
        <v>2798</v>
      </c>
      <c r="AR1019" t="s">
        <v>2797</v>
      </c>
    </row>
    <row r="1020" spans="1:44" x14ac:dyDescent="0.3">
      <c r="A1020">
        <v>3869</v>
      </c>
      <c r="B1020">
        <v>4</v>
      </c>
      <c r="C1020">
        <v>4015439</v>
      </c>
      <c r="D1020">
        <v>13982</v>
      </c>
      <c r="E1020">
        <v>2</v>
      </c>
      <c r="F1020">
        <v>670050</v>
      </c>
      <c r="G1020" t="s">
        <v>116</v>
      </c>
      <c r="H1020" t="s">
        <v>96</v>
      </c>
      <c r="I1020">
        <v>0</v>
      </c>
      <c r="J1020" s="1">
        <v>402260.11599999998</v>
      </c>
      <c r="K1020" s="1">
        <v>280321.45299999998</v>
      </c>
      <c r="L1020" s="1">
        <v>402243.71100000001</v>
      </c>
      <c r="M1020" s="1">
        <v>280273.61099999998</v>
      </c>
      <c r="N1020" t="s">
        <v>40</v>
      </c>
      <c r="P1020" t="s">
        <v>40</v>
      </c>
      <c r="Q1020">
        <v>0</v>
      </c>
      <c r="R1020">
        <v>0</v>
      </c>
      <c r="S1020">
        <v>0</v>
      </c>
      <c r="T1020">
        <v>6</v>
      </c>
      <c r="U1020">
        <v>6</v>
      </c>
      <c r="V1020">
        <v>1</v>
      </c>
      <c r="W1020">
        <v>1</v>
      </c>
      <c r="X1020" t="s">
        <v>40</v>
      </c>
      <c r="Y1020">
        <v>3</v>
      </c>
      <c r="Z1020">
        <v>54</v>
      </c>
      <c r="AA1020">
        <v>1</v>
      </c>
      <c r="AB1020">
        <v>0</v>
      </c>
      <c r="AC1020">
        <v>271.06700000000001</v>
      </c>
      <c r="AD1020">
        <v>5059</v>
      </c>
      <c r="AH1020">
        <v>0</v>
      </c>
      <c r="AI1020">
        <v>0</v>
      </c>
      <c r="AL1020" t="s">
        <v>40</v>
      </c>
      <c r="AM1020" t="str">
        <f t="shared" si="81"/>
        <v>54 1</v>
      </c>
      <c r="AN1020" s="6" t="s">
        <v>1561</v>
      </c>
      <c r="AO1020" s="6" t="s">
        <v>641</v>
      </c>
      <c r="AQ1020" t="s">
        <v>2798</v>
      </c>
      <c r="AR1020" t="s">
        <v>827</v>
      </c>
    </row>
    <row r="1021" spans="1:44" x14ac:dyDescent="0.3">
      <c r="A1021">
        <v>3869</v>
      </c>
      <c r="B1021">
        <v>4</v>
      </c>
      <c r="C1021">
        <v>4021158</v>
      </c>
      <c r="D1021">
        <v>83121</v>
      </c>
      <c r="E1021">
        <v>2</v>
      </c>
      <c r="F1021">
        <v>670050</v>
      </c>
      <c r="G1021" t="s">
        <v>116</v>
      </c>
      <c r="H1021" t="s">
        <v>95</v>
      </c>
      <c r="I1021">
        <v>0</v>
      </c>
      <c r="J1021" s="1">
        <v>402000</v>
      </c>
      <c r="K1021" s="1">
        <v>280460.94500000001</v>
      </c>
      <c r="L1021" s="1">
        <v>401938.14</v>
      </c>
      <c r="M1021" s="1">
        <v>280444.60800000001</v>
      </c>
      <c r="N1021" t="s">
        <v>40</v>
      </c>
      <c r="P1021" t="s">
        <v>40</v>
      </c>
      <c r="Q1021">
        <v>0</v>
      </c>
      <c r="R1021">
        <v>0</v>
      </c>
      <c r="S1021">
        <v>0</v>
      </c>
      <c r="T1021">
        <v>6</v>
      </c>
      <c r="U1021">
        <v>6</v>
      </c>
      <c r="V1021">
        <v>1</v>
      </c>
      <c r="W1021">
        <v>2</v>
      </c>
      <c r="X1021" t="s">
        <v>40</v>
      </c>
      <c r="Y1021">
        <v>3</v>
      </c>
      <c r="Z1021">
        <v>52</v>
      </c>
      <c r="AA1021">
        <v>1</v>
      </c>
      <c r="AB1021">
        <v>0</v>
      </c>
      <c r="AC1021">
        <v>508.08799999999997</v>
      </c>
      <c r="AD1021">
        <v>5059</v>
      </c>
      <c r="AH1021">
        <v>0</v>
      </c>
      <c r="AI1021">
        <v>0</v>
      </c>
      <c r="AL1021" t="s">
        <v>40</v>
      </c>
      <c r="AM1021" t="str">
        <f t="shared" si="81"/>
        <v>52 1</v>
      </c>
      <c r="AN1021" s="6" t="s">
        <v>636</v>
      </c>
      <c r="AO1021" s="6" t="s">
        <v>638</v>
      </c>
      <c r="AQ1021" t="s">
        <v>826</v>
      </c>
      <c r="AR1021" t="s">
        <v>826</v>
      </c>
    </row>
    <row r="1022" spans="1:44" x14ac:dyDescent="0.3">
      <c r="A1022">
        <v>3869</v>
      </c>
      <c r="B1022">
        <v>4</v>
      </c>
      <c r="C1022">
        <v>4023149</v>
      </c>
      <c r="D1022">
        <v>23039</v>
      </c>
      <c r="E1022">
        <v>2</v>
      </c>
      <c r="F1022">
        <v>670050</v>
      </c>
      <c r="G1022" t="s">
        <v>116</v>
      </c>
      <c r="H1022" t="s">
        <v>43</v>
      </c>
      <c r="I1022">
        <v>0</v>
      </c>
      <c r="J1022" s="1">
        <v>405124.027</v>
      </c>
      <c r="K1022" s="1">
        <v>280973.99300000002</v>
      </c>
      <c r="L1022" s="1">
        <v>405076.27299999999</v>
      </c>
      <c r="M1022" s="1">
        <v>280960.73100000003</v>
      </c>
      <c r="N1022" t="s">
        <v>40</v>
      </c>
      <c r="P1022" t="s">
        <v>40</v>
      </c>
      <c r="Q1022">
        <v>0</v>
      </c>
      <c r="R1022">
        <v>0</v>
      </c>
      <c r="S1022">
        <v>0</v>
      </c>
      <c r="T1022">
        <v>6</v>
      </c>
      <c r="U1022">
        <v>6</v>
      </c>
      <c r="V1022">
        <v>1</v>
      </c>
      <c r="W1022">
        <v>1</v>
      </c>
      <c r="X1022" t="s">
        <v>40</v>
      </c>
      <c r="Y1022">
        <v>3</v>
      </c>
      <c r="Z1022">
        <v>51</v>
      </c>
      <c r="AA1022">
        <v>99</v>
      </c>
      <c r="AB1022">
        <v>0</v>
      </c>
      <c r="AC1022">
        <v>50.177999999999997</v>
      </c>
      <c r="AD1022">
        <v>5059</v>
      </c>
      <c r="AH1022">
        <v>0</v>
      </c>
      <c r="AI1022">
        <v>0</v>
      </c>
      <c r="AL1022" t="s">
        <v>40</v>
      </c>
      <c r="AM1022" t="str">
        <f t="shared" si="81"/>
        <v>51 99</v>
      </c>
      <c r="AN1022" t="str">
        <f t="shared" si="82"/>
        <v>405124.027,280973.993</v>
      </c>
      <c r="AO1022" t="str">
        <f t="shared" si="83"/>
        <v>405076.273,280960.731</v>
      </c>
      <c r="AQ1022" t="s">
        <v>1916</v>
      </c>
      <c r="AR1022" t="s">
        <v>2795</v>
      </c>
    </row>
    <row r="1023" spans="1:44" x14ac:dyDescent="0.3">
      <c r="A1023">
        <v>3869</v>
      </c>
      <c r="B1023">
        <v>4</v>
      </c>
      <c r="C1023">
        <v>4021110</v>
      </c>
      <c r="D1023">
        <v>81618</v>
      </c>
      <c r="E1023">
        <v>2</v>
      </c>
      <c r="F1023">
        <v>670050</v>
      </c>
      <c r="G1023" t="s">
        <v>116</v>
      </c>
      <c r="H1023" t="s">
        <v>95</v>
      </c>
      <c r="I1023">
        <v>0</v>
      </c>
      <c r="J1023" s="1">
        <v>401769.32900000003</v>
      </c>
      <c r="K1023" s="1">
        <v>280680.19799999997</v>
      </c>
      <c r="L1023" s="1">
        <v>401772.46899999998</v>
      </c>
      <c r="M1023" s="1">
        <v>280678.41700000002</v>
      </c>
      <c r="N1023" t="s">
        <v>40</v>
      </c>
      <c r="P1023" t="s">
        <v>40</v>
      </c>
      <c r="Q1023">
        <v>0</v>
      </c>
      <c r="R1023">
        <v>0</v>
      </c>
      <c r="S1023">
        <v>0</v>
      </c>
      <c r="T1023">
        <v>6</v>
      </c>
      <c r="U1023">
        <v>6</v>
      </c>
      <c r="V1023">
        <v>1</v>
      </c>
      <c r="W1023">
        <v>2</v>
      </c>
      <c r="X1023" t="s">
        <v>40</v>
      </c>
      <c r="Y1023">
        <v>3</v>
      </c>
      <c r="Z1023">
        <v>90</v>
      </c>
      <c r="AA1023">
        <v>1</v>
      </c>
      <c r="AB1023">
        <v>0</v>
      </c>
      <c r="AC1023">
        <v>3.6259999999999999</v>
      </c>
      <c r="AD1023">
        <v>5059</v>
      </c>
      <c r="AH1023">
        <v>0</v>
      </c>
      <c r="AI1023">
        <v>0</v>
      </c>
      <c r="AL1023" t="s">
        <v>40</v>
      </c>
      <c r="AM1023" t="str">
        <f t="shared" si="81"/>
        <v>90 1</v>
      </c>
      <c r="AN1023" t="str">
        <f t="shared" si="82"/>
        <v>401769.329,280680.198</v>
      </c>
      <c r="AO1023" t="str">
        <f t="shared" si="83"/>
        <v>401772.469,280678.417</v>
      </c>
      <c r="AQ1023" t="s">
        <v>2799</v>
      </c>
      <c r="AR1023" t="s">
        <v>826</v>
      </c>
    </row>
    <row r="1024" spans="1:44" x14ac:dyDescent="0.3">
      <c r="A1024">
        <v>3869</v>
      </c>
      <c r="B1024">
        <v>4</v>
      </c>
      <c r="C1024">
        <v>4016154</v>
      </c>
      <c r="D1024">
        <v>15309</v>
      </c>
      <c r="E1024">
        <v>2</v>
      </c>
      <c r="F1024">
        <v>670050</v>
      </c>
      <c r="G1024" t="s">
        <v>116</v>
      </c>
      <c r="H1024" t="s">
        <v>83</v>
      </c>
      <c r="I1024">
        <v>0</v>
      </c>
      <c r="J1024" s="1">
        <v>404302.20299999998</v>
      </c>
      <c r="K1024" s="1">
        <v>279910.24900000001</v>
      </c>
      <c r="L1024" s="1">
        <v>404285.64</v>
      </c>
      <c r="M1024" s="1">
        <v>279867.22700000001</v>
      </c>
      <c r="N1024" t="s">
        <v>40</v>
      </c>
      <c r="P1024" t="s">
        <v>40</v>
      </c>
      <c r="Q1024">
        <v>0</v>
      </c>
      <c r="R1024">
        <v>0</v>
      </c>
      <c r="S1024">
        <v>0</v>
      </c>
      <c r="T1024">
        <v>6</v>
      </c>
      <c r="U1024">
        <v>6</v>
      </c>
      <c r="V1024">
        <v>1</v>
      </c>
      <c r="W1024">
        <v>2</v>
      </c>
      <c r="X1024" t="s">
        <v>40</v>
      </c>
      <c r="Y1024">
        <v>3</v>
      </c>
      <c r="Z1024">
        <v>93</v>
      </c>
      <c r="AA1024">
        <v>1</v>
      </c>
      <c r="AB1024">
        <v>0</v>
      </c>
      <c r="AC1024">
        <v>1417.9839999999999</v>
      </c>
      <c r="AD1024">
        <v>5059</v>
      </c>
      <c r="AH1024">
        <v>0</v>
      </c>
      <c r="AI1024">
        <v>0</v>
      </c>
      <c r="AL1024" t="s">
        <v>40</v>
      </c>
      <c r="AM1024" t="str">
        <f t="shared" si="81"/>
        <v>93 1</v>
      </c>
      <c r="AN1024" s="6" t="s">
        <v>1793</v>
      </c>
      <c r="AO1024" s="6" t="s">
        <v>1564</v>
      </c>
      <c r="AQ1024" t="s">
        <v>2800</v>
      </c>
      <c r="AR1024" t="s">
        <v>2801</v>
      </c>
    </row>
    <row r="1025" spans="1:44" x14ac:dyDescent="0.3">
      <c r="A1025">
        <v>3869</v>
      </c>
      <c r="B1025">
        <v>4</v>
      </c>
      <c r="C1025">
        <v>4015540</v>
      </c>
      <c r="D1025">
        <v>14846</v>
      </c>
      <c r="E1025">
        <v>2</v>
      </c>
      <c r="F1025">
        <v>670050</v>
      </c>
      <c r="G1025" t="s">
        <v>116</v>
      </c>
      <c r="H1025" t="s">
        <v>96</v>
      </c>
      <c r="I1025">
        <v>0</v>
      </c>
      <c r="J1025" s="1">
        <v>402015.10399999999</v>
      </c>
      <c r="K1025" s="1">
        <v>280750.76</v>
      </c>
      <c r="L1025" s="1">
        <v>402000</v>
      </c>
      <c r="M1025" s="1">
        <v>280763.61800000002</v>
      </c>
      <c r="N1025" t="s">
        <v>40</v>
      </c>
      <c r="P1025" t="s">
        <v>40</v>
      </c>
      <c r="Q1025">
        <v>0</v>
      </c>
      <c r="R1025">
        <v>0</v>
      </c>
      <c r="S1025">
        <v>0</v>
      </c>
      <c r="T1025">
        <v>6</v>
      </c>
      <c r="U1025">
        <v>6</v>
      </c>
      <c r="V1025">
        <v>1</v>
      </c>
      <c r="W1025">
        <v>1</v>
      </c>
      <c r="X1025" t="s">
        <v>40</v>
      </c>
      <c r="Y1025">
        <v>3</v>
      </c>
      <c r="Z1025">
        <v>52</v>
      </c>
      <c r="AA1025">
        <v>1</v>
      </c>
      <c r="AB1025">
        <v>0</v>
      </c>
      <c r="AC1025">
        <v>99.350999999999999</v>
      </c>
      <c r="AD1025">
        <v>5059</v>
      </c>
      <c r="AH1025">
        <v>0</v>
      </c>
      <c r="AI1025">
        <v>0</v>
      </c>
      <c r="AL1025" t="s">
        <v>40</v>
      </c>
      <c r="AM1025" t="str">
        <f t="shared" si="81"/>
        <v>52 1</v>
      </c>
      <c r="AN1025" s="6" t="s">
        <v>1578</v>
      </c>
      <c r="AO1025" s="6" t="s">
        <v>1567</v>
      </c>
      <c r="AQ1025" t="s">
        <v>2802</v>
      </c>
      <c r="AR1025" t="s">
        <v>2803</v>
      </c>
    </row>
    <row r="1026" spans="1:44" x14ac:dyDescent="0.3">
      <c r="A1026">
        <v>3869</v>
      </c>
      <c r="B1026">
        <v>4</v>
      </c>
      <c r="C1026">
        <v>4023150</v>
      </c>
      <c r="D1026">
        <v>22869</v>
      </c>
      <c r="E1026">
        <v>2</v>
      </c>
      <c r="F1026">
        <v>670050</v>
      </c>
      <c r="G1026" t="s">
        <v>116</v>
      </c>
      <c r="H1026" t="s">
        <v>43</v>
      </c>
      <c r="I1026">
        <v>0</v>
      </c>
      <c r="J1026" s="1">
        <v>405128.14199999999</v>
      </c>
      <c r="K1026" s="1">
        <v>280974.50199999998</v>
      </c>
      <c r="L1026" s="1">
        <v>405000</v>
      </c>
      <c r="M1026" s="1">
        <v>280903.54499999998</v>
      </c>
      <c r="N1026" t="s">
        <v>40</v>
      </c>
      <c r="P1026" t="s">
        <v>40</v>
      </c>
      <c r="Q1026">
        <v>0</v>
      </c>
      <c r="R1026">
        <v>0</v>
      </c>
      <c r="S1026">
        <v>0</v>
      </c>
      <c r="T1026">
        <v>6</v>
      </c>
      <c r="U1026">
        <v>6</v>
      </c>
      <c r="V1026">
        <v>1</v>
      </c>
      <c r="W1026">
        <v>2</v>
      </c>
      <c r="X1026" t="s">
        <v>40</v>
      </c>
      <c r="Y1026">
        <v>3</v>
      </c>
      <c r="Z1026">
        <v>93</v>
      </c>
      <c r="AA1026">
        <v>99</v>
      </c>
      <c r="AB1026">
        <v>0</v>
      </c>
      <c r="AC1026">
        <v>157.97999999999999</v>
      </c>
      <c r="AD1026">
        <v>5059</v>
      </c>
      <c r="AH1026">
        <v>0</v>
      </c>
      <c r="AI1026">
        <v>0</v>
      </c>
      <c r="AL1026" t="s">
        <v>40</v>
      </c>
      <c r="AM1026" t="str">
        <f t="shared" si="81"/>
        <v>93 99</v>
      </c>
      <c r="AN1026" t="str">
        <f t="shared" si="82"/>
        <v>405128.142,280974.502</v>
      </c>
      <c r="AO1026" t="str">
        <f t="shared" si="83"/>
        <v>405000,280903.545</v>
      </c>
      <c r="AQ1026" t="s">
        <v>1917</v>
      </c>
      <c r="AR1026" t="s">
        <v>2801</v>
      </c>
    </row>
    <row r="1027" spans="1:44" x14ac:dyDescent="0.3">
      <c r="A1027">
        <v>3869</v>
      </c>
      <c r="B1027">
        <v>4</v>
      </c>
      <c r="C1027">
        <v>4015415</v>
      </c>
      <c r="D1027">
        <v>13938</v>
      </c>
      <c r="E1027">
        <v>2</v>
      </c>
      <c r="F1027">
        <v>670050</v>
      </c>
      <c r="G1027" t="s">
        <v>116</v>
      </c>
      <c r="H1027" t="s">
        <v>96</v>
      </c>
      <c r="I1027">
        <v>0</v>
      </c>
      <c r="J1027" s="1">
        <v>402205.201</v>
      </c>
      <c r="K1027" s="1">
        <v>280128.28899999999</v>
      </c>
      <c r="L1027" s="1">
        <v>402206.14799999999</v>
      </c>
      <c r="M1027" s="1">
        <v>280134.08299999998</v>
      </c>
      <c r="N1027" t="s">
        <v>40</v>
      </c>
      <c r="P1027" t="s">
        <v>40</v>
      </c>
      <c r="Q1027">
        <v>0</v>
      </c>
      <c r="R1027">
        <v>0</v>
      </c>
      <c r="S1027">
        <v>0</v>
      </c>
      <c r="T1027">
        <v>6</v>
      </c>
      <c r="U1027">
        <v>6</v>
      </c>
      <c r="V1027">
        <v>1</v>
      </c>
      <c r="W1027">
        <v>1</v>
      </c>
      <c r="X1027" t="s">
        <v>40</v>
      </c>
      <c r="Y1027">
        <v>3</v>
      </c>
      <c r="Z1027">
        <v>54</v>
      </c>
      <c r="AA1027">
        <v>1</v>
      </c>
      <c r="AB1027">
        <v>0</v>
      </c>
      <c r="AC1027">
        <v>5.9180000000000001</v>
      </c>
      <c r="AD1027">
        <v>5059</v>
      </c>
      <c r="AH1027">
        <v>0</v>
      </c>
      <c r="AI1027">
        <v>0</v>
      </c>
      <c r="AL1027" t="s">
        <v>40</v>
      </c>
      <c r="AM1027" t="str">
        <f t="shared" si="81"/>
        <v>54 1</v>
      </c>
      <c r="AN1027" t="str">
        <f t="shared" si="82"/>
        <v>402205.201,280128.289</v>
      </c>
      <c r="AO1027" t="str">
        <f t="shared" si="83"/>
        <v>402206.148,280134.083</v>
      </c>
      <c r="AQ1027" t="s">
        <v>2804</v>
      </c>
      <c r="AR1027" t="s">
        <v>1915</v>
      </c>
    </row>
    <row r="1028" spans="1:44" x14ac:dyDescent="0.3">
      <c r="A1028">
        <v>3869</v>
      </c>
      <c r="B1028">
        <v>4</v>
      </c>
      <c r="C1028">
        <v>4021159</v>
      </c>
      <c r="D1028">
        <v>19535</v>
      </c>
      <c r="E1028">
        <v>2</v>
      </c>
      <c r="F1028">
        <v>670050</v>
      </c>
      <c r="G1028" t="s">
        <v>116</v>
      </c>
      <c r="H1028" t="s">
        <v>95</v>
      </c>
      <c r="I1028">
        <v>0</v>
      </c>
      <c r="J1028" s="1">
        <v>401889.85499999998</v>
      </c>
      <c r="K1028" s="1">
        <v>280856.52399999998</v>
      </c>
      <c r="L1028" s="1">
        <v>401930.42099999997</v>
      </c>
      <c r="M1028" s="1">
        <v>280821.67099999997</v>
      </c>
      <c r="N1028" t="s">
        <v>40</v>
      </c>
      <c r="P1028" t="s">
        <v>40</v>
      </c>
      <c r="Q1028">
        <v>0</v>
      </c>
      <c r="R1028">
        <v>0</v>
      </c>
      <c r="S1028">
        <v>0</v>
      </c>
      <c r="T1028">
        <v>6</v>
      </c>
      <c r="U1028">
        <v>6</v>
      </c>
      <c r="V1028">
        <v>1</v>
      </c>
      <c r="W1028">
        <v>1</v>
      </c>
      <c r="X1028" t="s">
        <v>40</v>
      </c>
      <c r="Y1028">
        <v>3</v>
      </c>
      <c r="Z1028">
        <v>52</v>
      </c>
      <c r="AA1028">
        <v>1</v>
      </c>
      <c r="AB1028">
        <v>0</v>
      </c>
      <c r="AC1028">
        <v>53.503</v>
      </c>
      <c r="AD1028">
        <v>5059</v>
      </c>
      <c r="AH1028">
        <v>0</v>
      </c>
      <c r="AI1028">
        <v>0</v>
      </c>
      <c r="AL1028" t="s">
        <v>40</v>
      </c>
      <c r="AM1028" t="str">
        <f t="shared" si="81"/>
        <v>52 1</v>
      </c>
      <c r="AN1028" t="str">
        <f t="shared" si="82"/>
        <v>401889.855,280856.524</v>
      </c>
      <c r="AO1028" t="str">
        <f t="shared" si="83"/>
        <v>401930.421,280821.671</v>
      </c>
      <c r="AQ1028" t="s">
        <v>2805</v>
      </c>
      <c r="AR1028" t="s">
        <v>1918</v>
      </c>
    </row>
    <row r="1029" spans="1:44" x14ac:dyDescent="0.3">
      <c r="A1029">
        <v>3869</v>
      </c>
      <c r="B1029">
        <v>4</v>
      </c>
      <c r="C1029">
        <v>4015496</v>
      </c>
      <c r="D1029">
        <v>14279</v>
      </c>
      <c r="E1029">
        <v>2</v>
      </c>
      <c r="F1029">
        <v>670050</v>
      </c>
      <c r="G1029" t="s">
        <v>116</v>
      </c>
      <c r="H1029" t="s">
        <v>96</v>
      </c>
      <c r="I1029">
        <v>0</v>
      </c>
      <c r="J1029" s="1">
        <v>402276.36</v>
      </c>
      <c r="K1029" s="1">
        <v>280540.96299999999</v>
      </c>
      <c r="L1029" s="1">
        <v>402275.59600000002</v>
      </c>
      <c r="M1029" s="1">
        <v>280540.402</v>
      </c>
      <c r="N1029" t="s">
        <v>40</v>
      </c>
      <c r="P1029" t="s">
        <v>40</v>
      </c>
      <c r="Q1029">
        <v>0</v>
      </c>
      <c r="R1029">
        <v>0</v>
      </c>
      <c r="S1029">
        <v>0</v>
      </c>
      <c r="T1029">
        <v>6</v>
      </c>
      <c r="U1029">
        <v>6</v>
      </c>
      <c r="V1029">
        <v>1</v>
      </c>
      <c r="W1029">
        <v>3</v>
      </c>
      <c r="X1029" t="s">
        <v>40</v>
      </c>
      <c r="Y1029">
        <v>3</v>
      </c>
      <c r="Z1029">
        <v>54</v>
      </c>
      <c r="AA1029">
        <v>1</v>
      </c>
      <c r="AB1029">
        <v>0</v>
      </c>
      <c r="AC1029">
        <v>2.548</v>
      </c>
      <c r="AD1029">
        <v>5059</v>
      </c>
      <c r="AH1029">
        <v>0</v>
      </c>
      <c r="AI1029">
        <v>0</v>
      </c>
      <c r="AL1029" t="s">
        <v>40</v>
      </c>
      <c r="AM1029" t="str">
        <f t="shared" si="81"/>
        <v>54 1</v>
      </c>
      <c r="AN1029" s="6" t="s">
        <v>642</v>
      </c>
      <c r="AO1029" s="6" t="s">
        <v>1571</v>
      </c>
      <c r="AQ1029" t="s">
        <v>827</v>
      </c>
      <c r="AR1029" t="s">
        <v>1883</v>
      </c>
    </row>
    <row r="1030" spans="1:44" x14ac:dyDescent="0.3">
      <c r="A1030">
        <v>3869</v>
      </c>
      <c r="B1030">
        <v>4</v>
      </c>
      <c r="C1030">
        <v>4016169</v>
      </c>
      <c r="D1030">
        <v>15266</v>
      </c>
      <c r="E1030">
        <v>2</v>
      </c>
      <c r="F1030">
        <v>670050</v>
      </c>
      <c r="G1030" t="s">
        <v>116</v>
      </c>
      <c r="H1030" t="s">
        <v>83</v>
      </c>
      <c r="I1030">
        <v>0</v>
      </c>
      <c r="J1030" s="1">
        <v>404283.51500000001</v>
      </c>
      <c r="K1030" s="1">
        <v>279850.98800000001</v>
      </c>
      <c r="L1030" s="1">
        <v>404285.64</v>
      </c>
      <c r="M1030" s="1">
        <v>279867.22700000001</v>
      </c>
      <c r="N1030" t="s">
        <v>40</v>
      </c>
      <c r="P1030" t="s">
        <v>40</v>
      </c>
      <c r="Q1030">
        <v>0</v>
      </c>
      <c r="R1030">
        <v>0</v>
      </c>
      <c r="S1030">
        <v>0</v>
      </c>
      <c r="T1030">
        <v>6</v>
      </c>
      <c r="U1030">
        <v>6</v>
      </c>
      <c r="V1030">
        <v>1</v>
      </c>
      <c r="W1030">
        <v>2</v>
      </c>
      <c r="X1030" t="s">
        <v>40</v>
      </c>
      <c r="Y1030">
        <v>3</v>
      </c>
      <c r="Z1030">
        <v>90</v>
      </c>
      <c r="AA1030">
        <v>1</v>
      </c>
      <c r="AB1030">
        <v>0</v>
      </c>
      <c r="AC1030">
        <v>276.30799999999999</v>
      </c>
      <c r="AD1030">
        <v>5059</v>
      </c>
      <c r="AH1030">
        <v>0</v>
      </c>
      <c r="AI1030">
        <v>0</v>
      </c>
      <c r="AL1030" t="s">
        <v>40</v>
      </c>
      <c r="AM1030" t="str">
        <f t="shared" ref="AM1030:AM1058" si="84">_xlfn.CONCAT(Z1030, " ",AA1030)</f>
        <v>90 1</v>
      </c>
      <c r="AN1030" s="6" t="s">
        <v>1793</v>
      </c>
      <c r="AO1030" s="6" t="s">
        <v>1586</v>
      </c>
      <c r="AQ1030" t="s">
        <v>2800</v>
      </c>
      <c r="AR1030" t="s">
        <v>2806</v>
      </c>
    </row>
    <row r="1031" spans="1:44" x14ac:dyDescent="0.3">
      <c r="A1031">
        <v>3869</v>
      </c>
      <c r="B1031">
        <v>4</v>
      </c>
      <c r="C1031">
        <v>4015511</v>
      </c>
      <c r="D1031">
        <v>36776</v>
      </c>
      <c r="E1031">
        <v>2</v>
      </c>
      <c r="F1031">
        <v>670050</v>
      </c>
      <c r="G1031" t="s">
        <v>116</v>
      </c>
      <c r="H1031" t="s">
        <v>96</v>
      </c>
      <c r="I1031">
        <v>0</v>
      </c>
      <c r="J1031" s="1">
        <v>402079.16600000003</v>
      </c>
      <c r="K1031" s="1">
        <v>280776.158</v>
      </c>
      <c r="L1031" s="1">
        <v>402078.05099999998</v>
      </c>
      <c r="M1031" s="1">
        <v>280778.50900000002</v>
      </c>
      <c r="N1031" t="s">
        <v>40</v>
      </c>
      <c r="P1031" t="s">
        <v>40</v>
      </c>
      <c r="Q1031">
        <v>0</v>
      </c>
      <c r="R1031">
        <v>0</v>
      </c>
      <c r="S1031">
        <v>0</v>
      </c>
      <c r="T1031">
        <v>6</v>
      </c>
      <c r="U1031">
        <v>6</v>
      </c>
      <c r="V1031">
        <v>1</v>
      </c>
      <c r="W1031">
        <v>1</v>
      </c>
      <c r="X1031" t="s">
        <v>40</v>
      </c>
      <c r="Y1031">
        <v>3</v>
      </c>
      <c r="Z1031">
        <v>38</v>
      </c>
      <c r="AA1031">
        <v>5001</v>
      </c>
      <c r="AB1031">
        <v>0</v>
      </c>
      <c r="AC1031">
        <v>2.6080000000000001</v>
      </c>
      <c r="AD1031">
        <v>5059</v>
      </c>
      <c r="AH1031">
        <v>0</v>
      </c>
      <c r="AI1031">
        <v>0</v>
      </c>
      <c r="AL1031" t="s">
        <v>40</v>
      </c>
      <c r="AM1031" t="str">
        <f t="shared" si="84"/>
        <v>38 5001</v>
      </c>
      <c r="AN1031" t="str">
        <f t="shared" ref="AN1031:AN1056" si="85">ROUND(J1031,3)&amp;","&amp;ROUND(K1031,3)</f>
        <v>402079.166,280776.158</v>
      </c>
      <c r="AO1031" t="str">
        <f t="shared" ref="AO1031:AO1056" si="86">ROUND(L1031,3)&amp;","&amp;ROUND(M1031,3)</f>
        <v>402078.051,280778.509</v>
      </c>
      <c r="AQ1031" t="s">
        <v>2807</v>
      </c>
      <c r="AR1031" t="s">
        <v>825</v>
      </c>
    </row>
    <row r="1032" spans="1:44" x14ac:dyDescent="0.3">
      <c r="A1032">
        <v>3869</v>
      </c>
      <c r="B1032">
        <v>4</v>
      </c>
      <c r="C1032">
        <v>4015423</v>
      </c>
      <c r="D1032">
        <v>13986</v>
      </c>
      <c r="E1032">
        <v>2</v>
      </c>
      <c r="F1032">
        <v>670050</v>
      </c>
      <c r="G1032" t="s">
        <v>116</v>
      </c>
      <c r="H1032" t="s">
        <v>96</v>
      </c>
      <c r="I1032">
        <v>0</v>
      </c>
      <c r="J1032" s="1">
        <v>402206.14799999999</v>
      </c>
      <c r="K1032" s="1">
        <v>280134.08299999998</v>
      </c>
      <c r="L1032" s="1">
        <v>402185.96600000001</v>
      </c>
      <c r="M1032" s="1">
        <v>280126.03700000001</v>
      </c>
      <c r="N1032" t="s">
        <v>40</v>
      </c>
      <c r="P1032" t="s">
        <v>40</v>
      </c>
      <c r="Q1032">
        <v>0</v>
      </c>
      <c r="R1032">
        <v>0</v>
      </c>
      <c r="S1032">
        <v>0</v>
      </c>
      <c r="T1032">
        <v>6</v>
      </c>
      <c r="U1032">
        <v>6</v>
      </c>
      <c r="V1032">
        <v>1</v>
      </c>
      <c r="W1032">
        <v>3</v>
      </c>
      <c r="X1032" t="s">
        <v>40</v>
      </c>
      <c r="Y1032">
        <v>3</v>
      </c>
      <c r="Z1032">
        <v>86</v>
      </c>
      <c r="AA1032">
        <v>1</v>
      </c>
      <c r="AB1032">
        <v>0</v>
      </c>
      <c r="AC1032">
        <v>47.92</v>
      </c>
      <c r="AD1032">
        <v>5059</v>
      </c>
      <c r="AH1032">
        <v>0</v>
      </c>
      <c r="AI1032">
        <v>0</v>
      </c>
      <c r="AL1032" t="s">
        <v>40</v>
      </c>
      <c r="AM1032" t="str">
        <f t="shared" si="84"/>
        <v>86 1</v>
      </c>
      <c r="AN1032" s="6" t="s">
        <v>637</v>
      </c>
      <c r="AO1032" s="6" t="s">
        <v>1574</v>
      </c>
      <c r="AQ1032" t="s">
        <v>826</v>
      </c>
      <c r="AR1032" t="s">
        <v>1915</v>
      </c>
    </row>
    <row r="1033" spans="1:44" x14ac:dyDescent="0.3">
      <c r="A1033">
        <v>3869</v>
      </c>
      <c r="B1033">
        <v>4</v>
      </c>
      <c r="C1033">
        <v>4015532</v>
      </c>
      <c r="D1033">
        <v>36777</v>
      </c>
      <c r="E1033">
        <v>2</v>
      </c>
      <c r="F1033">
        <v>670050</v>
      </c>
      <c r="G1033" t="s">
        <v>116</v>
      </c>
      <c r="H1033" t="s">
        <v>96</v>
      </c>
      <c r="I1033">
        <v>0</v>
      </c>
      <c r="J1033" s="1">
        <v>402078.65600000002</v>
      </c>
      <c r="K1033" s="1">
        <v>280776.397</v>
      </c>
      <c r="L1033" s="1">
        <v>402077.652</v>
      </c>
      <c r="M1033" s="1">
        <v>280778.34899999999</v>
      </c>
      <c r="N1033" t="s">
        <v>40</v>
      </c>
      <c r="P1033" t="s">
        <v>40</v>
      </c>
      <c r="Q1033">
        <v>0</v>
      </c>
      <c r="R1033">
        <v>0</v>
      </c>
      <c r="S1033">
        <v>0</v>
      </c>
      <c r="T1033">
        <v>6</v>
      </c>
      <c r="U1033">
        <v>6</v>
      </c>
      <c r="V1033">
        <v>1</v>
      </c>
      <c r="W1033">
        <v>1</v>
      </c>
      <c r="X1033" t="s">
        <v>40</v>
      </c>
      <c r="Y1033">
        <v>3</v>
      </c>
      <c r="Z1033">
        <v>38</v>
      </c>
      <c r="AA1033">
        <v>5001</v>
      </c>
      <c r="AB1033">
        <v>0</v>
      </c>
      <c r="AC1033">
        <v>2.2010000000000001</v>
      </c>
      <c r="AD1033">
        <v>5059</v>
      </c>
      <c r="AH1033">
        <v>0</v>
      </c>
      <c r="AI1033">
        <v>0</v>
      </c>
      <c r="AL1033" t="s">
        <v>40</v>
      </c>
      <c r="AM1033" t="str">
        <f t="shared" si="84"/>
        <v>38 5001</v>
      </c>
      <c r="AN1033" t="str">
        <f t="shared" si="85"/>
        <v>402078.656,280776.397</v>
      </c>
      <c r="AO1033" t="str">
        <f t="shared" si="86"/>
        <v>402077.652,280778.349</v>
      </c>
      <c r="AQ1033" t="s">
        <v>2808</v>
      </c>
      <c r="AR1033" t="s">
        <v>825</v>
      </c>
    </row>
    <row r="1034" spans="1:44" x14ac:dyDescent="0.3">
      <c r="A1034">
        <v>3869</v>
      </c>
      <c r="B1034">
        <v>4</v>
      </c>
      <c r="C1034">
        <v>4015533</v>
      </c>
      <c r="D1034">
        <v>14816</v>
      </c>
      <c r="E1034">
        <v>2</v>
      </c>
      <c r="F1034">
        <v>670050</v>
      </c>
      <c r="G1034" t="s">
        <v>116</v>
      </c>
      <c r="H1034" t="s">
        <v>96</v>
      </c>
      <c r="I1034">
        <v>0</v>
      </c>
      <c r="J1034" s="1">
        <v>402078.65600000002</v>
      </c>
      <c r="K1034" s="1">
        <v>280776.397</v>
      </c>
      <c r="L1034" s="1">
        <v>402015.10399999999</v>
      </c>
      <c r="M1034" s="1">
        <v>280750.76</v>
      </c>
      <c r="N1034" t="s">
        <v>40</v>
      </c>
      <c r="P1034" t="s">
        <v>40</v>
      </c>
      <c r="Q1034">
        <v>0</v>
      </c>
      <c r="R1034">
        <v>0</v>
      </c>
      <c r="S1034">
        <v>0</v>
      </c>
      <c r="T1034">
        <v>6</v>
      </c>
      <c r="U1034">
        <v>6</v>
      </c>
      <c r="V1034">
        <v>1</v>
      </c>
      <c r="W1034">
        <v>1</v>
      </c>
      <c r="X1034" t="s">
        <v>40</v>
      </c>
      <c r="Y1034">
        <v>3</v>
      </c>
      <c r="Z1034">
        <v>54</v>
      </c>
      <c r="AA1034">
        <v>1</v>
      </c>
      <c r="AB1034">
        <v>0</v>
      </c>
      <c r="AC1034">
        <v>73.182000000000002</v>
      </c>
      <c r="AD1034">
        <v>5059</v>
      </c>
      <c r="AH1034">
        <v>0</v>
      </c>
      <c r="AI1034">
        <v>0</v>
      </c>
      <c r="AL1034" t="s">
        <v>40</v>
      </c>
      <c r="AM1034" t="str">
        <f t="shared" si="84"/>
        <v>54 1</v>
      </c>
      <c r="AN1034" t="str">
        <f t="shared" si="85"/>
        <v>402078.656,280776.397</v>
      </c>
      <c r="AO1034" t="str">
        <f t="shared" si="86"/>
        <v>402015.104,280750.76</v>
      </c>
      <c r="AQ1034" t="s">
        <v>2808</v>
      </c>
      <c r="AR1034" t="s">
        <v>2803</v>
      </c>
    </row>
    <row r="1035" spans="1:44" x14ac:dyDescent="0.3">
      <c r="A1035">
        <v>3869</v>
      </c>
      <c r="B1035">
        <v>4</v>
      </c>
      <c r="C1035">
        <v>4021190</v>
      </c>
      <c r="D1035">
        <v>20128</v>
      </c>
      <c r="E1035">
        <v>2</v>
      </c>
      <c r="F1035">
        <v>670050</v>
      </c>
      <c r="G1035" t="s">
        <v>116</v>
      </c>
      <c r="H1035" t="s">
        <v>95</v>
      </c>
      <c r="I1035">
        <v>0</v>
      </c>
      <c r="J1035" s="1">
        <v>401843.87900000002</v>
      </c>
      <c r="K1035" s="1">
        <v>281000</v>
      </c>
      <c r="L1035" s="1">
        <v>401809.82199999999</v>
      </c>
      <c r="M1035" s="1">
        <v>280968.57299999997</v>
      </c>
      <c r="N1035" t="s">
        <v>40</v>
      </c>
      <c r="P1035" t="s">
        <v>40</v>
      </c>
      <c r="Q1035">
        <v>0</v>
      </c>
      <c r="R1035">
        <v>0</v>
      </c>
      <c r="S1035">
        <v>0</v>
      </c>
      <c r="T1035">
        <v>6</v>
      </c>
      <c r="U1035">
        <v>6</v>
      </c>
      <c r="V1035">
        <v>1</v>
      </c>
      <c r="W1035">
        <v>1</v>
      </c>
      <c r="X1035" t="s">
        <v>40</v>
      </c>
      <c r="Y1035">
        <v>3</v>
      </c>
      <c r="Z1035">
        <v>89</v>
      </c>
      <c r="AA1035">
        <v>1</v>
      </c>
      <c r="AB1035">
        <v>0</v>
      </c>
      <c r="AC1035">
        <v>230.84399999999997</v>
      </c>
      <c r="AD1035">
        <v>5059</v>
      </c>
      <c r="AH1035">
        <v>0</v>
      </c>
      <c r="AI1035">
        <v>0</v>
      </c>
      <c r="AL1035" t="s">
        <v>40</v>
      </c>
      <c r="AM1035" t="str">
        <f t="shared" si="84"/>
        <v>89 1</v>
      </c>
      <c r="AN1035" s="6" t="s">
        <v>1582</v>
      </c>
      <c r="AO1035" s="6" t="s">
        <v>1576</v>
      </c>
      <c r="AQ1035" t="s">
        <v>2809</v>
      </c>
      <c r="AR1035" t="s">
        <v>2810</v>
      </c>
    </row>
    <row r="1036" spans="1:44" x14ac:dyDescent="0.3">
      <c r="A1036">
        <v>3869</v>
      </c>
      <c r="B1036">
        <v>4</v>
      </c>
      <c r="C1036">
        <v>4023241</v>
      </c>
      <c r="D1036">
        <v>21135</v>
      </c>
      <c r="E1036">
        <v>2</v>
      </c>
      <c r="F1036">
        <v>670050</v>
      </c>
      <c r="G1036" t="s">
        <v>116</v>
      </c>
      <c r="H1036" t="s">
        <v>94</v>
      </c>
      <c r="I1036">
        <v>0</v>
      </c>
      <c r="J1036" s="1">
        <v>402302.92499999999</v>
      </c>
      <c r="K1036" s="1">
        <v>279973.61800000002</v>
      </c>
      <c r="L1036" s="1">
        <v>402351.09</v>
      </c>
      <c r="M1036" s="1">
        <v>280000</v>
      </c>
      <c r="N1036" t="s">
        <v>40</v>
      </c>
      <c r="P1036" t="s">
        <v>40</v>
      </c>
      <c r="Q1036">
        <v>0</v>
      </c>
      <c r="R1036">
        <v>0</v>
      </c>
      <c r="S1036">
        <v>200601</v>
      </c>
      <c r="T1036">
        <v>6</v>
      </c>
      <c r="U1036">
        <v>6</v>
      </c>
      <c r="V1036">
        <v>1</v>
      </c>
      <c r="W1036">
        <v>1</v>
      </c>
      <c r="X1036" t="s">
        <v>40</v>
      </c>
      <c r="Y1036">
        <v>3</v>
      </c>
      <c r="Z1036">
        <v>5023</v>
      </c>
      <c r="AA1036">
        <v>1</v>
      </c>
      <c r="AB1036">
        <v>0</v>
      </c>
      <c r="AC1036">
        <v>257.57600000000002</v>
      </c>
      <c r="AD1036">
        <v>5059</v>
      </c>
      <c r="AH1036">
        <v>0</v>
      </c>
      <c r="AI1036">
        <v>0</v>
      </c>
      <c r="AL1036" t="s">
        <v>40</v>
      </c>
      <c r="AM1036" t="str">
        <f t="shared" si="84"/>
        <v>5023 1</v>
      </c>
      <c r="AN1036" s="6" t="s">
        <v>1559</v>
      </c>
      <c r="AO1036" s="6" t="s">
        <v>1565</v>
      </c>
      <c r="AQ1036" t="s">
        <v>2811</v>
      </c>
      <c r="AR1036" t="s">
        <v>2812</v>
      </c>
    </row>
    <row r="1037" spans="1:44" x14ac:dyDescent="0.3">
      <c r="A1037">
        <v>3869</v>
      </c>
      <c r="B1037">
        <v>4</v>
      </c>
      <c r="C1037">
        <v>4021033</v>
      </c>
      <c r="D1037">
        <v>17804</v>
      </c>
      <c r="E1037">
        <v>2</v>
      </c>
      <c r="F1037">
        <v>670050</v>
      </c>
      <c r="G1037" t="s">
        <v>116</v>
      </c>
      <c r="H1037" t="s">
        <v>95</v>
      </c>
      <c r="I1037">
        <v>0</v>
      </c>
      <c r="J1037" s="1">
        <v>401723.23800000001</v>
      </c>
      <c r="K1037" s="1">
        <v>280385.95199999999</v>
      </c>
      <c r="L1037" s="1">
        <v>401684.47399999999</v>
      </c>
      <c r="M1037" s="1">
        <v>280372.16600000003</v>
      </c>
      <c r="N1037" t="s">
        <v>40</v>
      </c>
      <c r="P1037" t="s">
        <v>40</v>
      </c>
      <c r="Q1037">
        <v>0</v>
      </c>
      <c r="R1037">
        <v>0</v>
      </c>
      <c r="S1037">
        <v>0</v>
      </c>
      <c r="T1037">
        <v>6</v>
      </c>
      <c r="U1037">
        <v>6</v>
      </c>
      <c r="V1037">
        <v>1</v>
      </c>
      <c r="W1037">
        <v>2</v>
      </c>
      <c r="X1037" t="s">
        <v>40</v>
      </c>
      <c r="Y1037">
        <v>3</v>
      </c>
      <c r="Z1037">
        <v>92</v>
      </c>
      <c r="AA1037">
        <v>1</v>
      </c>
      <c r="AB1037">
        <v>0</v>
      </c>
      <c r="AC1037">
        <v>1136.7840000000001</v>
      </c>
      <c r="AD1037">
        <v>5059</v>
      </c>
      <c r="AH1037">
        <v>0</v>
      </c>
      <c r="AI1037">
        <v>0</v>
      </c>
      <c r="AL1037" t="s">
        <v>40</v>
      </c>
      <c r="AM1037" t="str">
        <f t="shared" si="84"/>
        <v>92 1</v>
      </c>
      <c r="AN1037" s="6" t="s">
        <v>644</v>
      </c>
      <c r="AO1037" s="6" t="s">
        <v>1580</v>
      </c>
      <c r="AQ1037" t="s">
        <v>828</v>
      </c>
      <c r="AR1037" t="s">
        <v>2813</v>
      </c>
    </row>
    <row r="1038" spans="1:44" x14ac:dyDescent="0.3">
      <c r="A1038">
        <v>3869</v>
      </c>
      <c r="B1038">
        <v>4</v>
      </c>
      <c r="C1038">
        <v>4021101</v>
      </c>
      <c r="D1038">
        <v>19576</v>
      </c>
      <c r="E1038">
        <v>2</v>
      </c>
      <c r="F1038">
        <v>670050</v>
      </c>
      <c r="G1038" t="s">
        <v>116</v>
      </c>
      <c r="H1038" t="s">
        <v>95</v>
      </c>
      <c r="I1038">
        <v>0</v>
      </c>
      <c r="J1038" s="1">
        <v>401910.23100000003</v>
      </c>
      <c r="K1038" s="1">
        <v>280792.60100000002</v>
      </c>
      <c r="L1038" s="1">
        <v>401771.859</v>
      </c>
      <c r="M1038" s="1">
        <v>280703.973</v>
      </c>
      <c r="N1038" t="s">
        <v>40</v>
      </c>
      <c r="P1038" t="s">
        <v>40</v>
      </c>
      <c r="Q1038">
        <v>0</v>
      </c>
      <c r="R1038">
        <v>0</v>
      </c>
      <c r="S1038">
        <v>0</v>
      </c>
      <c r="T1038">
        <v>6</v>
      </c>
      <c r="U1038">
        <v>6</v>
      </c>
      <c r="V1038">
        <v>1</v>
      </c>
      <c r="W1038">
        <v>2</v>
      </c>
      <c r="X1038" t="s">
        <v>40</v>
      </c>
      <c r="Y1038">
        <v>3</v>
      </c>
      <c r="Z1038">
        <v>86</v>
      </c>
      <c r="AA1038">
        <v>1</v>
      </c>
      <c r="AB1038">
        <v>0</v>
      </c>
      <c r="AC1038">
        <v>270.99599999999998</v>
      </c>
      <c r="AD1038">
        <v>5059</v>
      </c>
      <c r="AH1038">
        <v>0</v>
      </c>
      <c r="AI1038">
        <v>0</v>
      </c>
      <c r="AL1038" t="s">
        <v>40</v>
      </c>
      <c r="AM1038" t="str">
        <f t="shared" si="84"/>
        <v>86 1</v>
      </c>
      <c r="AN1038" s="6" t="s">
        <v>1587</v>
      </c>
      <c r="AO1038" s="6" t="s">
        <v>1566</v>
      </c>
      <c r="AQ1038" t="s">
        <v>2814</v>
      </c>
      <c r="AR1038" t="s">
        <v>2799</v>
      </c>
    </row>
    <row r="1039" spans="1:44" x14ac:dyDescent="0.3">
      <c r="A1039">
        <v>3869</v>
      </c>
      <c r="B1039">
        <v>4</v>
      </c>
      <c r="C1039">
        <v>4021163</v>
      </c>
      <c r="D1039">
        <v>19654</v>
      </c>
      <c r="E1039">
        <v>2</v>
      </c>
      <c r="F1039">
        <v>670050</v>
      </c>
      <c r="G1039" t="s">
        <v>116</v>
      </c>
      <c r="H1039" t="s">
        <v>95</v>
      </c>
      <c r="I1039">
        <v>0</v>
      </c>
      <c r="J1039" s="1">
        <v>401868.21600000001</v>
      </c>
      <c r="K1039" s="1">
        <v>280875.73300000001</v>
      </c>
      <c r="L1039" s="1">
        <v>401884.99400000001</v>
      </c>
      <c r="M1039" s="1">
        <v>280860.853</v>
      </c>
      <c r="N1039" t="s">
        <v>40</v>
      </c>
      <c r="P1039" t="s">
        <v>40</v>
      </c>
      <c r="Q1039">
        <v>0</v>
      </c>
      <c r="R1039">
        <v>0</v>
      </c>
      <c r="S1039">
        <v>0</v>
      </c>
      <c r="T1039">
        <v>6</v>
      </c>
      <c r="U1039">
        <v>6</v>
      </c>
      <c r="V1039">
        <v>1</v>
      </c>
      <c r="W1039">
        <v>1</v>
      </c>
      <c r="X1039" t="s">
        <v>40</v>
      </c>
      <c r="Y1039">
        <v>3</v>
      </c>
      <c r="Z1039">
        <v>52</v>
      </c>
      <c r="AA1039">
        <v>1</v>
      </c>
      <c r="AB1039">
        <v>0</v>
      </c>
      <c r="AC1039">
        <v>144.077</v>
      </c>
      <c r="AD1039">
        <v>5059</v>
      </c>
      <c r="AH1039">
        <v>0</v>
      </c>
      <c r="AI1039">
        <v>0</v>
      </c>
      <c r="AL1039" t="s">
        <v>40</v>
      </c>
      <c r="AM1039" t="str">
        <f t="shared" si="84"/>
        <v>52 1</v>
      </c>
      <c r="AN1039" s="6" t="s">
        <v>1585</v>
      </c>
      <c r="AO1039" s="6" t="s">
        <v>1576</v>
      </c>
      <c r="AQ1039" t="s">
        <v>2815</v>
      </c>
      <c r="AR1039" t="s">
        <v>2810</v>
      </c>
    </row>
    <row r="1040" spans="1:44" x14ac:dyDescent="0.3">
      <c r="A1040">
        <v>3869</v>
      </c>
      <c r="B1040">
        <v>4</v>
      </c>
      <c r="C1040">
        <v>4021075</v>
      </c>
      <c r="D1040">
        <v>19525</v>
      </c>
      <c r="E1040">
        <v>2</v>
      </c>
      <c r="F1040">
        <v>670050</v>
      </c>
      <c r="G1040" t="s">
        <v>116</v>
      </c>
      <c r="H1040" t="s">
        <v>95</v>
      </c>
      <c r="I1040">
        <v>0</v>
      </c>
      <c r="J1040" s="1">
        <v>401939.397</v>
      </c>
      <c r="K1040" s="1">
        <v>280815.087</v>
      </c>
      <c r="L1040" s="1">
        <v>401930.42099999997</v>
      </c>
      <c r="M1040" s="1">
        <v>280821.67099999997</v>
      </c>
      <c r="N1040" t="s">
        <v>40</v>
      </c>
      <c r="P1040" t="s">
        <v>40</v>
      </c>
      <c r="Q1040">
        <v>0</v>
      </c>
      <c r="R1040">
        <v>0</v>
      </c>
      <c r="S1040">
        <v>0</v>
      </c>
      <c r="T1040">
        <v>6</v>
      </c>
      <c r="U1040">
        <v>6</v>
      </c>
      <c r="V1040">
        <v>1</v>
      </c>
      <c r="W1040">
        <v>1</v>
      </c>
      <c r="X1040" t="s">
        <v>40</v>
      </c>
      <c r="Y1040">
        <v>3</v>
      </c>
      <c r="Z1040">
        <v>5024</v>
      </c>
      <c r="AA1040">
        <v>1</v>
      </c>
      <c r="AB1040">
        <v>0</v>
      </c>
      <c r="AC1040">
        <v>11.141999999999999</v>
      </c>
      <c r="AD1040">
        <v>5059</v>
      </c>
      <c r="AH1040">
        <v>0</v>
      </c>
      <c r="AI1040">
        <v>0</v>
      </c>
      <c r="AL1040" t="s">
        <v>40</v>
      </c>
      <c r="AM1040" t="str">
        <f t="shared" si="84"/>
        <v>5024 1</v>
      </c>
      <c r="AN1040" t="str">
        <f t="shared" si="85"/>
        <v>401939.397,280815.087</v>
      </c>
      <c r="AO1040" t="str">
        <f t="shared" si="86"/>
        <v>401930.421,280821.671</v>
      </c>
      <c r="AQ1040" t="s">
        <v>2802</v>
      </c>
      <c r="AR1040" t="s">
        <v>1918</v>
      </c>
    </row>
    <row r="1041" spans="1:44" x14ac:dyDescent="0.3">
      <c r="A1041">
        <v>3869</v>
      </c>
      <c r="B1041">
        <v>4</v>
      </c>
      <c r="C1041">
        <v>4023206</v>
      </c>
      <c r="D1041">
        <v>70019</v>
      </c>
      <c r="E1041">
        <v>2</v>
      </c>
      <c r="F1041">
        <v>670050</v>
      </c>
      <c r="G1041" t="s">
        <v>116</v>
      </c>
      <c r="H1041" t="s">
        <v>94</v>
      </c>
      <c r="I1041">
        <v>0</v>
      </c>
      <c r="J1041" s="1">
        <v>402222.11300000001</v>
      </c>
      <c r="K1041" s="1">
        <v>279894.74200000003</v>
      </c>
      <c r="L1041" s="1">
        <v>402191.18599999999</v>
      </c>
      <c r="M1041" s="1">
        <v>279908.47100000002</v>
      </c>
      <c r="N1041" t="s">
        <v>40</v>
      </c>
      <c r="P1041" t="s">
        <v>40</v>
      </c>
      <c r="Q1041">
        <v>0</v>
      </c>
      <c r="R1041">
        <v>0</v>
      </c>
      <c r="S1041">
        <v>0</v>
      </c>
      <c r="T1041">
        <v>6</v>
      </c>
      <c r="U1041">
        <v>6</v>
      </c>
      <c r="V1041">
        <v>1</v>
      </c>
      <c r="W1041">
        <v>1</v>
      </c>
      <c r="X1041" t="s">
        <v>40</v>
      </c>
      <c r="Y1041">
        <v>3</v>
      </c>
      <c r="Z1041">
        <v>93</v>
      </c>
      <c r="AA1041">
        <v>1</v>
      </c>
      <c r="AB1041">
        <v>0</v>
      </c>
      <c r="AC1041">
        <v>46.756999999999998</v>
      </c>
      <c r="AD1041">
        <v>5059</v>
      </c>
      <c r="AH1041">
        <v>0</v>
      </c>
      <c r="AI1041">
        <v>0</v>
      </c>
      <c r="AL1041" t="s">
        <v>40</v>
      </c>
      <c r="AM1041" t="str">
        <f t="shared" si="84"/>
        <v>93 1</v>
      </c>
      <c r="AN1041" t="str">
        <f t="shared" si="85"/>
        <v>402222.113,279894.742</v>
      </c>
      <c r="AO1041" t="str">
        <f t="shared" si="86"/>
        <v>402191.186,279908.471</v>
      </c>
      <c r="AQ1041" t="s">
        <v>2816</v>
      </c>
      <c r="AR1041" t="s">
        <v>823</v>
      </c>
    </row>
    <row r="1042" spans="1:44" x14ac:dyDescent="0.3">
      <c r="A1042">
        <v>3869</v>
      </c>
      <c r="B1042">
        <v>4</v>
      </c>
      <c r="C1042">
        <v>4021059</v>
      </c>
      <c r="D1042">
        <v>59971</v>
      </c>
      <c r="E1042">
        <v>2</v>
      </c>
      <c r="F1042">
        <v>670050</v>
      </c>
      <c r="G1042" t="s">
        <v>116</v>
      </c>
      <c r="H1042" t="s">
        <v>95</v>
      </c>
      <c r="I1042">
        <v>0</v>
      </c>
      <c r="J1042" s="1">
        <v>401215.11099999998</v>
      </c>
      <c r="K1042" s="1">
        <v>280383.27799999999</v>
      </c>
      <c r="L1042" s="1">
        <v>401212.76899999997</v>
      </c>
      <c r="M1042" s="1">
        <v>280385.09700000001</v>
      </c>
      <c r="N1042" t="s">
        <v>40</v>
      </c>
      <c r="P1042" t="s">
        <v>40</v>
      </c>
      <c r="Q1042">
        <v>0</v>
      </c>
      <c r="R1042">
        <v>0</v>
      </c>
      <c r="S1042">
        <v>0</v>
      </c>
      <c r="T1042">
        <v>6</v>
      </c>
      <c r="U1042">
        <v>6</v>
      </c>
      <c r="V1042">
        <v>1</v>
      </c>
      <c r="W1042">
        <v>2</v>
      </c>
      <c r="X1042" t="s">
        <v>40</v>
      </c>
      <c r="Y1042">
        <v>3</v>
      </c>
      <c r="Z1042">
        <v>38</v>
      </c>
      <c r="AA1042">
        <v>1</v>
      </c>
      <c r="AB1042">
        <v>0</v>
      </c>
      <c r="AC1042">
        <v>3.8969999999999998</v>
      </c>
      <c r="AD1042">
        <v>5059</v>
      </c>
      <c r="AH1042">
        <v>0</v>
      </c>
      <c r="AI1042">
        <v>0</v>
      </c>
      <c r="AL1042" t="s">
        <v>40</v>
      </c>
      <c r="AM1042" t="str">
        <f t="shared" si="84"/>
        <v>38 1</v>
      </c>
      <c r="AN1042" t="str">
        <f t="shared" si="85"/>
        <v>401215.111,280383.278</v>
      </c>
      <c r="AO1042" t="str">
        <f t="shared" si="86"/>
        <v>401212.769,280385.097</v>
      </c>
      <c r="AQ1042" t="s">
        <v>2813</v>
      </c>
      <c r="AR1042" t="s">
        <v>1884</v>
      </c>
    </row>
    <row r="1043" spans="1:44" x14ac:dyDescent="0.3">
      <c r="A1043">
        <v>3869</v>
      </c>
      <c r="B1043">
        <v>4</v>
      </c>
      <c r="C1043">
        <v>4023238</v>
      </c>
      <c r="D1043">
        <v>21016</v>
      </c>
      <c r="E1043">
        <v>2</v>
      </c>
      <c r="F1043">
        <v>670050</v>
      </c>
      <c r="G1043" t="s">
        <v>116</v>
      </c>
      <c r="H1043" t="s">
        <v>94</v>
      </c>
      <c r="I1043">
        <v>0</v>
      </c>
      <c r="J1043" s="1">
        <v>402269.63099999999</v>
      </c>
      <c r="K1043" s="1">
        <v>279941.23800000001</v>
      </c>
      <c r="L1043" s="1">
        <v>402223.73700000002</v>
      </c>
      <c r="M1043" s="1">
        <v>279896.35499999998</v>
      </c>
      <c r="N1043" t="s">
        <v>40</v>
      </c>
      <c r="P1043" t="s">
        <v>40</v>
      </c>
      <c r="Q1043">
        <v>0</v>
      </c>
      <c r="R1043">
        <v>0</v>
      </c>
      <c r="S1043">
        <v>0</v>
      </c>
      <c r="T1043">
        <v>6</v>
      </c>
      <c r="U1043">
        <v>6</v>
      </c>
      <c r="V1043">
        <v>1</v>
      </c>
      <c r="W1043">
        <v>1</v>
      </c>
      <c r="X1043" t="s">
        <v>40</v>
      </c>
      <c r="Y1043">
        <v>3</v>
      </c>
      <c r="Z1043">
        <v>93</v>
      </c>
      <c r="AA1043">
        <v>1</v>
      </c>
      <c r="AB1043">
        <v>0</v>
      </c>
      <c r="AC1043">
        <v>110.642</v>
      </c>
      <c r="AD1043">
        <v>5059</v>
      </c>
      <c r="AH1043">
        <v>0</v>
      </c>
      <c r="AI1043">
        <v>0</v>
      </c>
      <c r="AL1043" t="s">
        <v>40</v>
      </c>
      <c r="AM1043" t="str">
        <f t="shared" si="84"/>
        <v>93 1</v>
      </c>
      <c r="AN1043" s="6" t="s">
        <v>1581</v>
      </c>
      <c r="AO1043" s="6" t="s">
        <v>1565</v>
      </c>
      <c r="AQ1043" t="s">
        <v>2817</v>
      </c>
      <c r="AR1043" t="s">
        <v>2812</v>
      </c>
    </row>
    <row r="1044" spans="1:44" x14ac:dyDescent="0.3">
      <c r="A1044">
        <v>3869</v>
      </c>
      <c r="B1044">
        <v>4</v>
      </c>
      <c r="C1044">
        <v>4023237</v>
      </c>
      <c r="D1044">
        <v>20998</v>
      </c>
      <c r="E1044">
        <v>2</v>
      </c>
      <c r="F1044">
        <v>670050</v>
      </c>
      <c r="G1044" t="s">
        <v>116</v>
      </c>
      <c r="H1044" t="s">
        <v>94</v>
      </c>
      <c r="I1044">
        <v>0</v>
      </c>
      <c r="J1044" s="1">
        <v>402223.73700000002</v>
      </c>
      <c r="K1044" s="1">
        <v>279896.35499999998</v>
      </c>
      <c r="L1044" s="1">
        <v>402222.11300000001</v>
      </c>
      <c r="M1044" s="1">
        <v>279894.74200000003</v>
      </c>
      <c r="N1044" t="s">
        <v>40</v>
      </c>
      <c r="P1044" t="s">
        <v>40</v>
      </c>
      <c r="Q1044">
        <v>0</v>
      </c>
      <c r="R1044">
        <v>0</v>
      </c>
      <c r="S1044">
        <v>0</v>
      </c>
      <c r="T1044">
        <v>6</v>
      </c>
      <c r="U1044">
        <v>6</v>
      </c>
      <c r="V1044">
        <v>1</v>
      </c>
      <c r="W1044">
        <v>1</v>
      </c>
      <c r="X1044" t="s">
        <v>40</v>
      </c>
      <c r="Y1044">
        <v>3</v>
      </c>
      <c r="Z1044">
        <v>40</v>
      </c>
      <c r="AA1044">
        <v>1</v>
      </c>
      <c r="AB1044">
        <v>0</v>
      </c>
      <c r="AC1044">
        <v>2.2890000000000001</v>
      </c>
      <c r="AD1044">
        <v>5059</v>
      </c>
      <c r="AH1044">
        <v>0</v>
      </c>
      <c r="AI1044">
        <v>0</v>
      </c>
      <c r="AL1044" t="s">
        <v>40</v>
      </c>
      <c r="AM1044" t="str">
        <f t="shared" si="84"/>
        <v>40 1</v>
      </c>
      <c r="AN1044" t="str">
        <f t="shared" si="85"/>
        <v>402223.737,279896.355</v>
      </c>
      <c r="AO1044" t="str">
        <f t="shared" si="86"/>
        <v>402222.113,279894.742</v>
      </c>
      <c r="AQ1044" t="s">
        <v>2817</v>
      </c>
      <c r="AR1044" t="s">
        <v>2816</v>
      </c>
    </row>
    <row r="1045" spans="1:44" x14ac:dyDescent="0.3">
      <c r="A1045">
        <v>3869</v>
      </c>
      <c r="B1045">
        <v>4</v>
      </c>
      <c r="C1045">
        <v>4021039</v>
      </c>
      <c r="D1045">
        <v>17697</v>
      </c>
      <c r="E1045">
        <v>2</v>
      </c>
      <c r="F1045">
        <v>670050</v>
      </c>
      <c r="G1045" t="s">
        <v>116</v>
      </c>
      <c r="H1045" t="s">
        <v>95</v>
      </c>
      <c r="I1045">
        <v>0</v>
      </c>
      <c r="J1045" s="1">
        <v>401723.23800000001</v>
      </c>
      <c r="K1045" s="1">
        <v>280385.95199999999</v>
      </c>
      <c r="L1045" s="1">
        <v>401726.69699999999</v>
      </c>
      <c r="M1045" s="1">
        <v>280376.984</v>
      </c>
      <c r="N1045" t="s">
        <v>40</v>
      </c>
      <c r="P1045" t="s">
        <v>40</v>
      </c>
      <c r="Q1045">
        <v>0</v>
      </c>
      <c r="R1045">
        <v>0</v>
      </c>
      <c r="S1045">
        <v>0</v>
      </c>
      <c r="T1045">
        <v>6</v>
      </c>
      <c r="U1045">
        <v>6</v>
      </c>
      <c r="V1045">
        <v>1</v>
      </c>
      <c r="W1045">
        <v>3</v>
      </c>
      <c r="X1045" t="s">
        <v>40</v>
      </c>
      <c r="Y1045">
        <v>3</v>
      </c>
      <c r="Z1045">
        <v>52</v>
      </c>
      <c r="AA1045">
        <v>1</v>
      </c>
      <c r="AB1045">
        <v>0</v>
      </c>
      <c r="AC1045">
        <v>9.984</v>
      </c>
      <c r="AD1045">
        <v>5059</v>
      </c>
      <c r="AH1045">
        <v>0</v>
      </c>
      <c r="AI1045">
        <v>0</v>
      </c>
      <c r="AL1045" t="s">
        <v>40</v>
      </c>
      <c r="AM1045" t="str">
        <f t="shared" si="84"/>
        <v>52 1</v>
      </c>
      <c r="AN1045" t="str">
        <f t="shared" si="85"/>
        <v>401723.238,280385.952</v>
      </c>
      <c r="AO1045" t="str">
        <f t="shared" si="86"/>
        <v>401726.697,280376.984</v>
      </c>
      <c r="AQ1045" t="s">
        <v>1919</v>
      </c>
      <c r="AR1045" t="s">
        <v>1920</v>
      </c>
    </row>
    <row r="1046" spans="1:44" x14ac:dyDescent="0.3">
      <c r="A1046">
        <v>3869</v>
      </c>
      <c r="B1046">
        <v>4</v>
      </c>
      <c r="C1046">
        <v>4019593</v>
      </c>
      <c r="D1046">
        <v>47079</v>
      </c>
      <c r="E1046">
        <v>2</v>
      </c>
      <c r="F1046">
        <v>670050</v>
      </c>
      <c r="G1046" t="s">
        <v>116</v>
      </c>
      <c r="H1046" t="s">
        <v>117</v>
      </c>
      <c r="I1046">
        <v>0</v>
      </c>
      <c r="J1046" s="1">
        <v>401945.77299999999</v>
      </c>
      <c r="K1046" s="1">
        <v>281103.32400000002</v>
      </c>
      <c r="L1046" s="1">
        <v>401946.40600000002</v>
      </c>
      <c r="M1046" s="1">
        <v>281101.90500000003</v>
      </c>
      <c r="N1046" t="s">
        <v>40</v>
      </c>
      <c r="P1046" t="s">
        <v>40</v>
      </c>
      <c r="Q1046">
        <v>0</v>
      </c>
      <c r="R1046">
        <v>0</v>
      </c>
      <c r="S1046">
        <v>200610</v>
      </c>
      <c r="T1046">
        <v>6</v>
      </c>
      <c r="U1046">
        <v>6</v>
      </c>
      <c r="V1046">
        <v>1</v>
      </c>
      <c r="W1046">
        <v>1</v>
      </c>
      <c r="X1046" t="s">
        <v>40</v>
      </c>
      <c r="Y1046">
        <v>3</v>
      </c>
      <c r="Z1046">
        <v>5023</v>
      </c>
      <c r="AA1046">
        <v>1</v>
      </c>
      <c r="AB1046">
        <v>0</v>
      </c>
      <c r="AC1046">
        <v>1.554</v>
      </c>
      <c r="AD1046">
        <v>5059</v>
      </c>
      <c r="AH1046">
        <v>0</v>
      </c>
      <c r="AI1046">
        <v>0</v>
      </c>
      <c r="AL1046" t="s">
        <v>40</v>
      </c>
      <c r="AM1046" t="str">
        <f t="shared" si="84"/>
        <v>5023 1</v>
      </c>
      <c r="AN1046" t="str">
        <f t="shared" si="85"/>
        <v>401945.773,281103.324</v>
      </c>
      <c r="AO1046" t="str">
        <f t="shared" si="86"/>
        <v>401946.406,281101.905</v>
      </c>
      <c r="AQ1046" t="s">
        <v>2809</v>
      </c>
      <c r="AR1046" t="s">
        <v>777</v>
      </c>
    </row>
    <row r="1047" spans="1:44" x14ac:dyDescent="0.3">
      <c r="A1047">
        <v>3869</v>
      </c>
      <c r="B1047">
        <v>4</v>
      </c>
      <c r="C1047">
        <v>4017072</v>
      </c>
      <c r="D1047">
        <v>14733</v>
      </c>
      <c r="E1047">
        <v>2</v>
      </c>
      <c r="F1047">
        <v>670050</v>
      </c>
      <c r="G1047" t="s">
        <v>116</v>
      </c>
      <c r="H1047" t="s">
        <v>63</v>
      </c>
      <c r="I1047">
        <v>0</v>
      </c>
      <c r="J1047" s="1">
        <v>403354.82400000002</v>
      </c>
      <c r="K1047" s="1">
        <v>280100.424</v>
      </c>
      <c r="L1047" s="1">
        <v>403359.84700000001</v>
      </c>
      <c r="M1047" s="1">
        <v>280103.72899999999</v>
      </c>
      <c r="N1047" t="s">
        <v>40</v>
      </c>
      <c r="P1047" t="s">
        <v>40</v>
      </c>
      <c r="Q1047">
        <v>0</v>
      </c>
      <c r="R1047">
        <v>0</v>
      </c>
      <c r="S1047">
        <v>0</v>
      </c>
      <c r="T1047">
        <v>6</v>
      </c>
      <c r="U1047">
        <v>6</v>
      </c>
      <c r="V1047">
        <v>1</v>
      </c>
      <c r="W1047">
        <v>1</v>
      </c>
      <c r="X1047" t="s">
        <v>40</v>
      </c>
      <c r="Y1047">
        <v>3</v>
      </c>
      <c r="Z1047">
        <v>93</v>
      </c>
      <c r="AA1047">
        <v>1</v>
      </c>
      <c r="AB1047">
        <v>0</v>
      </c>
      <c r="AC1047">
        <v>1055.7370000000001</v>
      </c>
      <c r="AD1047">
        <v>5059</v>
      </c>
      <c r="AH1047">
        <v>0</v>
      </c>
      <c r="AI1047">
        <v>0</v>
      </c>
      <c r="AL1047" t="s">
        <v>40</v>
      </c>
      <c r="AM1047" t="str">
        <f t="shared" si="84"/>
        <v>93 1</v>
      </c>
      <c r="AN1047" s="6" t="s">
        <v>1588</v>
      </c>
      <c r="AO1047" s="6" t="s">
        <v>1559</v>
      </c>
      <c r="AQ1047" t="s">
        <v>2818</v>
      </c>
      <c r="AR1047" t="s">
        <v>2811</v>
      </c>
    </row>
    <row r="1048" spans="1:44" x14ac:dyDescent="0.3">
      <c r="A1048">
        <v>3869</v>
      </c>
      <c r="B1048">
        <v>4</v>
      </c>
      <c r="C1048">
        <v>4015462</v>
      </c>
      <c r="D1048">
        <v>35150</v>
      </c>
      <c r="E1048">
        <v>2</v>
      </c>
      <c r="F1048">
        <v>670050</v>
      </c>
      <c r="G1048" t="s">
        <v>116</v>
      </c>
      <c r="H1048" t="s">
        <v>96</v>
      </c>
      <c r="I1048">
        <v>0</v>
      </c>
      <c r="J1048" s="1">
        <v>402020.66700000002</v>
      </c>
      <c r="K1048" s="1">
        <v>280746.04200000002</v>
      </c>
      <c r="L1048" s="1">
        <v>402268.761</v>
      </c>
      <c r="M1048" s="1">
        <v>280536.25199999998</v>
      </c>
      <c r="N1048" t="s">
        <v>40</v>
      </c>
      <c r="P1048" t="s">
        <v>40</v>
      </c>
      <c r="Q1048">
        <v>0</v>
      </c>
      <c r="R1048">
        <v>0</v>
      </c>
      <c r="S1048">
        <v>0</v>
      </c>
      <c r="T1048">
        <v>6</v>
      </c>
      <c r="U1048">
        <v>6</v>
      </c>
      <c r="V1048">
        <v>1</v>
      </c>
      <c r="W1048">
        <v>1</v>
      </c>
      <c r="X1048" t="s">
        <v>40</v>
      </c>
      <c r="Y1048">
        <v>3</v>
      </c>
      <c r="Z1048">
        <v>52</v>
      </c>
      <c r="AA1048">
        <v>1</v>
      </c>
      <c r="AB1048">
        <v>0</v>
      </c>
      <c r="AC1048">
        <v>328.07799999999997</v>
      </c>
      <c r="AD1048">
        <v>5059</v>
      </c>
      <c r="AH1048">
        <v>0</v>
      </c>
      <c r="AI1048">
        <v>0</v>
      </c>
      <c r="AL1048" t="s">
        <v>40</v>
      </c>
      <c r="AM1048" t="str">
        <f t="shared" si="84"/>
        <v>52 1</v>
      </c>
      <c r="AN1048" t="str">
        <f t="shared" si="85"/>
        <v>402020.667,280746.042</v>
      </c>
      <c r="AO1048" t="str">
        <f t="shared" si="86"/>
        <v>402268.761,280536.252</v>
      </c>
      <c r="AQ1048" t="s">
        <v>2819</v>
      </c>
      <c r="AR1048" t="s">
        <v>827</v>
      </c>
    </row>
    <row r="1049" spans="1:44" x14ac:dyDescent="0.3">
      <c r="A1049">
        <v>3869</v>
      </c>
      <c r="B1049">
        <v>4</v>
      </c>
      <c r="C1049">
        <v>4015461</v>
      </c>
      <c r="D1049">
        <v>14817</v>
      </c>
      <c r="E1049">
        <v>2</v>
      </c>
      <c r="F1049">
        <v>670050</v>
      </c>
      <c r="G1049" t="s">
        <v>116</v>
      </c>
      <c r="H1049" t="s">
        <v>96</v>
      </c>
      <c r="I1049">
        <v>0</v>
      </c>
      <c r="J1049" s="1">
        <v>402020.66700000002</v>
      </c>
      <c r="K1049" s="1">
        <v>280746.04200000002</v>
      </c>
      <c r="L1049" s="1">
        <v>402079.16600000003</v>
      </c>
      <c r="M1049" s="1">
        <v>280776.158</v>
      </c>
      <c r="N1049" t="s">
        <v>40</v>
      </c>
      <c r="P1049" t="s">
        <v>40</v>
      </c>
      <c r="Q1049">
        <v>0</v>
      </c>
      <c r="R1049">
        <v>0</v>
      </c>
      <c r="S1049">
        <v>0</v>
      </c>
      <c r="T1049">
        <v>6</v>
      </c>
      <c r="U1049">
        <v>6</v>
      </c>
      <c r="V1049">
        <v>1</v>
      </c>
      <c r="W1049">
        <v>1</v>
      </c>
      <c r="X1049" t="s">
        <v>40</v>
      </c>
      <c r="Y1049">
        <v>3</v>
      </c>
      <c r="Z1049">
        <v>54</v>
      </c>
      <c r="AA1049">
        <v>1</v>
      </c>
      <c r="AB1049">
        <v>0</v>
      </c>
      <c r="AC1049">
        <v>75.888000000000005</v>
      </c>
      <c r="AD1049">
        <v>5059</v>
      </c>
      <c r="AH1049">
        <v>0</v>
      </c>
      <c r="AI1049">
        <v>0</v>
      </c>
      <c r="AL1049" t="s">
        <v>40</v>
      </c>
      <c r="AM1049" t="str">
        <f t="shared" si="84"/>
        <v>54 1</v>
      </c>
      <c r="AN1049" t="str">
        <f t="shared" si="85"/>
        <v>402020.667,280746.042</v>
      </c>
      <c r="AO1049" t="str">
        <f t="shared" si="86"/>
        <v>402079.166,280776.158</v>
      </c>
      <c r="AQ1049" t="s">
        <v>2819</v>
      </c>
      <c r="AR1049" t="s">
        <v>2807</v>
      </c>
    </row>
    <row r="1050" spans="1:44" x14ac:dyDescent="0.3">
      <c r="A1050">
        <v>3869</v>
      </c>
      <c r="B1050">
        <v>4</v>
      </c>
      <c r="C1050">
        <v>4021105</v>
      </c>
      <c r="D1050">
        <v>19519</v>
      </c>
      <c r="E1050">
        <v>2</v>
      </c>
      <c r="F1050">
        <v>670050</v>
      </c>
      <c r="G1050" t="s">
        <v>116</v>
      </c>
      <c r="H1050" t="s">
        <v>95</v>
      </c>
      <c r="I1050">
        <v>0</v>
      </c>
      <c r="J1050" s="1">
        <v>401930.42099999997</v>
      </c>
      <c r="K1050" s="1">
        <v>280821.67099999997</v>
      </c>
      <c r="L1050" s="1">
        <v>401931.13299999997</v>
      </c>
      <c r="M1050" s="1">
        <v>280818.89</v>
      </c>
      <c r="N1050" t="s">
        <v>40</v>
      </c>
      <c r="P1050" t="s">
        <v>40</v>
      </c>
      <c r="Q1050">
        <v>0</v>
      </c>
      <c r="R1050">
        <v>0</v>
      </c>
      <c r="S1050">
        <v>0</v>
      </c>
      <c r="T1050">
        <v>6</v>
      </c>
      <c r="U1050">
        <v>6</v>
      </c>
      <c r="V1050">
        <v>1</v>
      </c>
      <c r="W1050">
        <v>2</v>
      </c>
      <c r="X1050" t="s">
        <v>40</v>
      </c>
      <c r="Y1050">
        <v>3</v>
      </c>
      <c r="Z1050">
        <v>5024</v>
      </c>
      <c r="AA1050">
        <v>1</v>
      </c>
      <c r="AB1050">
        <v>0</v>
      </c>
      <c r="AC1050">
        <v>4.2869999999999999</v>
      </c>
      <c r="AD1050">
        <v>5059</v>
      </c>
      <c r="AH1050">
        <v>0</v>
      </c>
      <c r="AI1050">
        <v>0</v>
      </c>
      <c r="AL1050" t="s">
        <v>40</v>
      </c>
      <c r="AM1050" t="str">
        <f t="shared" si="84"/>
        <v>5024 1</v>
      </c>
      <c r="AN1050" t="str">
        <f t="shared" si="85"/>
        <v>401930.421,280821.671</v>
      </c>
      <c r="AO1050" t="str">
        <f t="shared" si="86"/>
        <v>401931.133,280818.89</v>
      </c>
      <c r="AQ1050" t="s">
        <v>1918</v>
      </c>
      <c r="AR1050" t="s">
        <v>2814</v>
      </c>
    </row>
    <row r="1051" spans="1:44" x14ac:dyDescent="0.3">
      <c r="A1051">
        <v>3869</v>
      </c>
      <c r="B1051">
        <v>4</v>
      </c>
      <c r="C1051">
        <v>4021162</v>
      </c>
      <c r="D1051">
        <v>19655</v>
      </c>
      <c r="E1051">
        <v>2</v>
      </c>
      <c r="F1051">
        <v>670050</v>
      </c>
      <c r="G1051" t="s">
        <v>116</v>
      </c>
      <c r="H1051" t="s">
        <v>95</v>
      </c>
      <c r="I1051">
        <v>0</v>
      </c>
      <c r="J1051" s="1">
        <v>401884.99400000001</v>
      </c>
      <c r="K1051" s="1">
        <v>280860.853</v>
      </c>
      <c r="L1051" s="1">
        <v>401889.85499999998</v>
      </c>
      <c r="M1051" s="1">
        <v>280856.52399999998</v>
      </c>
      <c r="N1051" t="s">
        <v>40</v>
      </c>
      <c r="P1051" t="s">
        <v>40</v>
      </c>
      <c r="Q1051">
        <v>0</v>
      </c>
      <c r="R1051">
        <v>0</v>
      </c>
      <c r="S1051">
        <v>201004</v>
      </c>
      <c r="T1051">
        <v>6</v>
      </c>
      <c r="U1051">
        <v>6</v>
      </c>
      <c r="V1051">
        <v>1</v>
      </c>
      <c r="W1051">
        <v>1</v>
      </c>
      <c r="X1051" t="s">
        <v>40</v>
      </c>
      <c r="Y1051">
        <v>3</v>
      </c>
      <c r="Z1051">
        <v>5023</v>
      </c>
      <c r="AA1051">
        <v>1</v>
      </c>
      <c r="AB1051">
        <v>0</v>
      </c>
      <c r="AC1051">
        <v>6.5090000000000003</v>
      </c>
      <c r="AD1051">
        <v>5059</v>
      </c>
      <c r="AE1051" t="s">
        <v>118</v>
      </c>
      <c r="AH1051">
        <v>0</v>
      </c>
      <c r="AI1051">
        <v>0</v>
      </c>
      <c r="AL1051" t="s">
        <v>40</v>
      </c>
      <c r="AM1051" t="str">
        <f t="shared" si="84"/>
        <v>5023 1</v>
      </c>
      <c r="AN1051" t="str">
        <f t="shared" si="85"/>
        <v>401884.994,280860.853</v>
      </c>
      <c r="AO1051" t="str">
        <f t="shared" si="86"/>
        <v>401889.855,280856.524</v>
      </c>
      <c r="AQ1051" t="s">
        <v>2815</v>
      </c>
      <c r="AR1051" t="s">
        <v>2805</v>
      </c>
    </row>
    <row r="1052" spans="1:44" x14ac:dyDescent="0.3">
      <c r="A1052">
        <v>3869</v>
      </c>
      <c r="B1052">
        <v>4</v>
      </c>
      <c r="C1052">
        <v>4016183</v>
      </c>
      <c r="D1052">
        <v>35133</v>
      </c>
      <c r="E1052">
        <v>2</v>
      </c>
      <c r="F1052">
        <v>670050</v>
      </c>
      <c r="G1052" t="s">
        <v>116</v>
      </c>
      <c r="H1052" t="s">
        <v>83</v>
      </c>
      <c r="I1052">
        <v>0</v>
      </c>
      <c r="J1052" s="1">
        <v>404313.77600000001</v>
      </c>
      <c r="K1052" s="1">
        <v>279614.109</v>
      </c>
      <c r="L1052" s="1">
        <v>404307.87900000002</v>
      </c>
      <c r="M1052" s="1">
        <v>279612.50799999997</v>
      </c>
      <c r="N1052" t="s">
        <v>40</v>
      </c>
      <c r="P1052" t="s">
        <v>40</v>
      </c>
      <c r="Q1052">
        <v>0</v>
      </c>
      <c r="R1052">
        <v>0</v>
      </c>
      <c r="S1052">
        <v>0</v>
      </c>
      <c r="T1052">
        <v>6</v>
      </c>
      <c r="U1052">
        <v>6</v>
      </c>
      <c r="V1052">
        <v>1</v>
      </c>
      <c r="W1052">
        <v>2</v>
      </c>
      <c r="X1052" t="s">
        <v>40</v>
      </c>
      <c r="Y1052">
        <v>3</v>
      </c>
      <c r="Z1052">
        <v>38</v>
      </c>
      <c r="AA1052">
        <v>5000</v>
      </c>
      <c r="AB1052">
        <v>0</v>
      </c>
      <c r="AC1052">
        <v>6.4340000000000002</v>
      </c>
      <c r="AD1052">
        <v>5059</v>
      </c>
      <c r="AH1052">
        <v>0</v>
      </c>
      <c r="AI1052">
        <v>0</v>
      </c>
      <c r="AL1052" t="s">
        <v>40</v>
      </c>
      <c r="AM1052" t="str">
        <f t="shared" si="84"/>
        <v>38 5000</v>
      </c>
      <c r="AN1052" t="str">
        <f t="shared" si="85"/>
        <v>404313.776,279614.109</v>
      </c>
      <c r="AO1052" t="str">
        <f t="shared" si="86"/>
        <v>404307.879,279612.508</v>
      </c>
      <c r="AQ1052" t="s">
        <v>2806</v>
      </c>
      <c r="AR1052" t="s">
        <v>1921</v>
      </c>
    </row>
    <row r="1053" spans="1:44" x14ac:dyDescent="0.3">
      <c r="A1053">
        <v>3869</v>
      </c>
      <c r="B1053">
        <v>4</v>
      </c>
      <c r="C1053">
        <v>4017073</v>
      </c>
      <c r="D1053">
        <v>14737</v>
      </c>
      <c r="E1053">
        <v>2</v>
      </c>
      <c r="F1053">
        <v>670050</v>
      </c>
      <c r="G1053" t="s">
        <v>116</v>
      </c>
      <c r="H1053" t="s">
        <v>63</v>
      </c>
      <c r="I1053">
        <v>0</v>
      </c>
      <c r="J1053" s="1">
        <v>403359.84700000001</v>
      </c>
      <c r="K1053" s="1">
        <v>280103.72899999999</v>
      </c>
      <c r="L1053" s="1">
        <v>403363.21399999998</v>
      </c>
      <c r="M1053" s="1">
        <v>280105.96100000001</v>
      </c>
      <c r="N1053" t="s">
        <v>40</v>
      </c>
      <c r="P1053" t="s">
        <v>40</v>
      </c>
      <c r="Q1053">
        <v>0</v>
      </c>
      <c r="R1053">
        <v>0</v>
      </c>
      <c r="S1053">
        <v>201004</v>
      </c>
      <c r="T1053">
        <v>6</v>
      </c>
      <c r="U1053">
        <v>6</v>
      </c>
      <c r="V1053">
        <v>1</v>
      </c>
      <c r="W1053">
        <v>1</v>
      </c>
      <c r="X1053" t="s">
        <v>40</v>
      </c>
      <c r="Y1053">
        <v>3</v>
      </c>
      <c r="Z1053">
        <v>5028</v>
      </c>
      <c r="AA1053">
        <v>1</v>
      </c>
      <c r="AB1053">
        <v>0</v>
      </c>
      <c r="AC1053">
        <v>4.04</v>
      </c>
      <c r="AD1053">
        <v>5059</v>
      </c>
      <c r="AE1053" t="s">
        <v>119</v>
      </c>
      <c r="AH1053">
        <v>0</v>
      </c>
      <c r="AI1053">
        <v>0</v>
      </c>
      <c r="AL1053" t="s">
        <v>40</v>
      </c>
      <c r="AM1053" t="str">
        <f t="shared" si="84"/>
        <v>5028 1</v>
      </c>
      <c r="AN1053" t="str">
        <f t="shared" si="85"/>
        <v>403359.847,280103.729</v>
      </c>
      <c r="AO1053" t="str">
        <f t="shared" si="86"/>
        <v>403363.214,280105.961</v>
      </c>
      <c r="AQ1053" t="s">
        <v>2818</v>
      </c>
      <c r="AR1053" t="s">
        <v>2820</v>
      </c>
    </row>
    <row r="1054" spans="1:44" x14ac:dyDescent="0.3">
      <c r="A1054">
        <v>3869</v>
      </c>
      <c r="B1054">
        <v>4</v>
      </c>
      <c r="C1054">
        <v>4023260</v>
      </c>
      <c r="D1054">
        <v>70551</v>
      </c>
      <c r="E1054">
        <v>2</v>
      </c>
      <c r="F1054">
        <v>670050</v>
      </c>
      <c r="G1054" t="s">
        <v>116</v>
      </c>
      <c r="H1054" t="s">
        <v>94</v>
      </c>
      <c r="I1054">
        <v>0</v>
      </c>
      <c r="J1054" s="1">
        <v>402179.424</v>
      </c>
      <c r="K1054" s="1">
        <v>279923.48300000001</v>
      </c>
      <c r="L1054" s="1">
        <v>402189.77100000001</v>
      </c>
      <c r="M1054" s="1">
        <v>279909.49300000002</v>
      </c>
      <c r="N1054" t="s">
        <v>40</v>
      </c>
      <c r="P1054" t="s">
        <v>40</v>
      </c>
      <c r="Q1054">
        <v>0</v>
      </c>
      <c r="R1054">
        <v>0</v>
      </c>
      <c r="S1054">
        <v>200601</v>
      </c>
      <c r="T1054">
        <v>6</v>
      </c>
      <c r="U1054">
        <v>6</v>
      </c>
      <c r="V1054">
        <v>1</v>
      </c>
      <c r="W1054">
        <v>1</v>
      </c>
      <c r="X1054" t="s">
        <v>40</v>
      </c>
      <c r="Y1054">
        <v>3</v>
      </c>
      <c r="Z1054">
        <v>5028</v>
      </c>
      <c r="AA1054">
        <v>1</v>
      </c>
      <c r="AB1054">
        <v>0</v>
      </c>
      <c r="AC1054">
        <v>252.31700000000004</v>
      </c>
      <c r="AD1054">
        <v>5059</v>
      </c>
      <c r="AH1054">
        <v>0</v>
      </c>
      <c r="AI1054">
        <v>0</v>
      </c>
      <c r="AL1054" t="s">
        <v>40</v>
      </c>
      <c r="AM1054" t="str">
        <f t="shared" si="84"/>
        <v>5028 1</v>
      </c>
      <c r="AN1054" s="6" t="s">
        <v>629</v>
      </c>
      <c r="AO1054" s="6" t="s">
        <v>1569</v>
      </c>
      <c r="AQ1054" t="s">
        <v>823</v>
      </c>
      <c r="AR1054" t="s">
        <v>2804</v>
      </c>
    </row>
    <row r="1055" spans="1:44" x14ac:dyDescent="0.3">
      <c r="A1055">
        <v>3869</v>
      </c>
      <c r="B1055">
        <v>4</v>
      </c>
      <c r="C1055">
        <v>4017074</v>
      </c>
      <c r="D1055">
        <v>14744</v>
      </c>
      <c r="E1055">
        <v>2</v>
      </c>
      <c r="F1055">
        <v>670050</v>
      </c>
      <c r="G1055" t="s">
        <v>116</v>
      </c>
      <c r="H1055" t="s">
        <v>63</v>
      </c>
      <c r="I1055">
        <v>0</v>
      </c>
      <c r="J1055" s="1">
        <v>403363.21399999998</v>
      </c>
      <c r="K1055" s="1">
        <v>280105.96100000001</v>
      </c>
      <c r="L1055" s="1">
        <v>403524.603</v>
      </c>
      <c r="M1055" s="1">
        <v>280188.55499999999</v>
      </c>
      <c r="N1055" t="s">
        <v>40</v>
      </c>
      <c r="P1055" t="s">
        <v>40</v>
      </c>
      <c r="Q1055">
        <v>0</v>
      </c>
      <c r="R1055">
        <v>0</v>
      </c>
      <c r="S1055">
        <v>0</v>
      </c>
      <c r="T1055">
        <v>6</v>
      </c>
      <c r="U1055">
        <v>6</v>
      </c>
      <c r="V1055">
        <v>1</v>
      </c>
      <c r="W1055">
        <v>1</v>
      </c>
      <c r="X1055" t="s">
        <v>40</v>
      </c>
      <c r="Y1055">
        <v>3</v>
      </c>
      <c r="Z1055">
        <v>93</v>
      </c>
      <c r="AA1055">
        <v>1</v>
      </c>
      <c r="AB1055">
        <v>0</v>
      </c>
      <c r="AC1055">
        <v>699.279</v>
      </c>
      <c r="AD1055">
        <v>5059</v>
      </c>
      <c r="AH1055">
        <v>0</v>
      </c>
      <c r="AI1055">
        <v>0</v>
      </c>
      <c r="AL1055" t="s">
        <v>40</v>
      </c>
      <c r="AM1055" t="str">
        <f t="shared" si="84"/>
        <v>93 1</v>
      </c>
      <c r="AN1055" s="6" t="s">
        <v>1562</v>
      </c>
      <c r="AO1055" s="6" t="s">
        <v>1589</v>
      </c>
      <c r="AQ1055" t="s">
        <v>2796</v>
      </c>
      <c r="AR1055" t="s">
        <v>2820</v>
      </c>
    </row>
    <row r="1056" spans="1:44" x14ac:dyDescent="0.3">
      <c r="A1056">
        <v>3869</v>
      </c>
      <c r="B1056">
        <v>4</v>
      </c>
      <c r="C1056">
        <v>4012974</v>
      </c>
      <c r="D1056">
        <v>62633</v>
      </c>
      <c r="E1056">
        <v>2</v>
      </c>
      <c r="F1056">
        <v>670050</v>
      </c>
      <c r="G1056" t="s">
        <v>120</v>
      </c>
      <c r="H1056" t="s">
        <v>65</v>
      </c>
      <c r="I1056">
        <v>0</v>
      </c>
      <c r="J1056" s="1">
        <v>403337.446</v>
      </c>
      <c r="K1056" s="1">
        <v>281122.30599999998</v>
      </c>
      <c r="L1056" s="1">
        <v>403297.64299999998</v>
      </c>
      <c r="M1056" s="1">
        <v>281160.06699999998</v>
      </c>
      <c r="N1056" t="s">
        <v>40</v>
      </c>
      <c r="P1056" t="s">
        <v>40</v>
      </c>
      <c r="Q1056">
        <v>0</v>
      </c>
      <c r="R1056">
        <v>0</v>
      </c>
      <c r="S1056">
        <v>0</v>
      </c>
      <c r="T1056">
        <v>6</v>
      </c>
      <c r="U1056">
        <v>6</v>
      </c>
      <c r="V1056">
        <v>1</v>
      </c>
      <c r="W1056">
        <v>1</v>
      </c>
      <c r="X1056" t="s">
        <v>40</v>
      </c>
      <c r="Y1056">
        <v>3</v>
      </c>
      <c r="Z1056">
        <v>90</v>
      </c>
      <c r="AA1056">
        <v>1</v>
      </c>
      <c r="AB1056">
        <v>0</v>
      </c>
      <c r="AC1056">
        <v>69.671000000000006</v>
      </c>
      <c r="AD1056">
        <v>5059</v>
      </c>
      <c r="AH1056">
        <v>0</v>
      </c>
      <c r="AI1056">
        <v>0</v>
      </c>
      <c r="AL1056" t="s">
        <v>40</v>
      </c>
      <c r="AM1056" t="str">
        <f t="shared" si="84"/>
        <v>90 1</v>
      </c>
      <c r="AN1056" t="str">
        <f t="shared" si="85"/>
        <v>403337.446,281122.306</v>
      </c>
      <c r="AO1056" t="str">
        <f t="shared" si="86"/>
        <v>403297.643,281160.067</v>
      </c>
      <c r="AQ1056" t="s">
        <v>2821</v>
      </c>
      <c r="AR1056" t="s">
        <v>833</v>
      </c>
    </row>
    <row r="1057" spans="1:44" x14ac:dyDescent="0.3">
      <c r="A1057">
        <v>3869</v>
      </c>
      <c r="B1057">
        <v>4</v>
      </c>
      <c r="C1057">
        <v>4012842</v>
      </c>
      <c r="D1057">
        <v>11399</v>
      </c>
      <c r="E1057">
        <v>2</v>
      </c>
      <c r="F1057">
        <v>670050</v>
      </c>
      <c r="G1057" t="s">
        <v>120</v>
      </c>
      <c r="H1057" t="s">
        <v>65</v>
      </c>
      <c r="I1057">
        <v>0</v>
      </c>
      <c r="J1057" s="1">
        <v>403884.36900000001</v>
      </c>
      <c r="K1057" s="1">
        <v>281000</v>
      </c>
      <c r="L1057" s="1">
        <v>403852.09100000001</v>
      </c>
      <c r="M1057" s="1">
        <v>281052.56400000001</v>
      </c>
      <c r="N1057" t="s">
        <v>40</v>
      </c>
      <c r="P1057" t="s">
        <v>40</v>
      </c>
      <c r="Q1057">
        <v>0</v>
      </c>
      <c r="R1057">
        <v>0</v>
      </c>
      <c r="S1057">
        <v>0</v>
      </c>
      <c r="T1057">
        <v>7</v>
      </c>
      <c r="U1057">
        <v>6</v>
      </c>
      <c r="V1057">
        <v>1</v>
      </c>
      <c r="W1057">
        <v>1</v>
      </c>
      <c r="X1057" t="s">
        <v>40</v>
      </c>
      <c r="Y1057">
        <v>3</v>
      </c>
      <c r="Z1057">
        <v>316</v>
      </c>
      <c r="AA1057">
        <v>18</v>
      </c>
      <c r="AB1057">
        <v>0</v>
      </c>
      <c r="AC1057">
        <v>1450.9380000000001</v>
      </c>
      <c r="AD1057">
        <v>5059</v>
      </c>
      <c r="AH1057">
        <v>0</v>
      </c>
      <c r="AI1057">
        <v>0</v>
      </c>
      <c r="AL1057" t="s">
        <v>40</v>
      </c>
      <c r="AM1057" t="str">
        <f t="shared" si="84"/>
        <v>316 18</v>
      </c>
      <c r="AN1057" s="6" t="s">
        <v>1592</v>
      </c>
      <c r="AO1057" s="6" t="s">
        <v>1604</v>
      </c>
      <c r="AQ1057" t="s">
        <v>2822</v>
      </c>
      <c r="AR1057" t="s">
        <v>2823</v>
      </c>
    </row>
    <row r="1058" spans="1:44" x14ac:dyDescent="0.3">
      <c r="A1058">
        <v>3869</v>
      </c>
      <c r="B1058">
        <v>4</v>
      </c>
      <c r="C1058">
        <v>4017269</v>
      </c>
      <c r="D1058">
        <v>16234</v>
      </c>
      <c r="E1058">
        <v>2</v>
      </c>
      <c r="F1058">
        <v>670050</v>
      </c>
      <c r="G1058" t="s">
        <v>120</v>
      </c>
      <c r="H1058" t="s">
        <v>63</v>
      </c>
      <c r="I1058">
        <v>0</v>
      </c>
      <c r="J1058" s="1">
        <v>403176.12900000002</v>
      </c>
      <c r="K1058" s="1">
        <v>280859.90500000003</v>
      </c>
      <c r="L1058" s="1">
        <v>403000</v>
      </c>
      <c r="M1058" s="1">
        <v>280632.39799999999</v>
      </c>
      <c r="N1058" t="s">
        <v>40</v>
      </c>
      <c r="P1058" t="s">
        <v>40</v>
      </c>
      <c r="Q1058">
        <v>0</v>
      </c>
      <c r="R1058">
        <v>0</v>
      </c>
      <c r="S1058">
        <v>0</v>
      </c>
      <c r="T1058">
        <v>6</v>
      </c>
      <c r="U1058">
        <v>6</v>
      </c>
      <c r="V1058">
        <v>1</v>
      </c>
      <c r="W1058">
        <v>1</v>
      </c>
      <c r="X1058" t="s">
        <v>40</v>
      </c>
      <c r="Y1058">
        <v>3</v>
      </c>
      <c r="Z1058">
        <v>89</v>
      </c>
      <c r="AA1058">
        <v>1</v>
      </c>
      <c r="AB1058">
        <v>0</v>
      </c>
      <c r="AC1058">
        <v>624.10299999999995</v>
      </c>
      <c r="AD1058">
        <v>5059</v>
      </c>
      <c r="AH1058">
        <v>0</v>
      </c>
      <c r="AI1058">
        <v>0</v>
      </c>
      <c r="AL1058" t="s">
        <v>40</v>
      </c>
      <c r="AM1058" t="str">
        <f t="shared" si="84"/>
        <v>89 1</v>
      </c>
      <c r="AN1058" s="6" t="s">
        <v>1595</v>
      </c>
      <c r="AO1058" s="6" t="s">
        <v>1800</v>
      </c>
      <c r="AQ1058" t="s">
        <v>2824</v>
      </c>
      <c r="AR1058" t="s">
        <v>2825</v>
      </c>
    </row>
    <row r="1059" spans="1:44" x14ac:dyDescent="0.3">
      <c r="A1059">
        <v>3869</v>
      </c>
      <c r="B1059">
        <v>4</v>
      </c>
      <c r="C1059">
        <v>4012869</v>
      </c>
      <c r="D1059">
        <v>12074</v>
      </c>
      <c r="E1059">
        <v>2</v>
      </c>
      <c r="F1059">
        <v>670050</v>
      </c>
      <c r="G1059" t="s">
        <v>120</v>
      </c>
      <c r="H1059" t="s">
        <v>65</v>
      </c>
      <c r="I1059">
        <v>0</v>
      </c>
      <c r="J1059" s="1">
        <v>403551.02500000002</v>
      </c>
      <c r="K1059" s="1">
        <v>281237.78399999999</v>
      </c>
      <c r="L1059" s="1">
        <v>403515.69099999999</v>
      </c>
      <c r="M1059" s="1">
        <v>281222.83500000002</v>
      </c>
      <c r="N1059" t="s">
        <v>40</v>
      </c>
      <c r="P1059" t="s">
        <v>40</v>
      </c>
      <c r="Q1059">
        <v>0</v>
      </c>
      <c r="R1059">
        <v>0</v>
      </c>
      <c r="S1059">
        <v>199904</v>
      </c>
      <c r="T1059">
        <v>6</v>
      </c>
      <c r="U1059">
        <v>6</v>
      </c>
      <c r="V1059">
        <v>1</v>
      </c>
      <c r="W1059">
        <v>1</v>
      </c>
      <c r="X1059" t="s">
        <v>40</v>
      </c>
      <c r="Y1059">
        <v>3</v>
      </c>
      <c r="Z1059">
        <v>40</v>
      </c>
      <c r="AA1059">
        <v>1</v>
      </c>
      <c r="AB1059">
        <v>0</v>
      </c>
      <c r="AC1059">
        <v>48.1</v>
      </c>
      <c r="AD1059">
        <v>5059</v>
      </c>
      <c r="AH1059">
        <v>0</v>
      </c>
      <c r="AI1059">
        <v>0</v>
      </c>
      <c r="AL1059" t="s">
        <v>40</v>
      </c>
      <c r="AM1059" t="str">
        <f t="shared" ref="AM1059:AM1092" si="87">_xlfn.CONCAT(Z1059, " ",AA1059)</f>
        <v>40 1</v>
      </c>
      <c r="AN1059" t="str">
        <f t="shared" ref="AN1059:AN1092" si="88">ROUND(J1059,3)&amp;","&amp;ROUND(K1059,3)</f>
        <v>403551.025,281237.784</v>
      </c>
      <c r="AO1059" t="str">
        <f t="shared" ref="AO1059:AO1092" si="89">ROUND(L1059,3)&amp;","&amp;ROUND(M1059,3)</f>
        <v>403515.691,281222.835</v>
      </c>
      <c r="AQ1059" t="s">
        <v>2826</v>
      </c>
      <c r="AR1059" t="s">
        <v>2827</v>
      </c>
    </row>
    <row r="1060" spans="1:44" x14ac:dyDescent="0.3">
      <c r="A1060">
        <v>3869</v>
      </c>
      <c r="B1060">
        <v>4</v>
      </c>
      <c r="C1060">
        <v>4012868</v>
      </c>
      <c r="D1060">
        <v>12029</v>
      </c>
      <c r="E1060">
        <v>2</v>
      </c>
      <c r="F1060">
        <v>670050</v>
      </c>
      <c r="G1060" t="s">
        <v>120</v>
      </c>
      <c r="H1060" t="s">
        <v>65</v>
      </c>
      <c r="I1060">
        <v>0</v>
      </c>
      <c r="J1060" s="1">
        <v>403551.02500000002</v>
      </c>
      <c r="K1060" s="1">
        <v>281237.78399999999</v>
      </c>
      <c r="L1060" s="1">
        <v>403584.95699999999</v>
      </c>
      <c r="M1060" s="1">
        <v>281255.51</v>
      </c>
      <c r="N1060" t="s">
        <v>40</v>
      </c>
      <c r="P1060" t="s">
        <v>40</v>
      </c>
      <c r="Q1060">
        <v>0</v>
      </c>
      <c r="R1060">
        <v>0</v>
      </c>
      <c r="S1060">
        <v>0</v>
      </c>
      <c r="T1060">
        <v>6</v>
      </c>
      <c r="U1060">
        <v>6</v>
      </c>
      <c r="V1060">
        <v>1</v>
      </c>
      <c r="W1060">
        <v>1</v>
      </c>
      <c r="X1060" t="s">
        <v>40</v>
      </c>
      <c r="Y1060">
        <v>3</v>
      </c>
      <c r="Z1060">
        <v>92</v>
      </c>
      <c r="AA1060">
        <v>1</v>
      </c>
      <c r="AB1060">
        <v>0</v>
      </c>
      <c r="AC1060">
        <v>38.832999999999998</v>
      </c>
      <c r="AD1060">
        <v>5059</v>
      </c>
      <c r="AH1060">
        <v>0</v>
      </c>
      <c r="AI1060">
        <v>0</v>
      </c>
      <c r="AL1060" t="s">
        <v>40</v>
      </c>
      <c r="AM1060" t="str">
        <f t="shared" si="87"/>
        <v>92 1</v>
      </c>
      <c r="AN1060" t="str">
        <f t="shared" si="88"/>
        <v>403551.025,281237.784</v>
      </c>
      <c r="AO1060" t="str">
        <f t="shared" si="89"/>
        <v>403584.957,281255.51</v>
      </c>
      <c r="AQ1060" t="s">
        <v>2826</v>
      </c>
      <c r="AR1060" t="s">
        <v>2828</v>
      </c>
    </row>
    <row r="1061" spans="1:44" x14ac:dyDescent="0.3">
      <c r="A1061">
        <v>3869</v>
      </c>
      <c r="B1061">
        <v>4</v>
      </c>
      <c r="C1061">
        <v>4012857</v>
      </c>
      <c r="D1061">
        <v>12787</v>
      </c>
      <c r="E1061">
        <v>2</v>
      </c>
      <c r="F1061">
        <v>670050</v>
      </c>
      <c r="G1061" t="s">
        <v>120</v>
      </c>
      <c r="H1061" t="s">
        <v>65</v>
      </c>
      <c r="I1061">
        <v>0</v>
      </c>
      <c r="J1061" s="1">
        <v>403709.71500000003</v>
      </c>
      <c r="K1061" s="1">
        <v>281183.07799999998</v>
      </c>
      <c r="L1061" s="1">
        <v>403584.95699999999</v>
      </c>
      <c r="M1061" s="1">
        <v>281255.51</v>
      </c>
      <c r="N1061" t="s">
        <v>40</v>
      </c>
      <c r="P1061" t="s">
        <v>40</v>
      </c>
      <c r="Q1061">
        <v>0</v>
      </c>
      <c r="R1061">
        <v>0</v>
      </c>
      <c r="S1061">
        <v>0</v>
      </c>
      <c r="T1061">
        <v>7</v>
      </c>
      <c r="U1061">
        <v>6</v>
      </c>
      <c r="V1061">
        <v>1</v>
      </c>
      <c r="W1061">
        <v>1</v>
      </c>
      <c r="X1061" t="s">
        <v>40</v>
      </c>
      <c r="Y1061">
        <v>3</v>
      </c>
      <c r="Z1061">
        <v>256</v>
      </c>
      <c r="AA1061">
        <v>18</v>
      </c>
      <c r="AB1061">
        <v>0</v>
      </c>
      <c r="AC1061">
        <v>340.47500000000002</v>
      </c>
      <c r="AD1061">
        <v>5059</v>
      </c>
      <c r="AH1061">
        <v>0</v>
      </c>
      <c r="AI1061">
        <v>0</v>
      </c>
      <c r="AL1061" t="s">
        <v>40</v>
      </c>
      <c r="AM1061" t="str">
        <f t="shared" si="87"/>
        <v>256 18</v>
      </c>
      <c r="AN1061" s="6" t="s">
        <v>1797</v>
      </c>
      <c r="AO1061" s="6" t="s">
        <v>1592</v>
      </c>
      <c r="AQ1061" t="s">
        <v>2828</v>
      </c>
      <c r="AR1061" t="s">
        <v>2822</v>
      </c>
    </row>
    <row r="1062" spans="1:44" x14ac:dyDescent="0.3">
      <c r="A1062">
        <v>3869</v>
      </c>
      <c r="B1062">
        <v>4</v>
      </c>
      <c r="C1062">
        <v>4012875</v>
      </c>
      <c r="D1062">
        <v>28227</v>
      </c>
      <c r="E1062">
        <v>2</v>
      </c>
      <c r="F1062">
        <v>670050</v>
      </c>
      <c r="G1062" t="s">
        <v>120</v>
      </c>
      <c r="H1062" t="s">
        <v>65</v>
      </c>
      <c r="I1062">
        <v>0</v>
      </c>
      <c r="J1062" s="1">
        <v>403515.69099999999</v>
      </c>
      <c r="K1062" s="1">
        <v>281222.83500000002</v>
      </c>
      <c r="L1062" s="1">
        <v>403512.15600000002</v>
      </c>
      <c r="M1062" s="1">
        <v>281224.98599999998</v>
      </c>
      <c r="N1062" t="s">
        <v>40</v>
      </c>
      <c r="P1062" t="s">
        <v>40</v>
      </c>
      <c r="Q1062">
        <v>0</v>
      </c>
      <c r="R1062">
        <v>0</v>
      </c>
      <c r="S1062">
        <v>0</v>
      </c>
      <c r="T1062">
        <v>6</v>
      </c>
      <c r="U1062">
        <v>6</v>
      </c>
      <c r="V1062">
        <v>1</v>
      </c>
      <c r="W1062">
        <v>1</v>
      </c>
      <c r="X1062" t="s">
        <v>40</v>
      </c>
      <c r="Y1062">
        <v>3</v>
      </c>
      <c r="Z1062">
        <v>92</v>
      </c>
      <c r="AA1062">
        <v>99</v>
      </c>
      <c r="AB1062">
        <v>0</v>
      </c>
      <c r="AC1062">
        <v>4.1379999999999999</v>
      </c>
      <c r="AD1062">
        <v>5059</v>
      </c>
      <c r="AH1062">
        <v>0</v>
      </c>
      <c r="AI1062">
        <v>0</v>
      </c>
      <c r="AL1062" t="s">
        <v>40</v>
      </c>
      <c r="AM1062" t="str">
        <f t="shared" si="87"/>
        <v>92 99</v>
      </c>
      <c r="AN1062" t="str">
        <f t="shared" si="88"/>
        <v>403515.691,281222.835</v>
      </c>
      <c r="AO1062" t="str">
        <f t="shared" si="89"/>
        <v>403512.156,281224.986</v>
      </c>
      <c r="AQ1062" t="s">
        <v>2827</v>
      </c>
      <c r="AR1062" t="s">
        <v>1922</v>
      </c>
    </row>
    <row r="1063" spans="1:44" x14ac:dyDescent="0.3">
      <c r="A1063">
        <v>3869</v>
      </c>
      <c r="B1063">
        <v>4</v>
      </c>
      <c r="C1063">
        <v>4012899</v>
      </c>
      <c r="D1063">
        <v>60982</v>
      </c>
      <c r="E1063">
        <v>2</v>
      </c>
      <c r="F1063">
        <v>670050</v>
      </c>
      <c r="G1063" t="s">
        <v>120</v>
      </c>
      <c r="H1063" t="s">
        <v>65</v>
      </c>
      <c r="I1063">
        <v>0</v>
      </c>
      <c r="J1063" s="1">
        <v>403453.50599999999</v>
      </c>
      <c r="K1063" s="1">
        <v>281178.55499999999</v>
      </c>
      <c r="L1063" s="1">
        <v>403502.30599999998</v>
      </c>
      <c r="M1063" s="1">
        <v>281220.09299999999</v>
      </c>
      <c r="N1063" t="s">
        <v>40</v>
      </c>
      <c r="P1063" t="s">
        <v>40</v>
      </c>
      <c r="Q1063">
        <v>0</v>
      </c>
      <c r="R1063">
        <v>0</v>
      </c>
      <c r="S1063">
        <v>0</v>
      </c>
      <c r="T1063">
        <v>6</v>
      </c>
      <c r="U1063">
        <v>6</v>
      </c>
      <c r="V1063">
        <v>1</v>
      </c>
      <c r="W1063">
        <v>2</v>
      </c>
      <c r="X1063" t="s">
        <v>40</v>
      </c>
      <c r="Y1063">
        <v>3</v>
      </c>
      <c r="Z1063">
        <v>88</v>
      </c>
      <c r="AA1063">
        <v>99</v>
      </c>
      <c r="AB1063">
        <v>0</v>
      </c>
      <c r="AC1063">
        <v>65.894999999999996</v>
      </c>
      <c r="AD1063">
        <v>5059</v>
      </c>
      <c r="AH1063">
        <v>0</v>
      </c>
      <c r="AI1063">
        <v>0</v>
      </c>
      <c r="AL1063" t="s">
        <v>40</v>
      </c>
      <c r="AM1063" t="str">
        <f t="shared" si="87"/>
        <v>88 99</v>
      </c>
      <c r="AN1063" t="str">
        <f t="shared" si="88"/>
        <v>403453.506,281178.555</v>
      </c>
      <c r="AO1063" t="str">
        <f t="shared" si="89"/>
        <v>403502.306,281220.093</v>
      </c>
      <c r="AQ1063" t="s">
        <v>2829</v>
      </c>
      <c r="AR1063" t="s">
        <v>1923</v>
      </c>
    </row>
    <row r="1064" spans="1:44" x14ac:dyDescent="0.3">
      <c r="A1064">
        <v>3869</v>
      </c>
      <c r="B1064">
        <v>4</v>
      </c>
      <c r="C1064">
        <v>4017267</v>
      </c>
      <c r="D1064">
        <v>16200</v>
      </c>
      <c r="E1064">
        <v>2</v>
      </c>
      <c r="F1064">
        <v>670050</v>
      </c>
      <c r="G1064" t="s">
        <v>120</v>
      </c>
      <c r="H1064" t="s">
        <v>63</v>
      </c>
      <c r="I1064">
        <v>0</v>
      </c>
      <c r="J1064" s="1">
        <v>403185.50199999998</v>
      </c>
      <c r="K1064" s="1">
        <v>280843.34100000001</v>
      </c>
      <c r="L1064" s="1">
        <v>403186.97600000002</v>
      </c>
      <c r="M1064" s="1">
        <v>280839.59299999999</v>
      </c>
      <c r="N1064" t="s">
        <v>40</v>
      </c>
      <c r="P1064" t="s">
        <v>40</v>
      </c>
      <c r="Q1064">
        <v>0</v>
      </c>
      <c r="R1064">
        <v>0</v>
      </c>
      <c r="S1064">
        <v>0</v>
      </c>
      <c r="T1064">
        <v>6</v>
      </c>
      <c r="U1064">
        <v>6</v>
      </c>
      <c r="V1064">
        <v>1</v>
      </c>
      <c r="W1064">
        <v>1</v>
      </c>
      <c r="X1064" t="s">
        <v>40</v>
      </c>
      <c r="Y1064">
        <v>3</v>
      </c>
      <c r="Z1064">
        <v>38</v>
      </c>
      <c r="AA1064">
        <v>1</v>
      </c>
      <c r="AB1064">
        <v>0</v>
      </c>
      <c r="AC1064">
        <v>4.0270000000000001</v>
      </c>
      <c r="AD1064">
        <v>5059</v>
      </c>
      <c r="AH1064">
        <v>0</v>
      </c>
      <c r="AI1064">
        <v>0</v>
      </c>
      <c r="AL1064" t="s">
        <v>40</v>
      </c>
      <c r="AM1064" t="str">
        <f t="shared" si="87"/>
        <v>38 1</v>
      </c>
      <c r="AN1064" t="str">
        <f t="shared" si="88"/>
        <v>403185.502,280843.341</v>
      </c>
      <c r="AO1064" t="str">
        <f t="shared" si="89"/>
        <v>403186.976,280839.593</v>
      </c>
      <c r="AQ1064" t="s">
        <v>2824</v>
      </c>
      <c r="AR1064" t="s">
        <v>2830</v>
      </c>
    </row>
    <row r="1065" spans="1:44" x14ac:dyDescent="0.3">
      <c r="A1065">
        <v>3869</v>
      </c>
      <c r="B1065">
        <v>4</v>
      </c>
      <c r="C1065">
        <v>4017227</v>
      </c>
      <c r="D1065">
        <v>16197</v>
      </c>
      <c r="E1065">
        <v>2</v>
      </c>
      <c r="F1065">
        <v>670050</v>
      </c>
      <c r="G1065" t="s">
        <v>120</v>
      </c>
      <c r="H1065" t="s">
        <v>63</v>
      </c>
      <c r="I1065">
        <v>0</v>
      </c>
      <c r="J1065" s="1">
        <v>403208.478</v>
      </c>
      <c r="K1065" s="1">
        <v>280809.97600000002</v>
      </c>
      <c r="L1065" s="1">
        <v>403187.34600000002</v>
      </c>
      <c r="M1065" s="1">
        <v>280839.73800000001</v>
      </c>
      <c r="N1065" t="s">
        <v>40</v>
      </c>
      <c r="P1065" t="s">
        <v>40</v>
      </c>
      <c r="Q1065">
        <v>0</v>
      </c>
      <c r="R1065">
        <v>0</v>
      </c>
      <c r="S1065">
        <v>0</v>
      </c>
      <c r="T1065">
        <v>6</v>
      </c>
      <c r="U1065">
        <v>6</v>
      </c>
      <c r="V1065">
        <v>1</v>
      </c>
      <c r="W1065">
        <v>1</v>
      </c>
      <c r="X1065" t="s">
        <v>40</v>
      </c>
      <c r="Y1065">
        <v>3</v>
      </c>
      <c r="Z1065">
        <v>89</v>
      </c>
      <c r="AA1065">
        <v>1</v>
      </c>
      <c r="AB1065">
        <v>0</v>
      </c>
      <c r="AC1065">
        <v>37.186999999999998</v>
      </c>
      <c r="AD1065">
        <v>5059</v>
      </c>
      <c r="AH1065">
        <v>0</v>
      </c>
      <c r="AI1065">
        <v>0</v>
      </c>
      <c r="AL1065" t="s">
        <v>40</v>
      </c>
      <c r="AM1065" t="str">
        <f t="shared" si="87"/>
        <v>89 1</v>
      </c>
      <c r="AN1065" t="str">
        <f t="shared" si="88"/>
        <v>403208.478,280809.976</v>
      </c>
      <c r="AO1065" t="str">
        <f t="shared" si="89"/>
        <v>403187.346,280839.738</v>
      </c>
      <c r="AQ1065" t="s">
        <v>1924</v>
      </c>
      <c r="AR1065" t="s">
        <v>2831</v>
      </c>
    </row>
    <row r="1066" spans="1:44" x14ac:dyDescent="0.3">
      <c r="A1066">
        <v>3869</v>
      </c>
      <c r="B1066">
        <v>4</v>
      </c>
      <c r="C1066">
        <v>4012982</v>
      </c>
      <c r="D1066">
        <v>11660</v>
      </c>
      <c r="E1066">
        <v>2</v>
      </c>
      <c r="F1066">
        <v>670050</v>
      </c>
      <c r="G1066" t="s">
        <v>120</v>
      </c>
      <c r="H1066" t="s">
        <v>65</v>
      </c>
      <c r="I1066">
        <v>0</v>
      </c>
      <c r="J1066" s="1">
        <v>403176.20699999999</v>
      </c>
      <c r="K1066" s="1">
        <v>281000</v>
      </c>
      <c r="L1066" s="1">
        <v>403130.01500000001</v>
      </c>
      <c r="M1066" s="1">
        <v>281042.68800000002</v>
      </c>
      <c r="N1066" t="s">
        <v>40</v>
      </c>
      <c r="P1066" t="s">
        <v>40</v>
      </c>
      <c r="Q1066">
        <v>0</v>
      </c>
      <c r="R1066">
        <v>0</v>
      </c>
      <c r="S1066">
        <v>0</v>
      </c>
      <c r="T1066">
        <v>6</v>
      </c>
      <c r="U1066">
        <v>6</v>
      </c>
      <c r="V1066">
        <v>1</v>
      </c>
      <c r="W1066">
        <v>1</v>
      </c>
      <c r="X1066" t="s">
        <v>40</v>
      </c>
      <c r="Y1066">
        <v>3</v>
      </c>
      <c r="Z1066">
        <v>52</v>
      </c>
      <c r="AA1066">
        <v>1</v>
      </c>
      <c r="AB1066">
        <v>0</v>
      </c>
      <c r="AC1066">
        <v>156.221</v>
      </c>
      <c r="AD1066">
        <v>5059</v>
      </c>
      <c r="AH1066">
        <v>0</v>
      </c>
      <c r="AI1066">
        <v>0</v>
      </c>
      <c r="AL1066" t="s">
        <v>40</v>
      </c>
      <c r="AM1066" t="str">
        <f t="shared" si="87"/>
        <v>52 1</v>
      </c>
      <c r="AN1066" s="6" t="s">
        <v>1610</v>
      </c>
      <c r="AO1066" s="6" t="s">
        <v>1598</v>
      </c>
      <c r="AQ1066" t="s">
        <v>2832</v>
      </c>
      <c r="AR1066" t="s">
        <v>2833</v>
      </c>
    </row>
    <row r="1067" spans="1:44" x14ac:dyDescent="0.3">
      <c r="A1067">
        <v>3869</v>
      </c>
      <c r="B1067">
        <v>4</v>
      </c>
      <c r="C1067">
        <v>4017225</v>
      </c>
      <c r="D1067">
        <v>16229</v>
      </c>
      <c r="E1067">
        <v>2</v>
      </c>
      <c r="F1067">
        <v>670050</v>
      </c>
      <c r="G1067" t="s">
        <v>120</v>
      </c>
      <c r="H1067" t="s">
        <v>63</v>
      </c>
      <c r="I1067">
        <v>0</v>
      </c>
      <c r="J1067" s="1">
        <v>403185.87300000002</v>
      </c>
      <c r="K1067" s="1">
        <v>280843.48700000002</v>
      </c>
      <c r="L1067" s="1">
        <v>403248.22499999998</v>
      </c>
      <c r="M1067" s="1">
        <v>280981.46799999999</v>
      </c>
      <c r="N1067" t="s">
        <v>40</v>
      </c>
      <c r="P1067" t="s">
        <v>40</v>
      </c>
      <c r="Q1067">
        <v>0</v>
      </c>
      <c r="R1067">
        <v>0</v>
      </c>
      <c r="S1067">
        <v>0</v>
      </c>
      <c r="T1067">
        <v>6</v>
      </c>
      <c r="U1067">
        <v>6</v>
      </c>
      <c r="V1067">
        <v>1</v>
      </c>
      <c r="W1067">
        <v>1</v>
      </c>
      <c r="X1067" t="s">
        <v>40</v>
      </c>
      <c r="Y1067">
        <v>3</v>
      </c>
      <c r="Z1067">
        <v>89</v>
      </c>
      <c r="AA1067">
        <v>1</v>
      </c>
      <c r="AB1067">
        <v>0</v>
      </c>
      <c r="AC1067">
        <v>164.55500000000001</v>
      </c>
      <c r="AD1067">
        <v>5059</v>
      </c>
      <c r="AH1067">
        <v>0</v>
      </c>
      <c r="AI1067">
        <v>0</v>
      </c>
      <c r="AL1067" t="s">
        <v>40</v>
      </c>
      <c r="AM1067" t="str">
        <f t="shared" si="87"/>
        <v>89 1</v>
      </c>
      <c r="AN1067" t="str">
        <f t="shared" si="88"/>
        <v>403185.873,280843.487</v>
      </c>
      <c r="AO1067" t="str">
        <f t="shared" si="89"/>
        <v>403248.225,280981.468</v>
      </c>
      <c r="AQ1067" t="s">
        <v>2834</v>
      </c>
      <c r="AR1067" t="s">
        <v>2835</v>
      </c>
    </row>
    <row r="1068" spans="1:44" x14ac:dyDescent="0.3">
      <c r="A1068">
        <v>3869</v>
      </c>
      <c r="B1068">
        <v>4</v>
      </c>
      <c r="C1068">
        <v>4017205</v>
      </c>
      <c r="D1068">
        <v>17047</v>
      </c>
      <c r="E1068">
        <v>2</v>
      </c>
      <c r="F1068">
        <v>670050</v>
      </c>
      <c r="G1068" t="s">
        <v>120</v>
      </c>
      <c r="H1068" t="s">
        <v>63</v>
      </c>
      <c r="I1068">
        <v>0</v>
      </c>
      <c r="J1068" s="1">
        <v>403248.22499999998</v>
      </c>
      <c r="K1068" s="1">
        <v>280981.46799999999</v>
      </c>
      <c r="L1068" s="1">
        <v>403175.02799999999</v>
      </c>
      <c r="M1068" s="1">
        <v>281000</v>
      </c>
      <c r="N1068" t="s">
        <v>40</v>
      </c>
      <c r="P1068" t="s">
        <v>40</v>
      </c>
      <c r="Q1068">
        <v>0</v>
      </c>
      <c r="R1068">
        <v>0</v>
      </c>
      <c r="S1068">
        <v>0</v>
      </c>
      <c r="T1068">
        <v>6</v>
      </c>
      <c r="U1068">
        <v>6</v>
      </c>
      <c r="V1068">
        <v>1</v>
      </c>
      <c r="W1068">
        <v>1</v>
      </c>
      <c r="X1068" t="s">
        <v>40</v>
      </c>
      <c r="Y1068">
        <v>3</v>
      </c>
      <c r="Z1068">
        <v>52</v>
      </c>
      <c r="AA1068">
        <v>1</v>
      </c>
      <c r="AB1068">
        <v>0</v>
      </c>
      <c r="AC1068">
        <v>155.78699999999998</v>
      </c>
      <c r="AD1068">
        <v>5059</v>
      </c>
      <c r="AH1068">
        <v>0</v>
      </c>
      <c r="AI1068">
        <v>0</v>
      </c>
      <c r="AL1068" t="s">
        <v>40</v>
      </c>
      <c r="AM1068" t="str">
        <f t="shared" si="87"/>
        <v>52 1</v>
      </c>
      <c r="AN1068" s="6" t="s">
        <v>1605</v>
      </c>
      <c r="AO1068" s="6" t="s">
        <v>1597</v>
      </c>
      <c r="AQ1068" t="s">
        <v>1929</v>
      </c>
      <c r="AR1068" t="s">
        <v>2835</v>
      </c>
    </row>
    <row r="1069" spans="1:44" x14ac:dyDescent="0.3">
      <c r="A1069">
        <v>3869</v>
      </c>
      <c r="B1069">
        <v>4</v>
      </c>
      <c r="C1069">
        <v>4017190</v>
      </c>
      <c r="D1069">
        <v>17360</v>
      </c>
      <c r="E1069">
        <v>2</v>
      </c>
      <c r="F1069">
        <v>670050</v>
      </c>
      <c r="G1069" t="s">
        <v>120</v>
      </c>
      <c r="H1069" t="s">
        <v>63</v>
      </c>
      <c r="I1069">
        <v>0</v>
      </c>
      <c r="J1069" s="1">
        <v>403250.78</v>
      </c>
      <c r="K1069" s="1">
        <v>280982.32699999999</v>
      </c>
      <c r="L1069" s="1">
        <v>403261.95799999998</v>
      </c>
      <c r="M1069" s="1">
        <v>281000</v>
      </c>
      <c r="N1069" t="s">
        <v>40</v>
      </c>
      <c r="P1069" t="s">
        <v>40</v>
      </c>
      <c r="Q1069">
        <v>0</v>
      </c>
      <c r="R1069">
        <v>0</v>
      </c>
      <c r="S1069">
        <v>0</v>
      </c>
      <c r="T1069">
        <v>6</v>
      </c>
      <c r="U1069">
        <v>6</v>
      </c>
      <c r="V1069">
        <v>1</v>
      </c>
      <c r="W1069">
        <v>1</v>
      </c>
      <c r="X1069" t="s">
        <v>40</v>
      </c>
      <c r="Y1069">
        <v>3</v>
      </c>
      <c r="Z1069">
        <v>89</v>
      </c>
      <c r="AA1069">
        <v>1</v>
      </c>
      <c r="AB1069">
        <v>0</v>
      </c>
      <c r="AC1069">
        <v>164.89600000000002</v>
      </c>
      <c r="AD1069">
        <v>5059</v>
      </c>
      <c r="AH1069">
        <v>0</v>
      </c>
      <c r="AI1069">
        <v>0</v>
      </c>
      <c r="AL1069" t="s">
        <v>40</v>
      </c>
      <c r="AM1069" t="str">
        <f t="shared" si="87"/>
        <v>89 1</v>
      </c>
      <c r="AN1069" s="6" t="s">
        <v>1590</v>
      </c>
      <c r="AO1069" s="6" t="s">
        <v>1598</v>
      </c>
      <c r="AQ1069" t="s">
        <v>2821</v>
      </c>
      <c r="AR1069" t="s">
        <v>2833</v>
      </c>
    </row>
    <row r="1070" spans="1:44" x14ac:dyDescent="0.3">
      <c r="A1070">
        <v>3869</v>
      </c>
      <c r="B1070">
        <v>4</v>
      </c>
      <c r="C1070">
        <v>4017169</v>
      </c>
      <c r="D1070">
        <v>46469</v>
      </c>
      <c r="E1070">
        <v>2</v>
      </c>
      <c r="F1070">
        <v>670050</v>
      </c>
      <c r="G1070" t="s">
        <v>120</v>
      </c>
      <c r="H1070" t="s">
        <v>63</v>
      </c>
      <c r="I1070">
        <v>0</v>
      </c>
      <c r="J1070" s="1">
        <v>403443.38799999998</v>
      </c>
      <c r="K1070" s="1">
        <v>280932.853</v>
      </c>
      <c r="L1070" s="1">
        <v>403520.39899999998</v>
      </c>
      <c r="M1070" s="1">
        <v>280804.90700000001</v>
      </c>
      <c r="N1070" t="s">
        <v>40</v>
      </c>
      <c r="P1070" t="s">
        <v>40</v>
      </c>
      <c r="Q1070">
        <v>0</v>
      </c>
      <c r="R1070">
        <v>0</v>
      </c>
      <c r="S1070">
        <v>0</v>
      </c>
      <c r="T1070">
        <v>6</v>
      </c>
      <c r="U1070">
        <v>6</v>
      </c>
      <c r="V1070">
        <v>1</v>
      </c>
      <c r="W1070">
        <v>2</v>
      </c>
      <c r="X1070" t="s">
        <v>40</v>
      </c>
      <c r="Y1070">
        <v>3</v>
      </c>
      <c r="Z1070">
        <v>52</v>
      </c>
      <c r="AA1070">
        <v>1</v>
      </c>
      <c r="AB1070">
        <v>0</v>
      </c>
      <c r="AC1070">
        <v>199.297</v>
      </c>
      <c r="AD1070">
        <v>5059</v>
      </c>
      <c r="AH1070">
        <v>0</v>
      </c>
      <c r="AI1070">
        <v>0</v>
      </c>
      <c r="AL1070" t="s">
        <v>40</v>
      </c>
      <c r="AM1070" t="str">
        <f t="shared" si="87"/>
        <v>52 1</v>
      </c>
      <c r="AN1070" t="str">
        <f t="shared" si="88"/>
        <v>403443.388,280932.853</v>
      </c>
      <c r="AO1070" t="str">
        <f t="shared" si="89"/>
        <v>403520.399,280804.907</v>
      </c>
      <c r="AQ1070" t="s">
        <v>2836</v>
      </c>
      <c r="AR1070" t="s">
        <v>829</v>
      </c>
    </row>
    <row r="1071" spans="1:44" x14ac:dyDescent="0.3">
      <c r="A1071">
        <v>3869</v>
      </c>
      <c r="B1071">
        <v>4</v>
      </c>
      <c r="C1071">
        <v>4015682</v>
      </c>
      <c r="D1071">
        <v>13654</v>
      </c>
      <c r="E1071">
        <v>2</v>
      </c>
      <c r="F1071">
        <v>670050</v>
      </c>
      <c r="G1071" t="s">
        <v>120</v>
      </c>
      <c r="H1071" t="s">
        <v>96</v>
      </c>
      <c r="I1071">
        <v>0</v>
      </c>
      <c r="J1071" s="1">
        <v>402797.67800000001</v>
      </c>
      <c r="K1071" s="1">
        <v>280415.201</v>
      </c>
      <c r="L1071" s="1">
        <v>402794.54700000002</v>
      </c>
      <c r="M1071" s="1">
        <v>280416.74300000002</v>
      </c>
      <c r="N1071" t="s">
        <v>40</v>
      </c>
      <c r="P1071" t="s">
        <v>40</v>
      </c>
      <c r="Q1071">
        <v>0</v>
      </c>
      <c r="R1071">
        <v>0</v>
      </c>
      <c r="S1071">
        <v>0</v>
      </c>
      <c r="T1071">
        <v>6</v>
      </c>
      <c r="U1071">
        <v>6</v>
      </c>
      <c r="V1071">
        <v>1</v>
      </c>
      <c r="W1071">
        <v>1</v>
      </c>
      <c r="X1071" t="s">
        <v>40</v>
      </c>
      <c r="Y1071">
        <v>3</v>
      </c>
      <c r="Z1071">
        <v>5024</v>
      </c>
      <c r="AA1071">
        <v>1</v>
      </c>
      <c r="AB1071">
        <v>0</v>
      </c>
      <c r="AC1071">
        <v>3.49</v>
      </c>
      <c r="AD1071">
        <v>5059</v>
      </c>
      <c r="AH1071">
        <v>0</v>
      </c>
      <c r="AI1071">
        <v>0</v>
      </c>
      <c r="AL1071" t="s">
        <v>40</v>
      </c>
      <c r="AM1071" t="str">
        <f t="shared" si="87"/>
        <v>5024 1</v>
      </c>
      <c r="AN1071" t="str">
        <f t="shared" si="88"/>
        <v>402797.678,280415.201</v>
      </c>
      <c r="AO1071" t="str">
        <f t="shared" si="89"/>
        <v>402794.547,280416.743</v>
      </c>
      <c r="AQ1071" t="s">
        <v>831</v>
      </c>
      <c r="AR1071" t="s">
        <v>2825</v>
      </c>
    </row>
    <row r="1072" spans="1:44" x14ac:dyDescent="0.3">
      <c r="A1072">
        <v>3869</v>
      </c>
      <c r="B1072">
        <v>4</v>
      </c>
      <c r="C1072">
        <v>4012897</v>
      </c>
      <c r="D1072">
        <v>12155</v>
      </c>
      <c r="E1072">
        <v>2</v>
      </c>
      <c r="F1072">
        <v>670050</v>
      </c>
      <c r="G1072" t="s">
        <v>120</v>
      </c>
      <c r="H1072" t="s">
        <v>65</v>
      </c>
      <c r="I1072">
        <v>0</v>
      </c>
      <c r="J1072" s="1">
        <v>403466.77799999999</v>
      </c>
      <c r="K1072" s="1">
        <v>281098.85100000002</v>
      </c>
      <c r="L1072" s="1">
        <v>403453.50599999999</v>
      </c>
      <c r="M1072" s="1">
        <v>281178.55499999999</v>
      </c>
      <c r="N1072" t="s">
        <v>40</v>
      </c>
      <c r="P1072" t="s">
        <v>40</v>
      </c>
      <c r="Q1072">
        <v>0</v>
      </c>
      <c r="R1072">
        <v>0</v>
      </c>
      <c r="S1072">
        <v>0</v>
      </c>
      <c r="T1072">
        <v>6</v>
      </c>
      <c r="U1072">
        <v>6</v>
      </c>
      <c r="V1072">
        <v>1</v>
      </c>
      <c r="W1072">
        <v>2</v>
      </c>
      <c r="X1072" t="s">
        <v>40</v>
      </c>
      <c r="Y1072">
        <v>3</v>
      </c>
      <c r="Z1072">
        <v>88</v>
      </c>
      <c r="AA1072">
        <v>1</v>
      </c>
      <c r="AB1072">
        <v>0</v>
      </c>
      <c r="AC1072">
        <v>261.93900000000002</v>
      </c>
      <c r="AD1072">
        <v>5059</v>
      </c>
      <c r="AH1072">
        <v>0</v>
      </c>
      <c r="AI1072">
        <v>0</v>
      </c>
      <c r="AL1072" t="s">
        <v>40</v>
      </c>
      <c r="AM1072" t="str">
        <f t="shared" si="87"/>
        <v>88 1</v>
      </c>
      <c r="AN1072" s="6" t="s">
        <v>1599</v>
      </c>
      <c r="AO1072" s="6" t="s">
        <v>1594</v>
      </c>
      <c r="AQ1072" t="s">
        <v>2836</v>
      </c>
      <c r="AR1072" t="s">
        <v>2829</v>
      </c>
    </row>
    <row r="1073" spans="1:44" x14ac:dyDescent="0.3">
      <c r="A1073">
        <v>3869</v>
      </c>
      <c r="B1073">
        <v>4</v>
      </c>
      <c r="C1073">
        <v>4017246</v>
      </c>
      <c r="D1073">
        <v>16196</v>
      </c>
      <c r="E1073">
        <v>2</v>
      </c>
      <c r="F1073">
        <v>670050</v>
      </c>
      <c r="G1073" t="s">
        <v>120</v>
      </c>
      <c r="H1073" t="s">
        <v>63</v>
      </c>
      <c r="I1073">
        <v>0</v>
      </c>
      <c r="J1073" s="1">
        <v>403186.97600000002</v>
      </c>
      <c r="K1073" s="1">
        <v>280839.59299999999</v>
      </c>
      <c r="L1073" s="1">
        <v>403208.26</v>
      </c>
      <c r="M1073" s="1">
        <v>280809.64</v>
      </c>
      <c r="N1073" t="s">
        <v>40</v>
      </c>
      <c r="P1073" t="s">
        <v>40</v>
      </c>
      <c r="Q1073">
        <v>0</v>
      </c>
      <c r="R1073">
        <v>0</v>
      </c>
      <c r="S1073">
        <v>0</v>
      </c>
      <c r="T1073">
        <v>6</v>
      </c>
      <c r="U1073">
        <v>6</v>
      </c>
      <c r="V1073">
        <v>1</v>
      </c>
      <c r="W1073">
        <v>1</v>
      </c>
      <c r="X1073" t="s">
        <v>40</v>
      </c>
      <c r="Y1073">
        <v>3</v>
      </c>
      <c r="Z1073">
        <v>89</v>
      </c>
      <c r="AA1073">
        <v>1</v>
      </c>
      <c r="AB1073">
        <v>0</v>
      </c>
      <c r="AC1073">
        <v>37.433999999999997</v>
      </c>
      <c r="AD1073">
        <v>5059</v>
      </c>
      <c r="AH1073">
        <v>0</v>
      </c>
      <c r="AI1073">
        <v>0</v>
      </c>
      <c r="AL1073" t="s">
        <v>40</v>
      </c>
      <c r="AM1073" t="str">
        <f t="shared" si="87"/>
        <v>89 1</v>
      </c>
      <c r="AN1073" t="str">
        <f t="shared" si="88"/>
        <v>403186.976,280839.593</v>
      </c>
      <c r="AO1073" t="str">
        <f t="shared" si="89"/>
        <v>403208.26,280809.64</v>
      </c>
      <c r="AQ1073" t="s">
        <v>2830</v>
      </c>
      <c r="AR1073" t="s">
        <v>1925</v>
      </c>
    </row>
    <row r="1074" spans="1:44" x14ac:dyDescent="0.3">
      <c r="A1074">
        <v>3869</v>
      </c>
      <c r="B1074">
        <v>4</v>
      </c>
      <c r="C1074">
        <v>4012947</v>
      </c>
      <c r="D1074">
        <v>12774</v>
      </c>
      <c r="E1074">
        <v>2</v>
      </c>
      <c r="F1074">
        <v>670050</v>
      </c>
      <c r="G1074" t="s">
        <v>120</v>
      </c>
      <c r="H1074" t="s">
        <v>65</v>
      </c>
      <c r="I1074">
        <v>0</v>
      </c>
      <c r="J1074" s="1">
        <v>403421.61700000003</v>
      </c>
      <c r="K1074" s="1">
        <v>281593.43800000002</v>
      </c>
      <c r="L1074" s="1">
        <v>403522.46500000003</v>
      </c>
      <c r="M1074" s="1">
        <v>281470.15700000001</v>
      </c>
      <c r="N1074" t="s">
        <v>40</v>
      </c>
      <c r="P1074" t="s">
        <v>40</v>
      </c>
      <c r="Q1074">
        <v>0</v>
      </c>
      <c r="R1074">
        <v>0</v>
      </c>
      <c r="S1074">
        <v>0</v>
      </c>
      <c r="T1074">
        <v>6</v>
      </c>
      <c r="U1074">
        <v>6</v>
      </c>
      <c r="V1074">
        <v>1</v>
      </c>
      <c r="W1074">
        <v>2</v>
      </c>
      <c r="X1074" t="s">
        <v>40</v>
      </c>
      <c r="Y1074">
        <v>3</v>
      </c>
      <c r="Z1074">
        <v>89</v>
      </c>
      <c r="AA1074">
        <v>1</v>
      </c>
      <c r="AB1074">
        <v>0</v>
      </c>
      <c r="AC1074">
        <v>463.15800000000002</v>
      </c>
      <c r="AD1074">
        <v>5059</v>
      </c>
      <c r="AH1074">
        <v>0</v>
      </c>
      <c r="AI1074">
        <v>0</v>
      </c>
      <c r="AL1074" t="s">
        <v>40</v>
      </c>
      <c r="AM1074" t="str">
        <f t="shared" si="87"/>
        <v>89 1</v>
      </c>
      <c r="AN1074" s="6" t="s">
        <v>1603</v>
      </c>
      <c r="AO1074" s="6" t="s">
        <v>1601</v>
      </c>
      <c r="AQ1074" t="s">
        <v>1927</v>
      </c>
      <c r="AR1074" t="s">
        <v>2837</v>
      </c>
    </row>
    <row r="1075" spans="1:44" x14ac:dyDescent="0.3">
      <c r="A1075">
        <v>3869</v>
      </c>
      <c r="B1075">
        <v>4</v>
      </c>
      <c r="C1075">
        <v>4012946</v>
      </c>
      <c r="D1075">
        <v>12474</v>
      </c>
      <c r="E1075">
        <v>2</v>
      </c>
      <c r="F1075">
        <v>670050</v>
      </c>
      <c r="G1075" t="s">
        <v>120</v>
      </c>
      <c r="H1075" t="s">
        <v>65</v>
      </c>
      <c r="I1075">
        <v>0</v>
      </c>
      <c r="J1075" s="1">
        <v>403421.61700000003</v>
      </c>
      <c r="K1075" s="1">
        <v>281593.43800000002</v>
      </c>
      <c r="L1075" s="1">
        <v>403397.71899999998</v>
      </c>
      <c r="M1075" s="1">
        <v>281616.19</v>
      </c>
      <c r="N1075" t="s">
        <v>40</v>
      </c>
      <c r="P1075" t="s">
        <v>40</v>
      </c>
      <c r="Q1075">
        <v>0</v>
      </c>
      <c r="R1075">
        <v>0</v>
      </c>
      <c r="S1075">
        <v>0</v>
      </c>
      <c r="T1075">
        <v>6</v>
      </c>
      <c r="U1075">
        <v>6</v>
      </c>
      <c r="V1075">
        <v>1</v>
      </c>
      <c r="W1075">
        <v>2</v>
      </c>
      <c r="X1075" t="s">
        <v>40</v>
      </c>
      <c r="Y1075">
        <v>3</v>
      </c>
      <c r="Z1075">
        <v>90</v>
      </c>
      <c r="AA1075">
        <v>1</v>
      </c>
      <c r="AB1075">
        <v>0</v>
      </c>
      <c r="AC1075">
        <v>84.926999999999992</v>
      </c>
      <c r="AD1075">
        <v>5059</v>
      </c>
      <c r="AH1075">
        <v>0</v>
      </c>
      <c r="AI1075">
        <v>0</v>
      </c>
      <c r="AL1075" t="s">
        <v>40</v>
      </c>
      <c r="AM1075" t="str">
        <f t="shared" si="87"/>
        <v>90 1</v>
      </c>
      <c r="AN1075" s="6" t="s">
        <v>657</v>
      </c>
      <c r="AO1075" s="6" t="s">
        <v>1601</v>
      </c>
      <c r="AQ1075" t="s">
        <v>832</v>
      </c>
      <c r="AR1075" t="s">
        <v>2837</v>
      </c>
    </row>
    <row r="1076" spans="1:44" x14ac:dyDescent="0.3">
      <c r="A1076">
        <v>3869</v>
      </c>
      <c r="B1076">
        <v>4</v>
      </c>
      <c r="C1076">
        <v>4023359</v>
      </c>
      <c r="D1076">
        <v>23050</v>
      </c>
      <c r="E1076">
        <v>2</v>
      </c>
      <c r="F1076">
        <v>670050</v>
      </c>
      <c r="G1076" t="s">
        <v>120</v>
      </c>
      <c r="H1076" t="s">
        <v>43</v>
      </c>
      <c r="I1076">
        <v>0</v>
      </c>
      <c r="J1076" s="1">
        <v>405123.359</v>
      </c>
      <c r="K1076" s="1">
        <v>280974.98300000001</v>
      </c>
      <c r="L1076" s="1">
        <v>405000</v>
      </c>
      <c r="M1076" s="1">
        <v>280919.212</v>
      </c>
      <c r="N1076" t="s">
        <v>40</v>
      </c>
      <c r="P1076" t="s">
        <v>40</v>
      </c>
      <c r="Q1076">
        <v>0</v>
      </c>
      <c r="R1076">
        <v>0</v>
      </c>
      <c r="S1076">
        <v>0</v>
      </c>
      <c r="T1076">
        <v>7</v>
      </c>
      <c r="U1076">
        <v>6</v>
      </c>
      <c r="V1076">
        <v>1</v>
      </c>
      <c r="W1076">
        <v>1</v>
      </c>
      <c r="X1076" t="s">
        <v>40</v>
      </c>
      <c r="Y1076">
        <v>3</v>
      </c>
      <c r="Z1076">
        <v>316</v>
      </c>
      <c r="AA1076">
        <v>99</v>
      </c>
      <c r="AB1076">
        <v>0</v>
      </c>
      <c r="AC1076">
        <v>137.315</v>
      </c>
      <c r="AD1076">
        <v>5059</v>
      </c>
      <c r="AH1076">
        <v>0</v>
      </c>
      <c r="AI1076">
        <v>0</v>
      </c>
      <c r="AL1076" t="s">
        <v>40</v>
      </c>
      <c r="AM1076" t="str">
        <f t="shared" si="87"/>
        <v>316 99</v>
      </c>
      <c r="AN1076" t="str">
        <f t="shared" si="88"/>
        <v>405123.359,280974.983</v>
      </c>
      <c r="AO1076" t="str">
        <f t="shared" si="89"/>
        <v>405000,280919.212</v>
      </c>
      <c r="AQ1076" t="s">
        <v>1926</v>
      </c>
      <c r="AR1076" t="s">
        <v>2823</v>
      </c>
    </row>
    <row r="1077" spans="1:44" x14ac:dyDescent="0.3">
      <c r="A1077">
        <v>3869</v>
      </c>
      <c r="B1077">
        <v>4</v>
      </c>
      <c r="C1077">
        <v>4012909</v>
      </c>
      <c r="D1077">
        <v>60980</v>
      </c>
      <c r="E1077">
        <v>2</v>
      </c>
      <c r="F1077">
        <v>670050</v>
      </c>
      <c r="G1077" t="s">
        <v>120</v>
      </c>
      <c r="H1077" t="s">
        <v>65</v>
      </c>
      <c r="I1077">
        <v>0</v>
      </c>
      <c r="J1077" s="1">
        <v>403415.12800000003</v>
      </c>
      <c r="K1077" s="1">
        <v>281244.56699999998</v>
      </c>
      <c r="L1077" s="1">
        <v>403502.01299999998</v>
      </c>
      <c r="M1077" s="1">
        <v>281220.36900000001</v>
      </c>
      <c r="N1077" t="s">
        <v>40</v>
      </c>
      <c r="P1077" t="s">
        <v>40</v>
      </c>
      <c r="Q1077">
        <v>0</v>
      </c>
      <c r="R1077">
        <v>0</v>
      </c>
      <c r="S1077">
        <v>0</v>
      </c>
      <c r="T1077">
        <v>6</v>
      </c>
      <c r="U1077">
        <v>6</v>
      </c>
      <c r="V1077">
        <v>1</v>
      </c>
      <c r="W1077">
        <v>1</v>
      </c>
      <c r="X1077" t="s">
        <v>40</v>
      </c>
      <c r="Y1077">
        <v>3</v>
      </c>
      <c r="Z1077">
        <v>92</v>
      </c>
      <c r="AA1077">
        <v>99</v>
      </c>
      <c r="AB1077">
        <v>0</v>
      </c>
      <c r="AC1077">
        <v>152.23699999999999</v>
      </c>
      <c r="AD1077">
        <v>5059</v>
      </c>
      <c r="AH1077">
        <v>0</v>
      </c>
      <c r="AI1077">
        <v>0</v>
      </c>
      <c r="AL1077" t="s">
        <v>40</v>
      </c>
      <c r="AM1077" t="str">
        <f t="shared" si="87"/>
        <v>92 99</v>
      </c>
      <c r="AN1077" t="str">
        <f t="shared" si="88"/>
        <v>403415.128,281244.567</v>
      </c>
      <c r="AO1077" t="str">
        <f t="shared" si="89"/>
        <v>403502.013,281220.369</v>
      </c>
      <c r="AQ1077" t="s">
        <v>1927</v>
      </c>
      <c r="AR1077" t="s">
        <v>1928</v>
      </c>
    </row>
    <row r="1078" spans="1:44" x14ac:dyDescent="0.3">
      <c r="A1078">
        <v>3869</v>
      </c>
      <c r="B1078">
        <v>4</v>
      </c>
      <c r="C1078">
        <v>4013045</v>
      </c>
      <c r="D1078">
        <v>11428</v>
      </c>
      <c r="E1078">
        <v>2</v>
      </c>
      <c r="F1078">
        <v>670050</v>
      </c>
      <c r="G1078" t="s">
        <v>120</v>
      </c>
      <c r="H1078" t="s">
        <v>65</v>
      </c>
      <c r="I1078">
        <v>0</v>
      </c>
      <c r="J1078" s="1">
        <v>403131.13</v>
      </c>
      <c r="K1078" s="1">
        <v>281043.41600000003</v>
      </c>
      <c r="L1078" s="1">
        <v>403114.60100000002</v>
      </c>
      <c r="M1078" s="1">
        <v>281065.53700000001</v>
      </c>
      <c r="N1078" t="s">
        <v>40</v>
      </c>
      <c r="P1078" t="s">
        <v>40</v>
      </c>
      <c r="Q1078">
        <v>0</v>
      </c>
      <c r="R1078">
        <v>0</v>
      </c>
      <c r="S1078">
        <v>0</v>
      </c>
      <c r="T1078">
        <v>6</v>
      </c>
      <c r="U1078">
        <v>6</v>
      </c>
      <c r="V1078">
        <v>1</v>
      </c>
      <c r="W1078">
        <v>2</v>
      </c>
      <c r="X1078" t="s">
        <v>40</v>
      </c>
      <c r="Y1078">
        <v>3</v>
      </c>
      <c r="Z1078">
        <v>38</v>
      </c>
      <c r="AA1078">
        <v>1</v>
      </c>
      <c r="AB1078">
        <v>0</v>
      </c>
      <c r="AC1078">
        <v>79.347000000000008</v>
      </c>
      <c r="AD1078">
        <v>5059</v>
      </c>
      <c r="AH1078">
        <v>0</v>
      </c>
      <c r="AI1078">
        <v>0</v>
      </c>
      <c r="AL1078" t="s">
        <v>40</v>
      </c>
      <c r="AM1078" t="str">
        <f t="shared" si="87"/>
        <v>38 1</v>
      </c>
      <c r="AN1078" s="6" t="s">
        <v>1607</v>
      </c>
      <c r="AO1078" s="6" t="s">
        <v>1605</v>
      </c>
      <c r="AQ1078" t="s">
        <v>2838</v>
      </c>
      <c r="AR1078" t="s">
        <v>1929</v>
      </c>
    </row>
    <row r="1079" spans="1:44" x14ac:dyDescent="0.3">
      <c r="A1079">
        <v>3869</v>
      </c>
      <c r="B1079">
        <v>4</v>
      </c>
      <c r="C1079">
        <v>4012949</v>
      </c>
      <c r="D1079">
        <v>12152</v>
      </c>
      <c r="E1079">
        <v>2</v>
      </c>
      <c r="F1079">
        <v>670050</v>
      </c>
      <c r="G1079" t="s">
        <v>120</v>
      </c>
      <c r="H1079" t="s">
        <v>65</v>
      </c>
      <c r="I1079">
        <v>0</v>
      </c>
      <c r="J1079" s="1">
        <v>403340.19900000002</v>
      </c>
      <c r="K1079" s="1">
        <v>281126.62099999998</v>
      </c>
      <c r="L1079" s="1">
        <v>403415.12800000003</v>
      </c>
      <c r="M1079" s="1">
        <v>281244.56699999998</v>
      </c>
      <c r="N1079" t="s">
        <v>40</v>
      </c>
      <c r="P1079" t="s">
        <v>40</v>
      </c>
      <c r="Q1079">
        <v>0</v>
      </c>
      <c r="R1079">
        <v>0</v>
      </c>
      <c r="S1079">
        <v>0</v>
      </c>
      <c r="T1079">
        <v>6</v>
      </c>
      <c r="U1079">
        <v>6</v>
      </c>
      <c r="V1079">
        <v>1</v>
      </c>
      <c r="W1079">
        <v>1</v>
      </c>
      <c r="X1079" t="s">
        <v>40</v>
      </c>
      <c r="Y1079">
        <v>3</v>
      </c>
      <c r="Z1079">
        <v>89</v>
      </c>
      <c r="AA1079">
        <v>1</v>
      </c>
      <c r="AB1079">
        <v>0</v>
      </c>
      <c r="AC1079">
        <v>140.041</v>
      </c>
      <c r="AD1079">
        <v>5059</v>
      </c>
      <c r="AH1079">
        <v>0</v>
      </c>
      <c r="AI1079">
        <v>0</v>
      </c>
      <c r="AL1079" t="s">
        <v>40</v>
      </c>
      <c r="AM1079" t="str">
        <f t="shared" si="87"/>
        <v>89 1</v>
      </c>
      <c r="AN1079" t="str">
        <f t="shared" si="88"/>
        <v>403340.199,281126.621</v>
      </c>
      <c r="AO1079" t="str">
        <f t="shared" si="89"/>
        <v>403415.128,281244.567</v>
      </c>
      <c r="AQ1079" t="s">
        <v>2839</v>
      </c>
      <c r="AR1079" t="s">
        <v>1927</v>
      </c>
    </row>
    <row r="1080" spans="1:44" x14ac:dyDescent="0.3">
      <c r="A1080">
        <v>3869</v>
      </c>
      <c r="B1080">
        <v>4</v>
      </c>
      <c r="C1080">
        <v>4013043</v>
      </c>
      <c r="D1080">
        <v>64157</v>
      </c>
      <c r="E1080">
        <v>2</v>
      </c>
      <c r="F1080">
        <v>670050</v>
      </c>
      <c r="G1080" t="s">
        <v>120</v>
      </c>
      <c r="H1080" t="s">
        <v>65</v>
      </c>
      <c r="I1080">
        <v>0</v>
      </c>
      <c r="J1080" s="1">
        <v>403139.64299999998</v>
      </c>
      <c r="K1080" s="1">
        <v>281102.35200000001</v>
      </c>
      <c r="L1080" s="1">
        <v>403062.60600000003</v>
      </c>
      <c r="M1080" s="1">
        <v>281149.576</v>
      </c>
      <c r="N1080" t="s">
        <v>40</v>
      </c>
      <c r="P1080" t="s">
        <v>40</v>
      </c>
      <c r="Q1080">
        <v>0</v>
      </c>
      <c r="R1080">
        <v>0</v>
      </c>
      <c r="S1080">
        <v>0</v>
      </c>
      <c r="T1080">
        <v>6</v>
      </c>
      <c r="U1080">
        <v>6</v>
      </c>
      <c r="V1080">
        <v>1</v>
      </c>
      <c r="W1080">
        <v>2</v>
      </c>
      <c r="X1080" t="s">
        <v>40</v>
      </c>
      <c r="Y1080">
        <v>3</v>
      </c>
      <c r="Z1080">
        <v>52</v>
      </c>
      <c r="AA1080">
        <v>1</v>
      </c>
      <c r="AB1080">
        <v>0</v>
      </c>
      <c r="AC1080">
        <v>108.794</v>
      </c>
      <c r="AD1080">
        <v>5059</v>
      </c>
      <c r="AH1080">
        <v>0</v>
      </c>
      <c r="AI1080">
        <v>0</v>
      </c>
      <c r="AL1080" t="s">
        <v>40</v>
      </c>
      <c r="AM1080" t="str">
        <f t="shared" si="87"/>
        <v>52 1</v>
      </c>
      <c r="AN1080" t="str">
        <f t="shared" si="88"/>
        <v>403139.643,281102.352</v>
      </c>
      <c r="AO1080" t="str">
        <f t="shared" si="89"/>
        <v>403062.606,281149.576</v>
      </c>
      <c r="AQ1080" t="s">
        <v>2838</v>
      </c>
      <c r="AR1080" t="s">
        <v>1930</v>
      </c>
    </row>
    <row r="1081" spans="1:44" x14ac:dyDescent="0.3">
      <c r="A1081">
        <v>3869</v>
      </c>
      <c r="B1081">
        <v>4</v>
      </c>
      <c r="C1081">
        <v>4013016</v>
      </c>
      <c r="D1081">
        <v>64140</v>
      </c>
      <c r="E1081">
        <v>2</v>
      </c>
      <c r="F1081">
        <v>670050</v>
      </c>
      <c r="G1081" t="s">
        <v>120</v>
      </c>
      <c r="H1081" t="s">
        <v>65</v>
      </c>
      <c r="I1081">
        <v>0</v>
      </c>
      <c r="J1081" s="1">
        <v>403131.13</v>
      </c>
      <c r="K1081" s="1">
        <v>281043.41600000003</v>
      </c>
      <c r="L1081" s="1">
        <v>403131.84399999998</v>
      </c>
      <c r="M1081" s="1">
        <v>281044.64899999998</v>
      </c>
      <c r="N1081" t="s">
        <v>40</v>
      </c>
      <c r="P1081" t="s">
        <v>40</v>
      </c>
      <c r="Q1081">
        <v>0</v>
      </c>
      <c r="R1081">
        <v>0</v>
      </c>
      <c r="S1081">
        <v>0</v>
      </c>
      <c r="T1081">
        <v>6</v>
      </c>
      <c r="U1081">
        <v>6</v>
      </c>
      <c r="V1081">
        <v>1</v>
      </c>
      <c r="W1081">
        <v>1</v>
      </c>
      <c r="X1081" t="s">
        <v>40</v>
      </c>
      <c r="Y1081">
        <v>3</v>
      </c>
      <c r="Z1081">
        <v>38</v>
      </c>
      <c r="AA1081">
        <v>5001</v>
      </c>
      <c r="AB1081">
        <v>0</v>
      </c>
      <c r="AC1081">
        <v>2.7309999999999999</v>
      </c>
      <c r="AD1081">
        <v>5059</v>
      </c>
      <c r="AH1081">
        <v>0</v>
      </c>
      <c r="AI1081">
        <v>0</v>
      </c>
      <c r="AL1081" t="s">
        <v>40</v>
      </c>
      <c r="AM1081" t="str">
        <f t="shared" si="87"/>
        <v>38 5001</v>
      </c>
      <c r="AN1081" t="str">
        <f t="shared" si="88"/>
        <v>403131.13,281043.416</v>
      </c>
      <c r="AO1081" t="str">
        <f t="shared" si="89"/>
        <v>403131.844,281044.649</v>
      </c>
      <c r="AQ1081" t="s">
        <v>1929</v>
      </c>
      <c r="AR1081" t="s">
        <v>833</v>
      </c>
    </row>
    <row r="1082" spans="1:44" x14ac:dyDescent="0.3">
      <c r="A1082">
        <v>3869</v>
      </c>
      <c r="B1082">
        <v>4</v>
      </c>
      <c r="C1082">
        <v>4017226</v>
      </c>
      <c r="D1082">
        <v>16201</v>
      </c>
      <c r="E1082">
        <v>2</v>
      </c>
      <c r="F1082">
        <v>670050</v>
      </c>
      <c r="G1082" t="s">
        <v>120</v>
      </c>
      <c r="H1082" t="s">
        <v>63</v>
      </c>
      <c r="I1082">
        <v>0</v>
      </c>
      <c r="J1082" s="1">
        <v>403187.34600000002</v>
      </c>
      <c r="K1082" s="1">
        <v>280839.73800000001</v>
      </c>
      <c r="L1082" s="1">
        <v>403185.87300000002</v>
      </c>
      <c r="M1082" s="1">
        <v>280843.48700000002</v>
      </c>
      <c r="N1082" t="s">
        <v>40</v>
      </c>
      <c r="P1082" t="s">
        <v>40</v>
      </c>
      <c r="Q1082">
        <v>0</v>
      </c>
      <c r="R1082">
        <v>0</v>
      </c>
      <c r="S1082">
        <v>0</v>
      </c>
      <c r="T1082">
        <v>6</v>
      </c>
      <c r="U1082">
        <v>6</v>
      </c>
      <c r="V1082">
        <v>1</v>
      </c>
      <c r="W1082">
        <v>1</v>
      </c>
      <c r="X1082" t="s">
        <v>40</v>
      </c>
      <c r="Y1082">
        <v>3</v>
      </c>
      <c r="Z1082">
        <v>38</v>
      </c>
      <c r="AA1082">
        <v>1</v>
      </c>
      <c r="AB1082">
        <v>0</v>
      </c>
      <c r="AC1082">
        <v>4.0279999999999996</v>
      </c>
      <c r="AD1082">
        <v>5059</v>
      </c>
      <c r="AH1082">
        <v>0</v>
      </c>
      <c r="AI1082">
        <v>0</v>
      </c>
      <c r="AL1082" t="s">
        <v>40</v>
      </c>
      <c r="AM1082" t="str">
        <f t="shared" si="87"/>
        <v>38 1</v>
      </c>
      <c r="AN1082" t="str">
        <f t="shared" si="88"/>
        <v>403187.346,280839.738</v>
      </c>
      <c r="AO1082" t="str">
        <f t="shared" si="89"/>
        <v>403185.873,280843.487</v>
      </c>
      <c r="AQ1082" t="s">
        <v>2831</v>
      </c>
      <c r="AR1082" t="s">
        <v>2834</v>
      </c>
    </row>
    <row r="1083" spans="1:44" x14ac:dyDescent="0.3">
      <c r="A1083">
        <v>3869</v>
      </c>
      <c r="B1083">
        <v>4</v>
      </c>
      <c r="C1083">
        <v>4013000</v>
      </c>
      <c r="D1083">
        <v>64141</v>
      </c>
      <c r="E1083">
        <v>2</v>
      </c>
      <c r="F1083">
        <v>670050</v>
      </c>
      <c r="G1083" t="s">
        <v>120</v>
      </c>
      <c r="H1083" t="s">
        <v>65</v>
      </c>
      <c r="I1083">
        <v>0</v>
      </c>
      <c r="J1083" s="1">
        <v>403129.859</v>
      </c>
      <c r="K1083" s="1">
        <v>281044.23100000003</v>
      </c>
      <c r="L1083" s="1">
        <v>403131.49099999998</v>
      </c>
      <c r="M1083" s="1">
        <v>281044.44699999999</v>
      </c>
      <c r="N1083" t="s">
        <v>40</v>
      </c>
      <c r="P1083" t="s">
        <v>40</v>
      </c>
      <c r="Q1083">
        <v>0</v>
      </c>
      <c r="R1083">
        <v>0</v>
      </c>
      <c r="S1083">
        <v>0</v>
      </c>
      <c r="T1083">
        <v>6</v>
      </c>
      <c r="U1083">
        <v>6</v>
      </c>
      <c r="V1083">
        <v>1</v>
      </c>
      <c r="W1083">
        <v>3</v>
      </c>
      <c r="X1083" t="s">
        <v>40</v>
      </c>
      <c r="Y1083">
        <v>3</v>
      </c>
      <c r="Z1083">
        <v>36</v>
      </c>
      <c r="AA1083">
        <v>5001</v>
      </c>
      <c r="AB1083">
        <v>0</v>
      </c>
      <c r="AC1083">
        <v>1.6459999999999999</v>
      </c>
      <c r="AD1083">
        <v>5059</v>
      </c>
      <c r="AH1083">
        <v>0</v>
      </c>
      <c r="AI1083">
        <v>0</v>
      </c>
      <c r="AL1083" t="s">
        <v>40</v>
      </c>
      <c r="AM1083" t="str">
        <f t="shared" si="87"/>
        <v>36 5001</v>
      </c>
      <c r="AN1083" t="str">
        <f t="shared" si="88"/>
        <v>403129.859,281044.231</v>
      </c>
      <c r="AO1083" t="str">
        <f t="shared" si="89"/>
        <v>403131.491,281044.447</v>
      </c>
      <c r="AQ1083" t="s">
        <v>1931</v>
      </c>
      <c r="AR1083" t="s">
        <v>833</v>
      </c>
    </row>
    <row r="1084" spans="1:44" x14ac:dyDescent="0.3">
      <c r="A1084">
        <v>3869</v>
      </c>
      <c r="B1084">
        <v>4</v>
      </c>
      <c r="C1084">
        <v>4012999</v>
      </c>
      <c r="D1084">
        <v>64139</v>
      </c>
      <c r="E1084">
        <v>2</v>
      </c>
      <c r="F1084">
        <v>670050</v>
      </c>
      <c r="G1084" t="s">
        <v>120</v>
      </c>
      <c r="H1084" t="s">
        <v>65</v>
      </c>
      <c r="I1084">
        <v>0</v>
      </c>
      <c r="J1084" s="1">
        <v>403130.01500000001</v>
      </c>
      <c r="K1084" s="1">
        <v>281042.68800000002</v>
      </c>
      <c r="L1084" s="1">
        <v>403131.83299999998</v>
      </c>
      <c r="M1084" s="1">
        <v>281044.31</v>
      </c>
      <c r="N1084" t="s">
        <v>40</v>
      </c>
      <c r="P1084" t="s">
        <v>40</v>
      </c>
      <c r="Q1084">
        <v>0</v>
      </c>
      <c r="R1084">
        <v>0</v>
      </c>
      <c r="S1084">
        <v>0</v>
      </c>
      <c r="T1084">
        <v>6</v>
      </c>
      <c r="U1084">
        <v>6</v>
      </c>
      <c r="V1084">
        <v>1</v>
      </c>
      <c r="W1084">
        <v>1</v>
      </c>
      <c r="X1084" t="s">
        <v>40</v>
      </c>
      <c r="Y1084">
        <v>3</v>
      </c>
      <c r="Z1084">
        <v>38</v>
      </c>
      <c r="AA1084">
        <v>5001</v>
      </c>
      <c r="AB1084">
        <v>0</v>
      </c>
      <c r="AC1084">
        <v>2.8420000000000001</v>
      </c>
      <c r="AD1084">
        <v>5059</v>
      </c>
      <c r="AH1084">
        <v>0</v>
      </c>
      <c r="AI1084">
        <v>0</v>
      </c>
      <c r="AL1084" t="s">
        <v>40</v>
      </c>
      <c r="AM1084" t="str">
        <f t="shared" si="87"/>
        <v>38 5001</v>
      </c>
      <c r="AN1084" t="str">
        <f t="shared" si="88"/>
        <v>403130.015,281042.688</v>
      </c>
      <c r="AO1084" t="str">
        <f t="shared" si="89"/>
        <v>403131.833,281044.31</v>
      </c>
      <c r="AQ1084" t="s">
        <v>2832</v>
      </c>
      <c r="AR1084" t="s">
        <v>832</v>
      </c>
    </row>
    <row r="1085" spans="1:44" x14ac:dyDescent="0.3">
      <c r="A1085">
        <v>3869</v>
      </c>
      <c r="B1085">
        <v>4</v>
      </c>
      <c r="C1085">
        <v>4012957</v>
      </c>
      <c r="D1085">
        <v>62634</v>
      </c>
      <c r="E1085">
        <v>2</v>
      </c>
      <c r="F1085">
        <v>670050</v>
      </c>
      <c r="G1085" t="s">
        <v>120</v>
      </c>
      <c r="H1085" t="s">
        <v>65</v>
      </c>
      <c r="I1085">
        <v>0</v>
      </c>
      <c r="J1085" s="1">
        <v>403340.19900000002</v>
      </c>
      <c r="K1085" s="1">
        <v>281126.62099999998</v>
      </c>
      <c r="L1085" s="1">
        <v>403297.23300000001</v>
      </c>
      <c r="M1085" s="1">
        <v>281160.26199999999</v>
      </c>
      <c r="N1085" t="s">
        <v>40</v>
      </c>
      <c r="P1085" t="s">
        <v>40</v>
      </c>
      <c r="Q1085">
        <v>0</v>
      </c>
      <c r="R1085">
        <v>0</v>
      </c>
      <c r="S1085">
        <v>0</v>
      </c>
      <c r="T1085">
        <v>6</v>
      </c>
      <c r="U1085">
        <v>6</v>
      </c>
      <c r="V1085">
        <v>1</v>
      </c>
      <c r="W1085">
        <v>1</v>
      </c>
      <c r="X1085" t="s">
        <v>40</v>
      </c>
      <c r="Y1085">
        <v>3</v>
      </c>
      <c r="Z1085">
        <v>90</v>
      </c>
      <c r="AA1085">
        <v>1</v>
      </c>
      <c r="AB1085">
        <v>0</v>
      </c>
      <c r="AC1085">
        <v>70.248999999999995</v>
      </c>
      <c r="AD1085">
        <v>5059</v>
      </c>
      <c r="AH1085">
        <v>0</v>
      </c>
      <c r="AI1085">
        <v>0</v>
      </c>
      <c r="AL1085" t="s">
        <v>40</v>
      </c>
      <c r="AM1085" t="str">
        <f t="shared" si="87"/>
        <v>90 1</v>
      </c>
      <c r="AN1085" t="str">
        <f t="shared" si="88"/>
        <v>403340.199,281126.621</v>
      </c>
      <c r="AO1085" t="str">
        <f t="shared" si="89"/>
        <v>403297.233,281160.262</v>
      </c>
      <c r="AQ1085" t="s">
        <v>2839</v>
      </c>
      <c r="AR1085" t="s">
        <v>1932</v>
      </c>
    </row>
    <row r="1086" spans="1:44" x14ac:dyDescent="0.3">
      <c r="A1086">
        <v>3869</v>
      </c>
      <c r="B1086">
        <v>4</v>
      </c>
      <c r="C1086">
        <v>4020636</v>
      </c>
      <c r="D1086">
        <v>22553</v>
      </c>
      <c r="E1086">
        <v>2</v>
      </c>
      <c r="F1086">
        <v>670050</v>
      </c>
      <c r="G1086" t="s">
        <v>121</v>
      </c>
      <c r="H1086" t="s">
        <v>41</v>
      </c>
      <c r="I1086">
        <v>0</v>
      </c>
      <c r="J1086" s="1">
        <v>405135.92499999999</v>
      </c>
      <c r="K1086" s="1">
        <v>281037.41700000002</v>
      </c>
      <c r="L1086" s="1">
        <v>405139.13699999999</v>
      </c>
      <c r="M1086" s="1">
        <v>281008.72499999998</v>
      </c>
      <c r="N1086" t="s">
        <v>40</v>
      </c>
      <c r="P1086" t="s">
        <v>40</v>
      </c>
      <c r="Q1086">
        <v>0</v>
      </c>
      <c r="R1086">
        <v>0</v>
      </c>
      <c r="S1086">
        <v>0</v>
      </c>
      <c r="T1086">
        <v>6</v>
      </c>
      <c r="U1086">
        <v>6</v>
      </c>
      <c r="V1086">
        <v>1</v>
      </c>
      <c r="W1086">
        <v>1</v>
      </c>
      <c r="X1086" t="s">
        <v>40</v>
      </c>
      <c r="Y1086">
        <v>3</v>
      </c>
      <c r="Z1086">
        <v>169</v>
      </c>
      <c r="AA1086">
        <v>99</v>
      </c>
      <c r="AB1086">
        <v>0</v>
      </c>
      <c r="AC1086">
        <v>31.202000000000002</v>
      </c>
      <c r="AD1086">
        <v>5059</v>
      </c>
      <c r="AH1086">
        <v>0</v>
      </c>
      <c r="AI1086">
        <v>0</v>
      </c>
      <c r="AL1086" t="s">
        <v>40</v>
      </c>
      <c r="AM1086" t="str">
        <f t="shared" si="87"/>
        <v>169 99</v>
      </c>
      <c r="AN1086" t="str">
        <f t="shared" si="88"/>
        <v>405135.925,281037.417</v>
      </c>
      <c r="AO1086" t="str">
        <f t="shared" si="89"/>
        <v>405139.137,281008.725</v>
      </c>
      <c r="AQ1086" t="s">
        <v>1933</v>
      </c>
      <c r="AR1086" t="s">
        <v>1933</v>
      </c>
    </row>
    <row r="1087" spans="1:44" x14ac:dyDescent="0.3">
      <c r="A1087">
        <v>3869</v>
      </c>
      <c r="B1087">
        <v>4</v>
      </c>
      <c r="C1087">
        <v>4020641</v>
      </c>
      <c r="D1087">
        <v>22558</v>
      </c>
      <c r="E1087">
        <v>2</v>
      </c>
      <c r="F1087">
        <v>670050</v>
      </c>
      <c r="G1087" t="s">
        <v>122</v>
      </c>
      <c r="H1087" t="s">
        <v>41</v>
      </c>
      <c r="I1087">
        <v>0</v>
      </c>
      <c r="J1087" s="1">
        <v>405131.72700000001</v>
      </c>
      <c r="K1087" s="1">
        <v>281052.141</v>
      </c>
      <c r="L1087" s="1">
        <v>405130.35499999998</v>
      </c>
      <c r="M1087" s="1">
        <v>281036.989</v>
      </c>
      <c r="N1087" t="s">
        <v>40</v>
      </c>
      <c r="P1087" t="s">
        <v>40</v>
      </c>
      <c r="Q1087">
        <v>0</v>
      </c>
      <c r="R1087">
        <v>0</v>
      </c>
      <c r="S1087">
        <v>0</v>
      </c>
      <c r="T1087">
        <v>6</v>
      </c>
      <c r="U1087">
        <v>6</v>
      </c>
      <c r="V1087">
        <v>1</v>
      </c>
      <c r="W1087">
        <v>1</v>
      </c>
      <c r="X1087" t="s">
        <v>40</v>
      </c>
      <c r="Y1087">
        <v>3</v>
      </c>
      <c r="Z1087">
        <v>169</v>
      </c>
      <c r="AA1087">
        <v>99</v>
      </c>
      <c r="AB1087">
        <v>0</v>
      </c>
      <c r="AC1087">
        <v>53.296999999999997</v>
      </c>
      <c r="AD1087">
        <v>5059</v>
      </c>
      <c r="AH1087">
        <v>0</v>
      </c>
      <c r="AI1087">
        <v>0</v>
      </c>
      <c r="AL1087" t="s">
        <v>40</v>
      </c>
      <c r="AM1087" t="str">
        <f t="shared" si="87"/>
        <v>169 99</v>
      </c>
      <c r="AN1087" s="6" t="s">
        <v>1612</v>
      </c>
      <c r="AO1087" s="6" t="s">
        <v>1804</v>
      </c>
      <c r="AQ1087" t="s">
        <v>2840</v>
      </c>
      <c r="AR1087" t="s">
        <v>1934</v>
      </c>
    </row>
    <row r="1088" spans="1:44" x14ac:dyDescent="0.3">
      <c r="A1088">
        <v>3869</v>
      </c>
      <c r="B1088">
        <v>4</v>
      </c>
      <c r="C1088">
        <v>4020643</v>
      </c>
      <c r="D1088">
        <v>22560</v>
      </c>
      <c r="E1088">
        <v>2</v>
      </c>
      <c r="F1088">
        <v>670050</v>
      </c>
      <c r="G1088" t="s">
        <v>123</v>
      </c>
      <c r="H1088" t="s">
        <v>41</v>
      </c>
      <c r="I1088">
        <v>0</v>
      </c>
      <c r="J1088" s="1">
        <v>405129.59600000002</v>
      </c>
      <c r="K1088" s="1">
        <v>281065.37800000003</v>
      </c>
      <c r="L1088" s="1">
        <v>405121.67200000002</v>
      </c>
      <c r="M1088" s="1">
        <v>281033.58299999998</v>
      </c>
      <c r="N1088" t="s">
        <v>40</v>
      </c>
      <c r="P1088" t="s">
        <v>40</v>
      </c>
      <c r="Q1088">
        <v>0</v>
      </c>
      <c r="R1088">
        <v>0</v>
      </c>
      <c r="S1088">
        <v>0</v>
      </c>
      <c r="T1088">
        <v>6</v>
      </c>
      <c r="U1088">
        <v>6</v>
      </c>
      <c r="V1088">
        <v>1</v>
      </c>
      <c r="W1088">
        <v>1</v>
      </c>
      <c r="X1088" t="s">
        <v>40</v>
      </c>
      <c r="Y1088">
        <v>3</v>
      </c>
      <c r="Z1088">
        <v>169</v>
      </c>
      <c r="AA1088">
        <v>99</v>
      </c>
      <c r="AB1088">
        <v>0</v>
      </c>
      <c r="AC1088">
        <v>50.103999999999999</v>
      </c>
      <c r="AD1088">
        <v>5059</v>
      </c>
      <c r="AH1088">
        <v>0</v>
      </c>
      <c r="AI1088">
        <v>0</v>
      </c>
      <c r="AL1088" t="s">
        <v>40</v>
      </c>
      <c r="AM1088" t="str">
        <f t="shared" si="87"/>
        <v>169 99</v>
      </c>
      <c r="AN1088" s="6" t="s">
        <v>1805</v>
      </c>
      <c r="AO1088" s="6" t="s">
        <v>1613</v>
      </c>
      <c r="AQ1088" t="s">
        <v>2841</v>
      </c>
      <c r="AR1088" t="s">
        <v>1935</v>
      </c>
    </row>
    <row r="1089" spans="1:44" x14ac:dyDescent="0.3">
      <c r="A1089">
        <v>3869</v>
      </c>
      <c r="B1089">
        <v>4</v>
      </c>
      <c r="C1089">
        <v>4020682</v>
      </c>
      <c r="D1089">
        <v>22620</v>
      </c>
      <c r="E1089">
        <v>2</v>
      </c>
      <c r="F1089">
        <v>670050</v>
      </c>
      <c r="G1089" t="s">
        <v>124</v>
      </c>
      <c r="H1089" t="s">
        <v>41</v>
      </c>
      <c r="I1089">
        <v>0</v>
      </c>
      <c r="J1089" s="1">
        <v>405129.36</v>
      </c>
      <c r="K1089" s="1">
        <v>281092.58299999998</v>
      </c>
      <c r="L1089" s="1">
        <v>405135.14799999999</v>
      </c>
      <c r="M1089" s="1">
        <v>281000</v>
      </c>
      <c r="N1089" t="s">
        <v>40</v>
      </c>
      <c r="P1089" t="s">
        <v>81</v>
      </c>
      <c r="Q1089">
        <v>0</v>
      </c>
      <c r="R1089">
        <v>0</v>
      </c>
      <c r="S1089">
        <v>0</v>
      </c>
      <c r="T1089">
        <v>6</v>
      </c>
      <c r="U1089">
        <v>6</v>
      </c>
      <c r="V1089">
        <v>1</v>
      </c>
      <c r="W1089">
        <v>1</v>
      </c>
      <c r="X1089" t="s">
        <v>40</v>
      </c>
      <c r="Y1089">
        <v>3</v>
      </c>
      <c r="Z1089">
        <v>169</v>
      </c>
      <c r="AA1089">
        <v>99</v>
      </c>
      <c r="AB1089">
        <v>0</v>
      </c>
      <c r="AC1089">
        <v>109.83499999999999</v>
      </c>
      <c r="AD1089">
        <v>5059</v>
      </c>
      <c r="AH1089">
        <v>0</v>
      </c>
      <c r="AI1089">
        <v>0</v>
      </c>
      <c r="AL1089" t="s">
        <v>40</v>
      </c>
      <c r="AM1089" t="str">
        <f t="shared" si="87"/>
        <v>169 99</v>
      </c>
      <c r="AN1089" s="6" t="s">
        <v>1806</v>
      </c>
      <c r="AO1089" s="6" t="s">
        <v>1614</v>
      </c>
      <c r="AQ1089" t="s">
        <v>1911</v>
      </c>
      <c r="AR1089" t="s">
        <v>1936</v>
      </c>
    </row>
    <row r="1090" spans="1:44" x14ac:dyDescent="0.3">
      <c r="A1090">
        <v>3869</v>
      </c>
      <c r="B1090">
        <v>4</v>
      </c>
      <c r="C1090">
        <v>4020683</v>
      </c>
      <c r="D1090">
        <v>22621</v>
      </c>
      <c r="E1090">
        <v>2</v>
      </c>
      <c r="F1090">
        <v>670050</v>
      </c>
      <c r="G1090" t="s">
        <v>124</v>
      </c>
      <c r="H1090" t="s">
        <v>41</v>
      </c>
      <c r="I1090">
        <v>0</v>
      </c>
      <c r="J1090" s="1">
        <v>405129.07</v>
      </c>
      <c r="K1090" s="1">
        <v>281092.859</v>
      </c>
      <c r="L1090" s="1">
        <v>405134.81900000002</v>
      </c>
      <c r="M1090" s="1">
        <v>281000</v>
      </c>
      <c r="N1090" t="s">
        <v>40</v>
      </c>
      <c r="P1090" t="s">
        <v>81</v>
      </c>
      <c r="Q1090">
        <v>0</v>
      </c>
      <c r="R1090">
        <v>0</v>
      </c>
      <c r="S1090">
        <v>0</v>
      </c>
      <c r="T1090">
        <v>6</v>
      </c>
      <c r="U1090">
        <v>6</v>
      </c>
      <c r="V1090">
        <v>1</v>
      </c>
      <c r="W1090">
        <v>1</v>
      </c>
      <c r="X1090" t="s">
        <v>40</v>
      </c>
      <c r="Y1090">
        <v>3</v>
      </c>
      <c r="Z1090">
        <v>169</v>
      </c>
      <c r="AA1090">
        <v>99</v>
      </c>
      <c r="AB1090">
        <v>0</v>
      </c>
      <c r="AC1090">
        <v>110.56700000000001</v>
      </c>
      <c r="AD1090">
        <v>5059</v>
      </c>
      <c r="AH1090">
        <v>0</v>
      </c>
      <c r="AI1090">
        <v>0</v>
      </c>
      <c r="AL1090" t="s">
        <v>40</v>
      </c>
      <c r="AM1090" t="str">
        <f t="shared" si="87"/>
        <v>169 99</v>
      </c>
      <c r="AN1090" s="6" t="s">
        <v>1807</v>
      </c>
      <c r="AO1090" s="6" t="s">
        <v>1615</v>
      </c>
      <c r="AQ1090" t="s">
        <v>1964</v>
      </c>
      <c r="AR1090" t="s">
        <v>1937</v>
      </c>
    </row>
    <row r="1091" spans="1:44" x14ac:dyDescent="0.3">
      <c r="A1091">
        <v>3869</v>
      </c>
      <c r="B1091">
        <v>4</v>
      </c>
      <c r="C1091">
        <v>4020684</v>
      </c>
      <c r="D1091">
        <v>22622</v>
      </c>
      <c r="E1091">
        <v>2</v>
      </c>
      <c r="F1091">
        <v>670050</v>
      </c>
      <c r="G1091" t="s">
        <v>124</v>
      </c>
      <c r="H1091" t="s">
        <v>41</v>
      </c>
      <c r="I1091">
        <v>0</v>
      </c>
      <c r="J1091" s="1">
        <v>405128.78</v>
      </c>
      <c r="K1091" s="1">
        <v>281093.13500000001</v>
      </c>
      <c r="L1091" s="1">
        <v>405134.49</v>
      </c>
      <c r="M1091" s="1">
        <v>281000</v>
      </c>
      <c r="N1091" t="s">
        <v>40</v>
      </c>
      <c r="P1091" t="s">
        <v>81</v>
      </c>
      <c r="Q1091">
        <v>0</v>
      </c>
      <c r="R1091">
        <v>0</v>
      </c>
      <c r="S1091">
        <v>0</v>
      </c>
      <c r="T1091">
        <v>6</v>
      </c>
      <c r="U1091">
        <v>6</v>
      </c>
      <c r="V1091">
        <v>1</v>
      </c>
      <c r="W1091">
        <v>1</v>
      </c>
      <c r="X1091" t="s">
        <v>40</v>
      </c>
      <c r="Y1091">
        <v>3</v>
      </c>
      <c r="Z1091">
        <v>169</v>
      </c>
      <c r="AA1091">
        <v>99</v>
      </c>
      <c r="AB1091">
        <v>0</v>
      </c>
      <c r="AC1091">
        <v>111.301</v>
      </c>
      <c r="AD1091">
        <v>5059</v>
      </c>
      <c r="AH1091">
        <v>0</v>
      </c>
      <c r="AI1091">
        <v>0</v>
      </c>
      <c r="AL1091" t="s">
        <v>40</v>
      </c>
      <c r="AM1091" t="str">
        <f t="shared" si="87"/>
        <v>169 99</v>
      </c>
      <c r="AN1091" s="6" t="s">
        <v>1808</v>
      </c>
      <c r="AO1091" s="6" t="s">
        <v>1616</v>
      </c>
      <c r="AQ1091" t="s">
        <v>1965</v>
      </c>
      <c r="AR1091" t="s">
        <v>1938</v>
      </c>
    </row>
    <row r="1092" spans="1:44" x14ac:dyDescent="0.3">
      <c r="A1092">
        <v>3869</v>
      </c>
      <c r="B1092">
        <v>4</v>
      </c>
      <c r="C1092">
        <v>4027041</v>
      </c>
      <c r="D1092">
        <v>108036</v>
      </c>
      <c r="E1092">
        <v>2</v>
      </c>
      <c r="F1092">
        <v>670050</v>
      </c>
      <c r="G1092" t="s">
        <v>124</v>
      </c>
      <c r="H1092" t="s">
        <v>41</v>
      </c>
      <c r="I1092">
        <v>0</v>
      </c>
      <c r="J1092" s="1">
        <v>405129.35600000003</v>
      </c>
      <c r="K1092" s="1">
        <v>281093.158</v>
      </c>
      <c r="L1092" s="1">
        <v>405129.63699999999</v>
      </c>
      <c r="M1092" s="1">
        <v>281093.48800000001</v>
      </c>
      <c r="N1092" t="s">
        <v>40</v>
      </c>
      <c r="P1092" t="s">
        <v>40</v>
      </c>
      <c r="Q1092">
        <v>0</v>
      </c>
      <c r="R1092">
        <v>0</v>
      </c>
      <c r="S1092">
        <v>0</v>
      </c>
      <c r="T1092">
        <v>6</v>
      </c>
      <c r="U1092">
        <v>6</v>
      </c>
      <c r="V1092">
        <v>1</v>
      </c>
      <c r="W1092">
        <v>1</v>
      </c>
      <c r="X1092" t="s">
        <v>40</v>
      </c>
      <c r="Y1092">
        <v>3</v>
      </c>
      <c r="Z1092">
        <v>169</v>
      </c>
      <c r="AA1092">
        <v>99</v>
      </c>
      <c r="AB1092">
        <v>0</v>
      </c>
      <c r="AC1092">
        <v>0.433</v>
      </c>
      <c r="AD1092">
        <v>5059</v>
      </c>
      <c r="AH1092">
        <v>0</v>
      </c>
      <c r="AI1092">
        <v>0</v>
      </c>
      <c r="AL1092" t="s">
        <v>40</v>
      </c>
      <c r="AM1092" t="str">
        <f t="shared" si="87"/>
        <v>169 99</v>
      </c>
      <c r="AN1092" t="str">
        <f t="shared" si="88"/>
        <v>405129.356,281093.158</v>
      </c>
      <c r="AO1092" t="str">
        <f t="shared" si="89"/>
        <v>405129.637,281093.488</v>
      </c>
      <c r="AQ1092" t="s">
        <v>1939</v>
      </c>
      <c r="AR1092" t="s">
        <v>1939</v>
      </c>
    </row>
  </sheetData>
  <autoFilter ref="A1:AT626">
    <sortState ref="A2:AR1094">
      <sortCondition ref="AO1:AO1094"/>
    </sortState>
  </autoFilter>
  <sortState ref="L2:AS78">
    <sortCondition ref="AR2:AR78"/>
  </sortState>
  <conditionalFormatting sqref="AQ2:AR59">
    <cfRule type="containsText" dxfId="24" priority="5" operator="containsText" text="Joint16">
      <formula>NOT(ISERROR(SEARCH("Joint16",AQ2)))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624"/>
  <sheetViews>
    <sheetView topLeftCell="A553" workbookViewId="0">
      <selection activeCell="A559" sqref="A559:XFD2330"/>
    </sheetView>
  </sheetViews>
  <sheetFormatPr defaultRowHeight="14.4" x14ac:dyDescent="0.3"/>
  <cols>
    <col min="1" max="1" width="21" bestFit="1" customWidth="1"/>
    <col min="2" max="2" width="40.33203125" bestFit="1" customWidth="1"/>
  </cols>
  <sheetData>
    <row r="1" spans="1:2" x14ac:dyDescent="0.3">
      <c r="A1" t="s">
        <v>132</v>
      </c>
      <c r="B1" t="s">
        <v>127</v>
      </c>
    </row>
    <row r="2" spans="1:2" x14ac:dyDescent="0.3">
      <c r="A2" t="s">
        <v>133</v>
      </c>
      <c r="B2" t="s">
        <v>127</v>
      </c>
    </row>
    <row r="3" spans="1:2" x14ac:dyDescent="0.3">
      <c r="A3" t="s">
        <v>134</v>
      </c>
      <c r="B3" t="s">
        <v>127</v>
      </c>
    </row>
    <row r="4" spans="1:2" x14ac:dyDescent="0.3">
      <c r="A4" t="s">
        <v>135</v>
      </c>
      <c r="B4" t="s">
        <v>128</v>
      </c>
    </row>
    <row r="5" spans="1:2" x14ac:dyDescent="0.3">
      <c r="A5" t="s">
        <v>136</v>
      </c>
      <c r="B5" t="s">
        <v>128</v>
      </c>
    </row>
    <row r="6" spans="1:2" x14ac:dyDescent="0.3">
      <c r="A6" t="s">
        <v>141</v>
      </c>
      <c r="B6" t="s">
        <v>128</v>
      </c>
    </row>
    <row r="7" spans="1:2" x14ac:dyDescent="0.3">
      <c r="A7" t="s">
        <v>142</v>
      </c>
      <c r="B7" t="s">
        <v>129</v>
      </c>
    </row>
    <row r="8" spans="1:2" x14ac:dyDescent="0.3">
      <c r="A8" t="s">
        <v>143</v>
      </c>
      <c r="B8" t="s">
        <v>129</v>
      </c>
    </row>
    <row r="9" spans="1:2" x14ac:dyDescent="0.3">
      <c r="A9" t="s">
        <v>144</v>
      </c>
      <c r="B9" t="s">
        <v>129</v>
      </c>
    </row>
    <row r="10" spans="1:2" x14ac:dyDescent="0.3">
      <c r="A10" t="s">
        <v>145</v>
      </c>
      <c r="B10" t="s">
        <v>129</v>
      </c>
    </row>
    <row r="11" spans="1:2" x14ac:dyDescent="0.3">
      <c r="A11" t="s">
        <v>146</v>
      </c>
      <c r="B11" t="s">
        <v>129</v>
      </c>
    </row>
    <row r="12" spans="1:2" x14ac:dyDescent="0.3">
      <c r="A12" t="s">
        <v>147</v>
      </c>
      <c r="B12" t="s">
        <v>130</v>
      </c>
    </row>
    <row r="13" spans="1:2" x14ac:dyDescent="0.3">
      <c r="A13" t="s">
        <v>148</v>
      </c>
      <c r="B13" t="s">
        <v>130</v>
      </c>
    </row>
    <row r="14" spans="1:2" x14ac:dyDescent="0.3">
      <c r="A14" t="s">
        <v>149</v>
      </c>
      <c r="B14" t="s">
        <v>130</v>
      </c>
    </row>
    <row r="15" spans="1:2" x14ac:dyDescent="0.3">
      <c r="A15" t="s">
        <v>150</v>
      </c>
      <c r="B15" t="s">
        <v>131</v>
      </c>
    </row>
    <row r="16" spans="1:2" x14ac:dyDescent="0.3">
      <c r="A16" t="s">
        <v>151</v>
      </c>
      <c r="B16" t="s">
        <v>131</v>
      </c>
    </row>
    <row r="17" spans="1:2" x14ac:dyDescent="0.3">
      <c r="A17" t="s">
        <v>152</v>
      </c>
      <c r="B17" t="s">
        <v>666</v>
      </c>
    </row>
    <row r="18" spans="1:2" x14ac:dyDescent="0.3">
      <c r="A18" t="s">
        <v>153</v>
      </c>
      <c r="B18" t="s">
        <v>666</v>
      </c>
    </row>
    <row r="19" spans="1:2" x14ac:dyDescent="0.3">
      <c r="A19" t="s">
        <v>154</v>
      </c>
      <c r="B19" t="s">
        <v>666</v>
      </c>
    </row>
    <row r="20" spans="1:2" x14ac:dyDescent="0.3">
      <c r="A20" t="s">
        <v>155</v>
      </c>
      <c r="B20" t="s">
        <v>667</v>
      </c>
    </row>
    <row r="21" spans="1:2" x14ac:dyDescent="0.3">
      <c r="A21" t="s">
        <v>156</v>
      </c>
      <c r="B21" t="s">
        <v>667</v>
      </c>
    </row>
    <row r="22" spans="1:2" x14ac:dyDescent="0.3">
      <c r="A22" t="s">
        <v>157</v>
      </c>
      <c r="B22" t="s">
        <v>667</v>
      </c>
    </row>
    <row r="23" spans="1:2" x14ac:dyDescent="0.3">
      <c r="A23" t="s">
        <v>158</v>
      </c>
      <c r="B23" t="s">
        <v>668</v>
      </c>
    </row>
    <row r="24" spans="1:2" x14ac:dyDescent="0.3">
      <c r="A24" t="s">
        <v>159</v>
      </c>
      <c r="B24" t="s">
        <v>668</v>
      </c>
    </row>
    <row r="25" spans="1:2" x14ac:dyDescent="0.3">
      <c r="A25" t="s">
        <v>160</v>
      </c>
      <c r="B25" t="s">
        <v>668</v>
      </c>
    </row>
    <row r="26" spans="1:2" x14ac:dyDescent="0.3">
      <c r="A26" t="s">
        <v>161</v>
      </c>
      <c r="B26" t="s">
        <v>669</v>
      </c>
    </row>
    <row r="27" spans="1:2" x14ac:dyDescent="0.3">
      <c r="A27" t="s">
        <v>162</v>
      </c>
      <c r="B27" t="s">
        <v>669</v>
      </c>
    </row>
    <row r="28" spans="1:2" x14ac:dyDescent="0.3">
      <c r="A28" t="s">
        <v>163</v>
      </c>
      <c r="B28" t="s">
        <v>669</v>
      </c>
    </row>
    <row r="29" spans="1:2" x14ac:dyDescent="0.3">
      <c r="A29" t="s">
        <v>164</v>
      </c>
      <c r="B29" t="s">
        <v>670</v>
      </c>
    </row>
    <row r="30" spans="1:2" x14ac:dyDescent="0.3">
      <c r="A30" t="s">
        <v>165</v>
      </c>
      <c r="B30" t="s">
        <v>670</v>
      </c>
    </row>
    <row r="31" spans="1:2" x14ac:dyDescent="0.3">
      <c r="A31" t="s">
        <v>166</v>
      </c>
      <c r="B31" t="s">
        <v>671</v>
      </c>
    </row>
    <row r="32" spans="1:2" x14ac:dyDescent="0.3">
      <c r="A32" t="s">
        <v>167</v>
      </c>
      <c r="B32" t="s">
        <v>671</v>
      </c>
    </row>
    <row r="33" spans="1:2" x14ac:dyDescent="0.3">
      <c r="A33" t="s">
        <v>168</v>
      </c>
      <c r="B33" t="s">
        <v>671</v>
      </c>
    </row>
    <row r="34" spans="1:2" x14ac:dyDescent="0.3">
      <c r="A34" t="s">
        <v>169</v>
      </c>
      <c r="B34" t="s">
        <v>672</v>
      </c>
    </row>
    <row r="35" spans="1:2" x14ac:dyDescent="0.3">
      <c r="A35" t="s">
        <v>170</v>
      </c>
      <c r="B35" t="s">
        <v>672</v>
      </c>
    </row>
    <row r="36" spans="1:2" x14ac:dyDescent="0.3">
      <c r="A36" t="s">
        <v>171</v>
      </c>
      <c r="B36" t="s">
        <v>672</v>
      </c>
    </row>
    <row r="37" spans="1:2" x14ac:dyDescent="0.3">
      <c r="A37" t="s">
        <v>172</v>
      </c>
      <c r="B37" t="s">
        <v>673</v>
      </c>
    </row>
    <row r="38" spans="1:2" x14ac:dyDescent="0.3">
      <c r="A38" t="s">
        <v>173</v>
      </c>
      <c r="B38" t="s">
        <v>673</v>
      </c>
    </row>
    <row r="39" spans="1:2" x14ac:dyDescent="0.3">
      <c r="A39" t="s">
        <v>174</v>
      </c>
      <c r="B39" t="s">
        <v>673</v>
      </c>
    </row>
    <row r="40" spans="1:2" x14ac:dyDescent="0.3">
      <c r="A40" t="s">
        <v>175</v>
      </c>
      <c r="B40" t="s">
        <v>674</v>
      </c>
    </row>
    <row r="41" spans="1:2" x14ac:dyDescent="0.3">
      <c r="A41" t="s">
        <v>176</v>
      </c>
      <c r="B41" t="s">
        <v>674</v>
      </c>
    </row>
    <row r="42" spans="1:2" x14ac:dyDescent="0.3">
      <c r="A42" t="s">
        <v>177</v>
      </c>
      <c r="B42" t="s">
        <v>674</v>
      </c>
    </row>
    <row r="43" spans="1:2" x14ac:dyDescent="0.3">
      <c r="A43" t="s">
        <v>178</v>
      </c>
      <c r="B43" t="s">
        <v>675</v>
      </c>
    </row>
    <row r="44" spans="1:2" x14ac:dyDescent="0.3">
      <c r="A44" t="s">
        <v>179</v>
      </c>
      <c r="B44" t="s">
        <v>675</v>
      </c>
    </row>
    <row r="45" spans="1:2" x14ac:dyDescent="0.3">
      <c r="A45" t="s">
        <v>180</v>
      </c>
      <c r="B45" t="s">
        <v>676</v>
      </c>
    </row>
    <row r="46" spans="1:2" x14ac:dyDescent="0.3">
      <c r="A46" t="s">
        <v>181</v>
      </c>
      <c r="B46" t="s">
        <v>676</v>
      </c>
    </row>
    <row r="47" spans="1:2" x14ac:dyDescent="0.3">
      <c r="A47" t="s">
        <v>182</v>
      </c>
      <c r="B47" t="s">
        <v>676</v>
      </c>
    </row>
    <row r="48" spans="1:2" x14ac:dyDescent="0.3">
      <c r="A48" t="s">
        <v>183</v>
      </c>
      <c r="B48" t="s">
        <v>677</v>
      </c>
    </row>
    <row r="49" spans="1:2" x14ac:dyDescent="0.3">
      <c r="A49" t="s">
        <v>184</v>
      </c>
      <c r="B49" t="s">
        <v>677</v>
      </c>
    </row>
    <row r="50" spans="1:2" x14ac:dyDescent="0.3">
      <c r="A50" t="s">
        <v>185</v>
      </c>
      <c r="B50" t="s">
        <v>677</v>
      </c>
    </row>
    <row r="51" spans="1:2" x14ac:dyDescent="0.3">
      <c r="A51" t="s">
        <v>186</v>
      </c>
      <c r="B51" t="s">
        <v>678</v>
      </c>
    </row>
    <row r="52" spans="1:2" x14ac:dyDescent="0.3">
      <c r="A52" t="s">
        <v>187</v>
      </c>
      <c r="B52" t="s">
        <v>678</v>
      </c>
    </row>
    <row r="53" spans="1:2" x14ac:dyDescent="0.3">
      <c r="A53" t="s">
        <v>188</v>
      </c>
      <c r="B53" t="s">
        <v>678</v>
      </c>
    </row>
    <row r="54" spans="1:2" x14ac:dyDescent="0.3">
      <c r="A54" t="s">
        <v>189</v>
      </c>
      <c r="B54" t="s">
        <v>679</v>
      </c>
    </row>
    <row r="55" spans="1:2" x14ac:dyDescent="0.3">
      <c r="A55" t="s">
        <v>190</v>
      </c>
      <c r="B55" t="s">
        <v>679</v>
      </c>
    </row>
    <row r="56" spans="1:2" x14ac:dyDescent="0.3">
      <c r="A56" t="s">
        <v>191</v>
      </c>
      <c r="B56" t="s">
        <v>680</v>
      </c>
    </row>
    <row r="57" spans="1:2" x14ac:dyDescent="0.3">
      <c r="A57" t="s">
        <v>192</v>
      </c>
      <c r="B57" t="s">
        <v>680</v>
      </c>
    </row>
    <row r="58" spans="1:2" x14ac:dyDescent="0.3">
      <c r="A58" t="s">
        <v>193</v>
      </c>
      <c r="B58" t="s">
        <v>680</v>
      </c>
    </row>
    <row r="59" spans="1:2" x14ac:dyDescent="0.3">
      <c r="A59" t="s">
        <v>194</v>
      </c>
      <c r="B59" t="s">
        <v>681</v>
      </c>
    </row>
    <row r="60" spans="1:2" x14ac:dyDescent="0.3">
      <c r="A60" t="s">
        <v>195</v>
      </c>
      <c r="B60" t="s">
        <v>681</v>
      </c>
    </row>
    <row r="61" spans="1:2" x14ac:dyDescent="0.3">
      <c r="A61" t="s">
        <v>196</v>
      </c>
      <c r="B61" t="s">
        <v>681</v>
      </c>
    </row>
    <row r="62" spans="1:2" x14ac:dyDescent="0.3">
      <c r="A62" t="s">
        <v>197</v>
      </c>
      <c r="B62" t="s">
        <v>682</v>
      </c>
    </row>
    <row r="63" spans="1:2" x14ac:dyDescent="0.3">
      <c r="A63" t="s">
        <v>198</v>
      </c>
      <c r="B63" t="s">
        <v>682</v>
      </c>
    </row>
    <row r="64" spans="1:2" x14ac:dyDescent="0.3">
      <c r="A64" t="s">
        <v>199</v>
      </c>
      <c r="B64" t="s">
        <v>682</v>
      </c>
    </row>
    <row r="65" spans="1:2" x14ac:dyDescent="0.3">
      <c r="A65" t="s">
        <v>200</v>
      </c>
      <c r="B65" t="s">
        <v>683</v>
      </c>
    </row>
    <row r="66" spans="1:2" x14ac:dyDescent="0.3">
      <c r="A66" t="s">
        <v>201</v>
      </c>
      <c r="B66" t="s">
        <v>684</v>
      </c>
    </row>
    <row r="67" spans="1:2" x14ac:dyDescent="0.3">
      <c r="A67" t="s">
        <v>202</v>
      </c>
      <c r="B67" t="s">
        <v>684</v>
      </c>
    </row>
    <row r="68" spans="1:2" x14ac:dyDescent="0.3">
      <c r="A68" t="s">
        <v>203</v>
      </c>
      <c r="B68" t="s">
        <v>684</v>
      </c>
    </row>
    <row r="69" spans="1:2" x14ac:dyDescent="0.3">
      <c r="A69" t="s">
        <v>204</v>
      </c>
      <c r="B69" t="s">
        <v>685</v>
      </c>
    </row>
    <row r="70" spans="1:2" x14ac:dyDescent="0.3">
      <c r="A70" t="s">
        <v>205</v>
      </c>
      <c r="B70" t="s">
        <v>685</v>
      </c>
    </row>
    <row r="71" spans="1:2" x14ac:dyDescent="0.3">
      <c r="A71" t="s">
        <v>206</v>
      </c>
      <c r="B71" t="s">
        <v>685</v>
      </c>
    </row>
    <row r="72" spans="1:2" x14ac:dyDescent="0.3">
      <c r="A72" t="s">
        <v>207</v>
      </c>
      <c r="B72" t="s">
        <v>686</v>
      </c>
    </row>
    <row r="73" spans="1:2" x14ac:dyDescent="0.3">
      <c r="A73" t="s">
        <v>208</v>
      </c>
      <c r="B73" t="s">
        <v>687</v>
      </c>
    </row>
    <row r="74" spans="1:2" x14ac:dyDescent="0.3">
      <c r="A74" t="s">
        <v>209</v>
      </c>
      <c r="B74" t="s">
        <v>687</v>
      </c>
    </row>
    <row r="75" spans="1:2" x14ac:dyDescent="0.3">
      <c r="A75" t="s">
        <v>210</v>
      </c>
      <c r="B75" t="s">
        <v>687</v>
      </c>
    </row>
    <row r="76" spans="1:2" x14ac:dyDescent="0.3">
      <c r="A76" t="s">
        <v>211</v>
      </c>
      <c r="B76" t="s">
        <v>688</v>
      </c>
    </row>
    <row r="77" spans="1:2" x14ac:dyDescent="0.3">
      <c r="A77" t="s">
        <v>212</v>
      </c>
      <c r="B77" t="s">
        <v>689</v>
      </c>
    </row>
    <row r="78" spans="1:2" x14ac:dyDescent="0.3">
      <c r="A78" t="s">
        <v>213</v>
      </c>
      <c r="B78" t="s">
        <v>689</v>
      </c>
    </row>
    <row r="79" spans="1:2" x14ac:dyDescent="0.3">
      <c r="A79" t="s">
        <v>214</v>
      </c>
      <c r="B79" t="s">
        <v>689</v>
      </c>
    </row>
    <row r="80" spans="1:2" x14ac:dyDescent="0.3">
      <c r="A80" t="s">
        <v>215</v>
      </c>
      <c r="B80" t="s">
        <v>690</v>
      </c>
    </row>
    <row r="81" spans="1:2" x14ac:dyDescent="0.3">
      <c r="A81" t="s">
        <v>216</v>
      </c>
      <c r="B81" t="s">
        <v>690</v>
      </c>
    </row>
    <row r="82" spans="1:2" x14ac:dyDescent="0.3">
      <c r="A82" t="s">
        <v>217</v>
      </c>
      <c r="B82" t="s">
        <v>690</v>
      </c>
    </row>
    <row r="83" spans="1:2" x14ac:dyDescent="0.3">
      <c r="A83" t="s">
        <v>218</v>
      </c>
      <c r="B83" t="s">
        <v>691</v>
      </c>
    </row>
    <row r="84" spans="1:2" x14ac:dyDescent="0.3">
      <c r="A84" t="s">
        <v>219</v>
      </c>
      <c r="B84" t="s">
        <v>691</v>
      </c>
    </row>
    <row r="85" spans="1:2" x14ac:dyDescent="0.3">
      <c r="A85" t="s">
        <v>220</v>
      </c>
      <c r="B85" t="s">
        <v>691</v>
      </c>
    </row>
    <row r="86" spans="1:2" x14ac:dyDescent="0.3">
      <c r="A86" t="s">
        <v>221</v>
      </c>
      <c r="B86" t="s">
        <v>675</v>
      </c>
    </row>
    <row r="87" spans="1:2" x14ac:dyDescent="0.3">
      <c r="A87" t="s">
        <v>222</v>
      </c>
      <c r="B87" t="s">
        <v>692</v>
      </c>
    </row>
    <row r="88" spans="1:2" x14ac:dyDescent="0.3">
      <c r="A88" t="s">
        <v>223</v>
      </c>
      <c r="B88" t="s">
        <v>692</v>
      </c>
    </row>
    <row r="89" spans="1:2" x14ac:dyDescent="0.3">
      <c r="A89" t="s">
        <v>224</v>
      </c>
      <c r="B89" t="s">
        <v>692</v>
      </c>
    </row>
    <row r="90" spans="1:2" x14ac:dyDescent="0.3">
      <c r="A90" t="s">
        <v>225</v>
      </c>
      <c r="B90" t="s">
        <v>692</v>
      </c>
    </row>
    <row r="91" spans="1:2" x14ac:dyDescent="0.3">
      <c r="A91" t="s">
        <v>226</v>
      </c>
      <c r="B91" t="s">
        <v>692</v>
      </c>
    </row>
    <row r="92" spans="1:2" x14ac:dyDescent="0.3">
      <c r="A92" t="s">
        <v>227</v>
      </c>
      <c r="B92" t="s">
        <v>693</v>
      </c>
    </row>
    <row r="93" spans="1:2" x14ac:dyDescent="0.3">
      <c r="A93" t="s">
        <v>228</v>
      </c>
      <c r="B93" t="s">
        <v>693</v>
      </c>
    </row>
    <row r="94" spans="1:2" x14ac:dyDescent="0.3">
      <c r="A94" t="s">
        <v>229</v>
      </c>
      <c r="B94" t="s">
        <v>693</v>
      </c>
    </row>
    <row r="95" spans="1:2" x14ac:dyDescent="0.3">
      <c r="A95" t="s">
        <v>230</v>
      </c>
      <c r="B95" t="s">
        <v>694</v>
      </c>
    </row>
    <row r="96" spans="1:2" x14ac:dyDescent="0.3">
      <c r="A96" t="s">
        <v>231</v>
      </c>
      <c r="B96" t="s">
        <v>694</v>
      </c>
    </row>
    <row r="97" spans="1:2" x14ac:dyDescent="0.3">
      <c r="A97" t="s">
        <v>232</v>
      </c>
      <c r="B97" t="s">
        <v>694</v>
      </c>
    </row>
    <row r="98" spans="1:2" x14ac:dyDescent="0.3">
      <c r="A98" t="s">
        <v>233</v>
      </c>
      <c r="B98" t="s">
        <v>695</v>
      </c>
    </row>
    <row r="99" spans="1:2" x14ac:dyDescent="0.3">
      <c r="A99" t="s">
        <v>234</v>
      </c>
      <c r="B99" t="s">
        <v>695</v>
      </c>
    </row>
    <row r="100" spans="1:2" x14ac:dyDescent="0.3">
      <c r="A100" t="s">
        <v>235</v>
      </c>
      <c r="B100" t="s">
        <v>695</v>
      </c>
    </row>
    <row r="101" spans="1:2" x14ac:dyDescent="0.3">
      <c r="A101" t="s">
        <v>236</v>
      </c>
      <c r="B101" t="s">
        <v>696</v>
      </c>
    </row>
    <row r="102" spans="1:2" x14ac:dyDescent="0.3">
      <c r="A102" t="s">
        <v>237</v>
      </c>
      <c r="B102" t="s">
        <v>696</v>
      </c>
    </row>
    <row r="103" spans="1:2" x14ac:dyDescent="0.3">
      <c r="A103" t="s">
        <v>238</v>
      </c>
      <c r="B103" t="s">
        <v>696</v>
      </c>
    </row>
    <row r="104" spans="1:2" x14ac:dyDescent="0.3">
      <c r="A104" t="s">
        <v>239</v>
      </c>
      <c r="B104" t="s">
        <v>697</v>
      </c>
    </row>
    <row r="105" spans="1:2" x14ac:dyDescent="0.3">
      <c r="A105" t="s">
        <v>240</v>
      </c>
      <c r="B105" t="s">
        <v>697</v>
      </c>
    </row>
    <row r="106" spans="1:2" x14ac:dyDescent="0.3">
      <c r="A106" t="s">
        <v>241</v>
      </c>
      <c r="B106" t="s">
        <v>697</v>
      </c>
    </row>
    <row r="107" spans="1:2" x14ac:dyDescent="0.3">
      <c r="A107" t="s">
        <v>242</v>
      </c>
      <c r="B107" t="s">
        <v>698</v>
      </c>
    </row>
    <row r="108" spans="1:2" x14ac:dyDescent="0.3">
      <c r="A108" t="s">
        <v>243</v>
      </c>
      <c r="B108" t="s">
        <v>699</v>
      </c>
    </row>
    <row r="109" spans="1:2" x14ac:dyDescent="0.3">
      <c r="A109" t="s">
        <v>244</v>
      </c>
      <c r="B109" t="s">
        <v>699</v>
      </c>
    </row>
    <row r="110" spans="1:2" x14ac:dyDescent="0.3">
      <c r="A110" t="s">
        <v>245</v>
      </c>
      <c r="B110" t="s">
        <v>699</v>
      </c>
    </row>
    <row r="111" spans="1:2" x14ac:dyDescent="0.3">
      <c r="A111" t="s">
        <v>246</v>
      </c>
      <c r="B111" t="s">
        <v>700</v>
      </c>
    </row>
    <row r="112" spans="1:2" x14ac:dyDescent="0.3">
      <c r="A112" t="s">
        <v>247</v>
      </c>
      <c r="B112" t="s">
        <v>700</v>
      </c>
    </row>
    <row r="113" spans="1:2" x14ac:dyDescent="0.3">
      <c r="A113" t="s">
        <v>248</v>
      </c>
      <c r="B113" t="s">
        <v>700</v>
      </c>
    </row>
    <row r="114" spans="1:2" x14ac:dyDescent="0.3">
      <c r="A114" t="s">
        <v>249</v>
      </c>
      <c r="B114" t="s">
        <v>701</v>
      </c>
    </row>
    <row r="115" spans="1:2" x14ac:dyDescent="0.3">
      <c r="A115" t="s">
        <v>250</v>
      </c>
      <c r="B115" t="s">
        <v>701</v>
      </c>
    </row>
    <row r="116" spans="1:2" x14ac:dyDescent="0.3">
      <c r="A116" t="s">
        <v>251</v>
      </c>
      <c r="B116" t="s">
        <v>701</v>
      </c>
    </row>
    <row r="117" spans="1:2" x14ac:dyDescent="0.3">
      <c r="A117" t="s">
        <v>252</v>
      </c>
      <c r="B117" t="s">
        <v>702</v>
      </c>
    </row>
    <row r="118" spans="1:2" x14ac:dyDescent="0.3">
      <c r="A118" t="s">
        <v>253</v>
      </c>
      <c r="B118" t="s">
        <v>702</v>
      </c>
    </row>
    <row r="119" spans="1:2" x14ac:dyDescent="0.3">
      <c r="A119" t="s">
        <v>254</v>
      </c>
      <c r="B119" t="s">
        <v>702</v>
      </c>
    </row>
    <row r="120" spans="1:2" x14ac:dyDescent="0.3">
      <c r="A120" t="s">
        <v>255</v>
      </c>
      <c r="B120" t="s">
        <v>703</v>
      </c>
    </row>
    <row r="121" spans="1:2" x14ac:dyDescent="0.3">
      <c r="A121" t="s">
        <v>256</v>
      </c>
      <c r="B121" t="s">
        <v>703</v>
      </c>
    </row>
    <row r="122" spans="1:2" x14ac:dyDescent="0.3">
      <c r="A122" t="s">
        <v>257</v>
      </c>
      <c r="B122" t="s">
        <v>704</v>
      </c>
    </row>
    <row r="123" spans="1:2" x14ac:dyDescent="0.3">
      <c r="A123" t="s">
        <v>258</v>
      </c>
      <c r="B123" t="s">
        <v>704</v>
      </c>
    </row>
    <row r="124" spans="1:2" x14ac:dyDescent="0.3">
      <c r="A124" t="s">
        <v>259</v>
      </c>
      <c r="B124" t="s">
        <v>705</v>
      </c>
    </row>
    <row r="125" spans="1:2" x14ac:dyDescent="0.3">
      <c r="A125" t="s">
        <v>260</v>
      </c>
      <c r="B125" t="s">
        <v>706</v>
      </c>
    </row>
    <row r="126" spans="1:2" x14ac:dyDescent="0.3">
      <c r="A126" t="s">
        <v>261</v>
      </c>
      <c r="B126" t="s">
        <v>706</v>
      </c>
    </row>
    <row r="127" spans="1:2" x14ac:dyDescent="0.3">
      <c r="A127" t="s">
        <v>262</v>
      </c>
      <c r="B127" t="s">
        <v>706</v>
      </c>
    </row>
    <row r="128" spans="1:2" x14ac:dyDescent="0.3">
      <c r="A128" t="s">
        <v>263</v>
      </c>
      <c r="B128" t="s">
        <v>707</v>
      </c>
    </row>
    <row r="129" spans="1:2" x14ac:dyDescent="0.3">
      <c r="A129" t="s">
        <v>264</v>
      </c>
      <c r="B129" t="s">
        <v>707</v>
      </c>
    </row>
    <row r="130" spans="1:2" x14ac:dyDescent="0.3">
      <c r="A130" t="s">
        <v>265</v>
      </c>
      <c r="B130" t="s">
        <v>707</v>
      </c>
    </row>
    <row r="131" spans="1:2" x14ac:dyDescent="0.3">
      <c r="A131" t="s">
        <v>266</v>
      </c>
      <c r="B131" t="s">
        <v>708</v>
      </c>
    </row>
    <row r="132" spans="1:2" x14ac:dyDescent="0.3">
      <c r="A132" t="s">
        <v>267</v>
      </c>
      <c r="B132" t="s">
        <v>708</v>
      </c>
    </row>
    <row r="133" spans="1:2" x14ac:dyDescent="0.3">
      <c r="A133" t="s">
        <v>268</v>
      </c>
      <c r="B133" t="s">
        <v>708</v>
      </c>
    </row>
    <row r="134" spans="1:2" x14ac:dyDescent="0.3">
      <c r="A134" t="s">
        <v>269</v>
      </c>
      <c r="B134" t="s">
        <v>709</v>
      </c>
    </row>
    <row r="135" spans="1:2" x14ac:dyDescent="0.3">
      <c r="A135" t="s">
        <v>270</v>
      </c>
      <c r="B135" t="s">
        <v>709</v>
      </c>
    </row>
    <row r="136" spans="1:2" x14ac:dyDescent="0.3">
      <c r="A136" t="s">
        <v>271</v>
      </c>
      <c r="B136" t="s">
        <v>709</v>
      </c>
    </row>
    <row r="137" spans="1:2" x14ac:dyDescent="0.3">
      <c r="A137" t="s">
        <v>272</v>
      </c>
      <c r="B137" t="s">
        <v>710</v>
      </c>
    </row>
    <row r="138" spans="1:2" x14ac:dyDescent="0.3">
      <c r="A138" t="s">
        <v>273</v>
      </c>
      <c r="B138" t="s">
        <v>710</v>
      </c>
    </row>
    <row r="139" spans="1:2" x14ac:dyDescent="0.3">
      <c r="A139" t="s">
        <v>274</v>
      </c>
      <c r="B139" t="s">
        <v>710</v>
      </c>
    </row>
    <row r="140" spans="1:2" x14ac:dyDescent="0.3">
      <c r="A140" t="s">
        <v>275</v>
      </c>
      <c r="B140" t="s">
        <v>711</v>
      </c>
    </row>
    <row r="141" spans="1:2" x14ac:dyDescent="0.3">
      <c r="A141" t="s">
        <v>276</v>
      </c>
      <c r="B141" t="s">
        <v>711</v>
      </c>
    </row>
    <row r="142" spans="1:2" x14ac:dyDescent="0.3">
      <c r="A142" t="s">
        <v>277</v>
      </c>
      <c r="B142" t="s">
        <v>711</v>
      </c>
    </row>
    <row r="143" spans="1:2" x14ac:dyDescent="0.3">
      <c r="A143" t="s">
        <v>278</v>
      </c>
      <c r="B143" t="s">
        <v>712</v>
      </c>
    </row>
    <row r="144" spans="1:2" x14ac:dyDescent="0.3">
      <c r="A144" t="s">
        <v>279</v>
      </c>
      <c r="B144" t="s">
        <v>712</v>
      </c>
    </row>
    <row r="145" spans="1:2" x14ac:dyDescent="0.3">
      <c r="A145" t="s">
        <v>280</v>
      </c>
      <c r="B145" t="s">
        <v>712</v>
      </c>
    </row>
    <row r="146" spans="1:2" x14ac:dyDescent="0.3">
      <c r="A146" t="s">
        <v>281</v>
      </c>
      <c r="B146" t="s">
        <v>713</v>
      </c>
    </row>
    <row r="147" spans="1:2" x14ac:dyDescent="0.3">
      <c r="A147" t="s">
        <v>282</v>
      </c>
      <c r="B147" t="s">
        <v>713</v>
      </c>
    </row>
    <row r="148" spans="1:2" x14ac:dyDescent="0.3">
      <c r="A148" t="s">
        <v>283</v>
      </c>
      <c r="B148" t="s">
        <v>713</v>
      </c>
    </row>
    <row r="149" spans="1:2" x14ac:dyDescent="0.3">
      <c r="A149" t="s">
        <v>284</v>
      </c>
      <c r="B149" t="s">
        <v>714</v>
      </c>
    </row>
    <row r="150" spans="1:2" x14ac:dyDescent="0.3">
      <c r="A150" t="s">
        <v>285</v>
      </c>
      <c r="B150" t="s">
        <v>714</v>
      </c>
    </row>
    <row r="151" spans="1:2" x14ac:dyDescent="0.3">
      <c r="A151" t="s">
        <v>286</v>
      </c>
      <c r="B151" t="s">
        <v>714</v>
      </c>
    </row>
    <row r="152" spans="1:2" x14ac:dyDescent="0.3">
      <c r="A152" t="s">
        <v>287</v>
      </c>
      <c r="B152" t="s">
        <v>715</v>
      </c>
    </row>
    <row r="153" spans="1:2" x14ac:dyDescent="0.3">
      <c r="A153" t="s">
        <v>288</v>
      </c>
      <c r="B153" t="s">
        <v>715</v>
      </c>
    </row>
    <row r="154" spans="1:2" x14ac:dyDescent="0.3">
      <c r="A154" t="s">
        <v>289</v>
      </c>
      <c r="B154" t="s">
        <v>715</v>
      </c>
    </row>
    <row r="155" spans="1:2" x14ac:dyDescent="0.3">
      <c r="A155" t="s">
        <v>290</v>
      </c>
      <c r="B155" t="s">
        <v>716</v>
      </c>
    </row>
    <row r="156" spans="1:2" x14ac:dyDescent="0.3">
      <c r="A156" t="s">
        <v>291</v>
      </c>
      <c r="B156" t="s">
        <v>716</v>
      </c>
    </row>
    <row r="157" spans="1:2" x14ac:dyDescent="0.3">
      <c r="A157" t="s">
        <v>292</v>
      </c>
      <c r="B157" t="s">
        <v>716</v>
      </c>
    </row>
    <row r="158" spans="1:2" x14ac:dyDescent="0.3">
      <c r="A158" t="s">
        <v>293</v>
      </c>
      <c r="B158" t="s">
        <v>717</v>
      </c>
    </row>
    <row r="159" spans="1:2" x14ac:dyDescent="0.3">
      <c r="A159" t="s">
        <v>294</v>
      </c>
      <c r="B159" t="s">
        <v>717</v>
      </c>
    </row>
    <row r="160" spans="1:2" x14ac:dyDescent="0.3">
      <c r="A160" t="s">
        <v>295</v>
      </c>
      <c r="B160" t="s">
        <v>717</v>
      </c>
    </row>
    <row r="161" spans="1:2" x14ac:dyDescent="0.3">
      <c r="A161" t="s">
        <v>296</v>
      </c>
      <c r="B161" t="s">
        <v>718</v>
      </c>
    </row>
    <row r="162" spans="1:2" x14ac:dyDescent="0.3">
      <c r="A162" t="s">
        <v>297</v>
      </c>
      <c r="B162" t="s">
        <v>718</v>
      </c>
    </row>
    <row r="163" spans="1:2" x14ac:dyDescent="0.3">
      <c r="A163" t="s">
        <v>298</v>
      </c>
      <c r="B163" t="s">
        <v>718</v>
      </c>
    </row>
    <row r="164" spans="1:2" x14ac:dyDescent="0.3">
      <c r="A164" t="s">
        <v>299</v>
      </c>
      <c r="B164" t="s">
        <v>719</v>
      </c>
    </row>
    <row r="165" spans="1:2" x14ac:dyDescent="0.3">
      <c r="A165" t="s">
        <v>300</v>
      </c>
      <c r="B165" t="s">
        <v>719</v>
      </c>
    </row>
    <row r="166" spans="1:2" x14ac:dyDescent="0.3">
      <c r="A166" t="s">
        <v>301</v>
      </c>
      <c r="B166" t="s">
        <v>720</v>
      </c>
    </row>
    <row r="167" spans="1:2" x14ac:dyDescent="0.3">
      <c r="A167" t="s">
        <v>302</v>
      </c>
      <c r="B167" t="s">
        <v>720</v>
      </c>
    </row>
    <row r="168" spans="1:2" x14ac:dyDescent="0.3">
      <c r="A168" t="s">
        <v>303</v>
      </c>
      <c r="B168" t="s">
        <v>720</v>
      </c>
    </row>
    <row r="169" spans="1:2" x14ac:dyDescent="0.3">
      <c r="A169" t="s">
        <v>304</v>
      </c>
      <c r="B169" t="s">
        <v>721</v>
      </c>
    </row>
    <row r="170" spans="1:2" x14ac:dyDescent="0.3">
      <c r="A170" t="s">
        <v>305</v>
      </c>
      <c r="B170" t="s">
        <v>721</v>
      </c>
    </row>
    <row r="171" spans="1:2" x14ac:dyDescent="0.3">
      <c r="A171" t="s">
        <v>306</v>
      </c>
      <c r="B171" t="s">
        <v>721</v>
      </c>
    </row>
    <row r="172" spans="1:2" x14ac:dyDescent="0.3">
      <c r="A172" t="s">
        <v>307</v>
      </c>
      <c r="B172" t="s">
        <v>722</v>
      </c>
    </row>
    <row r="173" spans="1:2" x14ac:dyDescent="0.3">
      <c r="A173" t="s">
        <v>308</v>
      </c>
      <c r="B173" t="s">
        <v>722</v>
      </c>
    </row>
    <row r="174" spans="1:2" x14ac:dyDescent="0.3">
      <c r="A174" t="s">
        <v>309</v>
      </c>
      <c r="B174" t="s">
        <v>723</v>
      </c>
    </row>
    <row r="175" spans="1:2" x14ac:dyDescent="0.3">
      <c r="A175" t="s">
        <v>310</v>
      </c>
      <c r="B175" t="s">
        <v>723</v>
      </c>
    </row>
    <row r="176" spans="1:2" x14ac:dyDescent="0.3">
      <c r="A176" t="s">
        <v>311</v>
      </c>
      <c r="B176" t="s">
        <v>723</v>
      </c>
    </row>
    <row r="177" spans="1:2" x14ac:dyDescent="0.3">
      <c r="A177" t="s">
        <v>312</v>
      </c>
      <c r="B177" t="s">
        <v>723</v>
      </c>
    </row>
    <row r="178" spans="1:2" x14ac:dyDescent="0.3">
      <c r="A178" t="s">
        <v>313</v>
      </c>
      <c r="B178" t="s">
        <v>724</v>
      </c>
    </row>
    <row r="179" spans="1:2" x14ac:dyDescent="0.3">
      <c r="A179" t="s">
        <v>314</v>
      </c>
      <c r="B179" t="s">
        <v>724</v>
      </c>
    </row>
    <row r="180" spans="1:2" x14ac:dyDescent="0.3">
      <c r="A180" t="s">
        <v>315</v>
      </c>
      <c r="B180" t="s">
        <v>724</v>
      </c>
    </row>
    <row r="181" spans="1:2" x14ac:dyDescent="0.3">
      <c r="A181" t="s">
        <v>316</v>
      </c>
      <c r="B181" t="s">
        <v>724</v>
      </c>
    </row>
    <row r="182" spans="1:2" x14ac:dyDescent="0.3">
      <c r="A182" t="s">
        <v>317</v>
      </c>
      <c r="B182" t="s">
        <v>724</v>
      </c>
    </row>
    <row r="183" spans="1:2" x14ac:dyDescent="0.3">
      <c r="A183" t="s">
        <v>318</v>
      </c>
      <c r="B183" t="s">
        <v>725</v>
      </c>
    </row>
    <row r="184" spans="1:2" x14ac:dyDescent="0.3">
      <c r="A184" t="s">
        <v>319</v>
      </c>
      <c r="B184" t="s">
        <v>726</v>
      </c>
    </row>
    <row r="185" spans="1:2" x14ac:dyDescent="0.3">
      <c r="A185" t="s">
        <v>320</v>
      </c>
      <c r="B185" t="s">
        <v>727</v>
      </c>
    </row>
    <row r="186" spans="1:2" x14ac:dyDescent="0.3">
      <c r="A186" t="s">
        <v>321</v>
      </c>
      <c r="B186" t="s">
        <v>727</v>
      </c>
    </row>
    <row r="187" spans="1:2" x14ac:dyDescent="0.3">
      <c r="A187" t="s">
        <v>322</v>
      </c>
      <c r="B187" t="s">
        <v>727</v>
      </c>
    </row>
    <row r="188" spans="1:2" x14ac:dyDescent="0.3">
      <c r="A188" t="s">
        <v>323</v>
      </c>
      <c r="B188" t="s">
        <v>728</v>
      </c>
    </row>
    <row r="189" spans="1:2" x14ac:dyDescent="0.3">
      <c r="A189" t="s">
        <v>324</v>
      </c>
      <c r="B189" t="s">
        <v>728</v>
      </c>
    </row>
    <row r="190" spans="1:2" x14ac:dyDescent="0.3">
      <c r="A190" t="s">
        <v>325</v>
      </c>
      <c r="B190" t="s">
        <v>728</v>
      </c>
    </row>
    <row r="191" spans="1:2" x14ac:dyDescent="0.3">
      <c r="A191" t="s">
        <v>326</v>
      </c>
      <c r="B191" t="s">
        <v>729</v>
      </c>
    </row>
    <row r="192" spans="1:2" x14ac:dyDescent="0.3">
      <c r="A192" t="s">
        <v>327</v>
      </c>
      <c r="B192" t="s">
        <v>729</v>
      </c>
    </row>
    <row r="193" spans="1:2" x14ac:dyDescent="0.3">
      <c r="A193" t="s">
        <v>328</v>
      </c>
      <c r="B193" t="s">
        <v>729</v>
      </c>
    </row>
    <row r="194" spans="1:2" x14ac:dyDescent="0.3">
      <c r="A194" t="s">
        <v>329</v>
      </c>
      <c r="B194" t="s">
        <v>729</v>
      </c>
    </row>
    <row r="195" spans="1:2" x14ac:dyDescent="0.3">
      <c r="A195" t="s">
        <v>330</v>
      </c>
      <c r="B195" t="s">
        <v>729</v>
      </c>
    </row>
    <row r="196" spans="1:2" x14ac:dyDescent="0.3">
      <c r="A196" t="s">
        <v>331</v>
      </c>
      <c r="B196" t="s">
        <v>730</v>
      </c>
    </row>
    <row r="197" spans="1:2" x14ac:dyDescent="0.3">
      <c r="A197" t="s">
        <v>332</v>
      </c>
      <c r="B197" t="s">
        <v>730</v>
      </c>
    </row>
    <row r="198" spans="1:2" x14ac:dyDescent="0.3">
      <c r="A198" t="s">
        <v>333</v>
      </c>
      <c r="B198" t="s">
        <v>730</v>
      </c>
    </row>
    <row r="199" spans="1:2" x14ac:dyDescent="0.3">
      <c r="A199" t="s">
        <v>334</v>
      </c>
      <c r="B199" t="s">
        <v>731</v>
      </c>
    </row>
    <row r="200" spans="1:2" x14ac:dyDescent="0.3">
      <c r="A200" t="s">
        <v>335</v>
      </c>
      <c r="B200" t="s">
        <v>731</v>
      </c>
    </row>
    <row r="201" spans="1:2" x14ac:dyDescent="0.3">
      <c r="A201" t="s">
        <v>336</v>
      </c>
      <c r="B201" t="s">
        <v>731</v>
      </c>
    </row>
    <row r="202" spans="1:2" x14ac:dyDescent="0.3">
      <c r="A202" t="s">
        <v>337</v>
      </c>
      <c r="B202" t="s">
        <v>731</v>
      </c>
    </row>
    <row r="203" spans="1:2" x14ac:dyDescent="0.3">
      <c r="A203" t="s">
        <v>338</v>
      </c>
      <c r="B203" t="s">
        <v>731</v>
      </c>
    </row>
    <row r="204" spans="1:2" x14ac:dyDescent="0.3">
      <c r="A204" t="s">
        <v>339</v>
      </c>
      <c r="B204" t="s">
        <v>732</v>
      </c>
    </row>
    <row r="205" spans="1:2" x14ac:dyDescent="0.3">
      <c r="A205" t="s">
        <v>340</v>
      </c>
      <c r="B205" t="s">
        <v>732</v>
      </c>
    </row>
    <row r="206" spans="1:2" x14ac:dyDescent="0.3">
      <c r="A206" t="s">
        <v>341</v>
      </c>
      <c r="B206" t="s">
        <v>733</v>
      </c>
    </row>
    <row r="207" spans="1:2" x14ac:dyDescent="0.3">
      <c r="A207" t="s">
        <v>342</v>
      </c>
      <c r="B207" t="s">
        <v>733</v>
      </c>
    </row>
    <row r="208" spans="1:2" x14ac:dyDescent="0.3">
      <c r="A208" t="s">
        <v>343</v>
      </c>
      <c r="B208" t="s">
        <v>733</v>
      </c>
    </row>
    <row r="209" spans="1:2" x14ac:dyDescent="0.3">
      <c r="A209" t="s">
        <v>344</v>
      </c>
      <c r="B209" t="s">
        <v>733</v>
      </c>
    </row>
    <row r="210" spans="1:2" x14ac:dyDescent="0.3">
      <c r="A210" t="s">
        <v>345</v>
      </c>
      <c r="B210" t="s">
        <v>733</v>
      </c>
    </row>
    <row r="211" spans="1:2" x14ac:dyDescent="0.3">
      <c r="A211" t="s">
        <v>346</v>
      </c>
      <c r="B211" t="s">
        <v>733</v>
      </c>
    </row>
    <row r="212" spans="1:2" x14ac:dyDescent="0.3">
      <c r="A212" t="s">
        <v>347</v>
      </c>
      <c r="B212" t="s">
        <v>683</v>
      </c>
    </row>
    <row r="213" spans="1:2" x14ac:dyDescent="0.3">
      <c r="A213" t="s">
        <v>348</v>
      </c>
      <c r="B213" t="s">
        <v>683</v>
      </c>
    </row>
    <row r="214" spans="1:2" x14ac:dyDescent="0.3">
      <c r="A214" t="s">
        <v>349</v>
      </c>
      <c r="B214" t="s">
        <v>734</v>
      </c>
    </row>
    <row r="215" spans="1:2" x14ac:dyDescent="0.3">
      <c r="A215" t="s">
        <v>350</v>
      </c>
      <c r="B215" t="s">
        <v>734</v>
      </c>
    </row>
    <row r="216" spans="1:2" x14ac:dyDescent="0.3">
      <c r="A216" t="s">
        <v>351</v>
      </c>
      <c r="B216" t="s">
        <v>735</v>
      </c>
    </row>
    <row r="217" spans="1:2" x14ac:dyDescent="0.3">
      <c r="A217" t="s">
        <v>352</v>
      </c>
      <c r="B217" t="s">
        <v>735</v>
      </c>
    </row>
    <row r="218" spans="1:2" x14ac:dyDescent="0.3">
      <c r="A218" t="s">
        <v>353</v>
      </c>
      <c r="B218" t="s">
        <v>736</v>
      </c>
    </row>
    <row r="219" spans="1:2" x14ac:dyDescent="0.3">
      <c r="A219" t="s">
        <v>354</v>
      </c>
      <c r="B219" t="s">
        <v>736</v>
      </c>
    </row>
    <row r="220" spans="1:2" x14ac:dyDescent="0.3">
      <c r="A220" t="s">
        <v>355</v>
      </c>
      <c r="B220" t="s">
        <v>736</v>
      </c>
    </row>
    <row r="221" spans="1:2" x14ac:dyDescent="0.3">
      <c r="A221" t="s">
        <v>356</v>
      </c>
      <c r="B221" t="s">
        <v>737</v>
      </c>
    </row>
    <row r="222" spans="1:2" x14ac:dyDescent="0.3">
      <c r="A222" t="s">
        <v>357</v>
      </c>
      <c r="B222" t="s">
        <v>737</v>
      </c>
    </row>
    <row r="223" spans="1:2" x14ac:dyDescent="0.3">
      <c r="A223" t="s">
        <v>358</v>
      </c>
      <c r="B223" t="s">
        <v>737</v>
      </c>
    </row>
    <row r="224" spans="1:2" x14ac:dyDescent="0.3">
      <c r="A224" t="s">
        <v>359</v>
      </c>
      <c r="B224" t="s">
        <v>738</v>
      </c>
    </row>
    <row r="225" spans="1:2" x14ac:dyDescent="0.3">
      <c r="A225" t="s">
        <v>360</v>
      </c>
      <c r="B225" t="s">
        <v>738</v>
      </c>
    </row>
    <row r="226" spans="1:2" x14ac:dyDescent="0.3">
      <c r="A226" t="s">
        <v>361</v>
      </c>
      <c r="B226" t="s">
        <v>738</v>
      </c>
    </row>
    <row r="227" spans="1:2" x14ac:dyDescent="0.3">
      <c r="A227" t="s">
        <v>362</v>
      </c>
      <c r="B227" t="s">
        <v>731</v>
      </c>
    </row>
    <row r="228" spans="1:2" x14ac:dyDescent="0.3">
      <c r="A228" t="s">
        <v>363</v>
      </c>
      <c r="B228" t="s">
        <v>731</v>
      </c>
    </row>
    <row r="229" spans="1:2" x14ac:dyDescent="0.3">
      <c r="A229" t="s">
        <v>364</v>
      </c>
      <c r="B229" t="s">
        <v>731</v>
      </c>
    </row>
    <row r="230" spans="1:2" x14ac:dyDescent="0.3">
      <c r="A230" t="s">
        <v>365</v>
      </c>
      <c r="B230" t="s">
        <v>739</v>
      </c>
    </row>
    <row r="231" spans="1:2" x14ac:dyDescent="0.3">
      <c r="A231" t="s">
        <v>366</v>
      </c>
      <c r="B231" t="s">
        <v>739</v>
      </c>
    </row>
    <row r="232" spans="1:2" x14ac:dyDescent="0.3">
      <c r="A232" t="s">
        <v>367</v>
      </c>
      <c r="B232" t="s">
        <v>739</v>
      </c>
    </row>
    <row r="233" spans="1:2" x14ac:dyDescent="0.3">
      <c r="A233" t="s">
        <v>368</v>
      </c>
      <c r="B233" t="s">
        <v>740</v>
      </c>
    </row>
    <row r="234" spans="1:2" x14ac:dyDescent="0.3">
      <c r="A234" t="s">
        <v>369</v>
      </c>
      <c r="B234" t="s">
        <v>740</v>
      </c>
    </row>
    <row r="235" spans="1:2" x14ac:dyDescent="0.3">
      <c r="A235" t="s">
        <v>370</v>
      </c>
      <c r="B235" t="s">
        <v>740</v>
      </c>
    </row>
    <row r="236" spans="1:2" x14ac:dyDescent="0.3">
      <c r="A236" t="s">
        <v>371</v>
      </c>
      <c r="B236" t="s">
        <v>741</v>
      </c>
    </row>
    <row r="237" spans="1:2" x14ac:dyDescent="0.3">
      <c r="A237" t="s">
        <v>372</v>
      </c>
      <c r="B237" t="s">
        <v>741</v>
      </c>
    </row>
    <row r="238" spans="1:2" x14ac:dyDescent="0.3">
      <c r="A238" t="s">
        <v>373</v>
      </c>
      <c r="B238" t="s">
        <v>741</v>
      </c>
    </row>
    <row r="239" spans="1:2" x14ac:dyDescent="0.3">
      <c r="A239" t="s">
        <v>374</v>
      </c>
      <c r="B239" t="s">
        <v>742</v>
      </c>
    </row>
    <row r="240" spans="1:2" x14ac:dyDescent="0.3">
      <c r="A240" t="s">
        <v>375</v>
      </c>
      <c r="B240" t="s">
        <v>742</v>
      </c>
    </row>
    <row r="241" spans="1:2" x14ac:dyDescent="0.3">
      <c r="A241" t="s">
        <v>376</v>
      </c>
      <c r="B241" t="s">
        <v>742</v>
      </c>
    </row>
    <row r="242" spans="1:2" x14ac:dyDescent="0.3">
      <c r="A242" t="s">
        <v>377</v>
      </c>
      <c r="B242" t="s">
        <v>743</v>
      </c>
    </row>
    <row r="243" spans="1:2" x14ac:dyDescent="0.3">
      <c r="A243" t="s">
        <v>378</v>
      </c>
      <c r="B243" t="s">
        <v>743</v>
      </c>
    </row>
    <row r="244" spans="1:2" x14ac:dyDescent="0.3">
      <c r="A244" t="s">
        <v>379</v>
      </c>
      <c r="B244" t="s">
        <v>743</v>
      </c>
    </row>
    <row r="245" spans="1:2" x14ac:dyDescent="0.3">
      <c r="A245" t="s">
        <v>380</v>
      </c>
      <c r="B245" t="s">
        <v>743</v>
      </c>
    </row>
    <row r="246" spans="1:2" x14ac:dyDescent="0.3">
      <c r="A246" t="s">
        <v>381</v>
      </c>
      <c r="B246" t="s">
        <v>688</v>
      </c>
    </row>
    <row r="247" spans="1:2" x14ac:dyDescent="0.3">
      <c r="A247" t="s">
        <v>382</v>
      </c>
      <c r="B247" t="s">
        <v>744</v>
      </c>
    </row>
    <row r="248" spans="1:2" x14ac:dyDescent="0.3">
      <c r="A248" t="s">
        <v>383</v>
      </c>
      <c r="B248" t="s">
        <v>744</v>
      </c>
    </row>
    <row r="249" spans="1:2" x14ac:dyDescent="0.3">
      <c r="A249" t="s">
        <v>384</v>
      </c>
      <c r="B249" t="s">
        <v>744</v>
      </c>
    </row>
    <row r="250" spans="1:2" x14ac:dyDescent="0.3">
      <c r="A250" t="s">
        <v>385</v>
      </c>
      <c r="B250" t="s">
        <v>745</v>
      </c>
    </row>
    <row r="251" spans="1:2" x14ac:dyDescent="0.3">
      <c r="A251" t="s">
        <v>386</v>
      </c>
      <c r="B251" t="s">
        <v>745</v>
      </c>
    </row>
    <row r="252" spans="1:2" x14ac:dyDescent="0.3">
      <c r="A252" t="s">
        <v>387</v>
      </c>
      <c r="B252" t="s">
        <v>746</v>
      </c>
    </row>
    <row r="253" spans="1:2" x14ac:dyDescent="0.3">
      <c r="A253" t="s">
        <v>388</v>
      </c>
      <c r="B253" t="s">
        <v>746</v>
      </c>
    </row>
    <row r="254" spans="1:2" x14ac:dyDescent="0.3">
      <c r="A254" t="s">
        <v>389</v>
      </c>
      <c r="B254" t="s">
        <v>746</v>
      </c>
    </row>
    <row r="255" spans="1:2" x14ac:dyDescent="0.3">
      <c r="A255" t="s">
        <v>390</v>
      </c>
      <c r="B255" t="s">
        <v>747</v>
      </c>
    </row>
    <row r="256" spans="1:2" x14ac:dyDescent="0.3">
      <c r="A256" t="s">
        <v>391</v>
      </c>
      <c r="B256" t="s">
        <v>747</v>
      </c>
    </row>
    <row r="257" spans="1:2" x14ac:dyDescent="0.3">
      <c r="A257" t="s">
        <v>392</v>
      </c>
      <c r="B257" t="s">
        <v>747</v>
      </c>
    </row>
    <row r="258" spans="1:2" x14ac:dyDescent="0.3">
      <c r="A258" t="s">
        <v>393</v>
      </c>
      <c r="B258" t="s">
        <v>747</v>
      </c>
    </row>
    <row r="259" spans="1:2" x14ac:dyDescent="0.3">
      <c r="A259" t="s">
        <v>394</v>
      </c>
      <c r="B259" t="s">
        <v>748</v>
      </c>
    </row>
    <row r="260" spans="1:2" x14ac:dyDescent="0.3">
      <c r="A260" t="s">
        <v>395</v>
      </c>
      <c r="B260" t="s">
        <v>748</v>
      </c>
    </row>
    <row r="261" spans="1:2" x14ac:dyDescent="0.3">
      <c r="A261" t="s">
        <v>396</v>
      </c>
      <c r="B261" t="s">
        <v>748</v>
      </c>
    </row>
    <row r="262" spans="1:2" x14ac:dyDescent="0.3">
      <c r="A262" t="s">
        <v>397</v>
      </c>
      <c r="B262" t="s">
        <v>748</v>
      </c>
    </row>
    <row r="263" spans="1:2" x14ac:dyDescent="0.3">
      <c r="A263" t="s">
        <v>398</v>
      </c>
      <c r="B263" t="s">
        <v>748</v>
      </c>
    </row>
    <row r="264" spans="1:2" x14ac:dyDescent="0.3">
      <c r="A264" t="s">
        <v>399</v>
      </c>
      <c r="B264" t="s">
        <v>743</v>
      </c>
    </row>
    <row r="265" spans="1:2" x14ac:dyDescent="0.3">
      <c r="A265" t="s">
        <v>400</v>
      </c>
      <c r="B265" t="s">
        <v>749</v>
      </c>
    </row>
    <row r="266" spans="1:2" x14ac:dyDescent="0.3">
      <c r="A266" t="s">
        <v>401</v>
      </c>
      <c r="B266" t="s">
        <v>749</v>
      </c>
    </row>
    <row r="267" spans="1:2" x14ac:dyDescent="0.3">
      <c r="A267" t="s">
        <v>402</v>
      </c>
      <c r="B267" t="s">
        <v>749</v>
      </c>
    </row>
    <row r="268" spans="1:2" x14ac:dyDescent="0.3">
      <c r="A268" t="s">
        <v>403</v>
      </c>
      <c r="B268" t="s">
        <v>750</v>
      </c>
    </row>
    <row r="269" spans="1:2" x14ac:dyDescent="0.3">
      <c r="A269" t="s">
        <v>404</v>
      </c>
      <c r="B269" t="s">
        <v>750</v>
      </c>
    </row>
    <row r="270" spans="1:2" x14ac:dyDescent="0.3">
      <c r="A270" t="s">
        <v>405</v>
      </c>
      <c r="B270" t="s">
        <v>750</v>
      </c>
    </row>
    <row r="271" spans="1:2" x14ac:dyDescent="0.3">
      <c r="A271" t="s">
        <v>406</v>
      </c>
      <c r="B271" t="s">
        <v>751</v>
      </c>
    </row>
    <row r="272" spans="1:2" x14ac:dyDescent="0.3">
      <c r="A272" t="s">
        <v>407</v>
      </c>
      <c r="B272" t="s">
        <v>751</v>
      </c>
    </row>
    <row r="273" spans="1:2" x14ac:dyDescent="0.3">
      <c r="A273" t="s">
        <v>408</v>
      </c>
      <c r="B273" t="s">
        <v>751</v>
      </c>
    </row>
    <row r="274" spans="1:2" x14ac:dyDescent="0.3">
      <c r="A274" t="s">
        <v>409</v>
      </c>
      <c r="B274" t="s">
        <v>752</v>
      </c>
    </row>
    <row r="275" spans="1:2" x14ac:dyDescent="0.3">
      <c r="A275" t="s">
        <v>410</v>
      </c>
      <c r="B275" t="s">
        <v>752</v>
      </c>
    </row>
    <row r="276" spans="1:2" x14ac:dyDescent="0.3">
      <c r="A276" t="s">
        <v>411</v>
      </c>
      <c r="B276" t="s">
        <v>753</v>
      </c>
    </row>
    <row r="277" spans="1:2" x14ac:dyDescent="0.3">
      <c r="A277" t="s">
        <v>412</v>
      </c>
      <c r="B277" t="s">
        <v>753</v>
      </c>
    </row>
    <row r="278" spans="1:2" x14ac:dyDescent="0.3">
      <c r="A278" t="s">
        <v>413</v>
      </c>
      <c r="B278" t="s">
        <v>754</v>
      </c>
    </row>
    <row r="279" spans="1:2" x14ac:dyDescent="0.3">
      <c r="A279" t="s">
        <v>414</v>
      </c>
      <c r="B279" t="s">
        <v>754</v>
      </c>
    </row>
    <row r="280" spans="1:2" x14ac:dyDescent="0.3">
      <c r="A280" t="s">
        <v>415</v>
      </c>
      <c r="B280" t="s">
        <v>754</v>
      </c>
    </row>
    <row r="281" spans="1:2" x14ac:dyDescent="0.3">
      <c r="A281" t="s">
        <v>416</v>
      </c>
      <c r="B281" t="s">
        <v>754</v>
      </c>
    </row>
    <row r="282" spans="1:2" x14ac:dyDescent="0.3">
      <c r="A282" t="s">
        <v>417</v>
      </c>
      <c r="B282" t="s">
        <v>755</v>
      </c>
    </row>
    <row r="283" spans="1:2" x14ac:dyDescent="0.3">
      <c r="A283" t="s">
        <v>418</v>
      </c>
      <c r="B283" t="s">
        <v>756</v>
      </c>
    </row>
    <row r="284" spans="1:2" x14ac:dyDescent="0.3">
      <c r="A284" t="s">
        <v>419</v>
      </c>
      <c r="B284" t="s">
        <v>757</v>
      </c>
    </row>
    <row r="285" spans="1:2" x14ac:dyDescent="0.3">
      <c r="A285" t="s">
        <v>420</v>
      </c>
      <c r="B285" t="s">
        <v>757</v>
      </c>
    </row>
    <row r="286" spans="1:2" x14ac:dyDescent="0.3">
      <c r="A286" t="s">
        <v>421</v>
      </c>
      <c r="B286" t="s">
        <v>757</v>
      </c>
    </row>
    <row r="287" spans="1:2" x14ac:dyDescent="0.3">
      <c r="A287" t="s">
        <v>422</v>
      </c>
      <c r="B287" t="s">
        <v>758</v>
      </c>
    </row>
    <row r="288" spans="1:2" x14ac:dyDescent="0.3">
      <c r="A288" t="s">
        <v>423</v>
      </c>
      <c r="B288" t="s">
        <v>758</v>
      </c>
    </row>
    <row r="289" spans="1:2" x14ac:dyDescent="0.3">
      <c r="A289" t="s">
        <v>424</v>
      </c>
      <c r="B289" t="s">
        <v>758</v>
      </c>
    </row>
    <row r="290" spans="1:2" x14ac:dyDescent="0.3">
      <c r="A290" t="s">
        <v>425</v>
      </c>
      <c r="B290" t="s">
        <v>758</v>
      </c>
    </row>
    <row r="291" spans="1:2" x14ac:dyDescent="0.3">
      <c r="A291" t="s">
        <v>426</v>
      </c>
      <c r="B291" t="s">
        <v>759</v>
      </c>
    </row>
    <row r="292" spans="1:2" x14ac:dyDescent="0.3">
      <c r="A292" t="s">
        <v>427</v>
      </c>
      <c r="B292" t="s">
        <v>759</v>
      </c>
    </row>
    <row r="293" spans="1:2" x14ac:dyDescent="0.3">
      <c r="A293" t="s">
        <v>428</v>
      </c>
      <c r="B293" t="s">
        <v>759</v>
      </c>
    </row>
    <row r="294" spans="1:2" x14ac:dyDescent="0.3">
      <c r="A294" t="s">
        <v>429</v>
      </c>
      <c r="B294" t="s">
        <v>760</v>
      </c>
    </row>
    <row r="295" spans="1:2" x14ac:dyDescent="0.3">
      <c r="A295" t="s">
        <v>430</v>
      </c>
      <c r="B295" t="s">
        <v>760</v>
      </c>
    </row>
    <row r="296" spans="1:2" x14ac:dyDescent="0.3">
      <c r="A296" t="s">
        <v>431</v>
      </c>
      <c r="B296" t="s">
        <v>760</v>
      </c>
    </row>
    <row r="297" spans="1:2" x14ac:dyDescent="0.3">
      <c r="A297" t="s">
        <v>432</v>
      </c>
      <c r="B297" t="s">
        <v>761</v>
      </c>
    </row>
    <row r="298" spans="1:2" x14ac:dyDescent="0.3">
      <c r="A298" t="s">
        <v>433</v>
      </c>
      <c r="B298" t="s">
        <v>761</v>
      </c>
    </row>
    <row r="299" spans="1:2" x14ac:dyDescent="0.3">
      <c r="A299" t="s">
        <v>434</v>
      </c>
      <c r="B299" t="s">
        <v>761</v>
      </c>
    </row>
    <row r="300" spans="1:2" x14ac:dyDescent="0.3">
      <c r="A300" t="s">
        <v>435</v>
      </c>
      <c r="B300" t="s">
        <v>719</v>
      </c>
    </row>
    <row r="301" spans="1:2" x14ac:dyDescent="0.3">
      <c r="A301" t="s">
        <v>436</v>
      </c>
      <c r="B301" t="s">
        <v>762</v>
      </c>
    </row>
    <row r="302" spans="1:2" x14ac:dyDescent="0.3">
      <c r="A302" t="s">
        <v>437</v>
      </c>
      <c r="B302" t="s">
        <v>762</v>
      </c>
    </row>
    <row r="303" spans="1:2" x14ac:dyDescent="0.3">
      <c r="A303" t="s">
        <v>438</v>
      </c>
      <c r="B303" t="s">
        <v>762</v>
      </c>
    </row>
    <row r="304" spans="1:2" x14ac:dyDescent="0.3">
      <c r="A304" t="s">
        <v>439</v>
      </c>
      <c r="B304" t="s">
        <v>763</v>
      </c>
    </row>
    <row r="305" spans="1:2" x14ac:dyDescent="0.3">
      <c r="A305" t="s">
        <v>440</v>
      </c>
      <c r="B305" t="s">
        <v>763</v>
      </c>
    </row>
    <row r="306" spans="1:2" x14ac:dyDescent="0.3">
      <c r="A306" t="s">
        <v>441</v>
      </c>
      <c r="B306" t="s">
        <v>763</v>
      </c>
    </row>
    <row r="307" spans="1:2" x14ac:dyDescent="0.3">
      <c r="A307" t="s">
        <v>442</v>
      </c>
      <c r="B307" t="s">
        <v>764</v>
      </c>
    </row>
    <row r="308" spans="1:2" x14ac:dyDescent="0.3">
      <c r="A308" t="s">
        <v>443</v>
      </c>
      <c r="B308" t="s">
        <v>764</v>
      </c>
    </row>
    <row r="309" spans="1:2" x14ac:dyDescent="0.3">
      <c r="A309" t="s">
        <v>444</v>
      </c>
      <c r="B309" t="s">
        <v>764</v>
      </c>
    </row>
    <row r="310" spans="1:2" x14ac:dyDescent="0.3">
      <c r="A310" t="s">
        <v>445</v>
      </c>
      <c r="B310" t="s">
        <v>765</v>
      </c>
    </row>
    <row r="311" spans="1:2" x14ac:dyDescent="0.3">
      <c r="A311" t="s">
        <v>446</v>
      </c>
      <c r="B311" t="s">
        <v>765</v>
      </c>
    </row>
    <row r="312" spans="1:2" x14ac:dyDescent="0.3">
      <c r="A312" t="s">
        <v>447</v>
      </c>
      <c r="B312" t="s">
        <v>765</v>
      </c>
    </row>
    <row r="313" spans="1:2" x14ac:dyDescent="0.3">
      <c r="A313" t="s">
        <v>448</v>
      </c>
      <c r="B313" t="s">
        <v>766</v>
      </c>
    </row>
    <row r="314" spans="1:2" x14ac:dyDescent="0.3">
      <c r="A314" t="s">
        <v>449</v>
      </c>
      <c r="B314" t="s">
        <v>766</v>
      </c>
    </row>
    <row r="315" spans="1:2" x14ac:dyDescent="0.3">
      <c r="A315" t="s">
        <v>450</v>
      </c>
      <c r="B315" t="s">
        <v>766</v>
      </c>
    </row>
    <row r="316" spans="1:2" x14ac:dyDescent="0.3">
      <c r="A316" t="s">
        <v>451</v>
      </c>
      <c r="B316" t="s">
        <v>767</v>
      </c>
    </row>
    <row r="317" spans="1:2" x14ac:dyDescent="0.3">
      <c r="A317" t="s">
        <v>452</v>
      </c>
      <c r="B317" t="s">
        <v>767</v>
      </c>
    </row>
    <row r="318" spans="1:2" x14ac:dyDescent="0.3">
      <c r="A318" t="s">
        <v>453</v>
      </c>
      <c r="B318" t="s">
        <v>767</v>
      </c>
    </row>
    <row r="319" spans="1:2" x14ac:dyDescent="0.3">
      <c r="A319" t="s">
        <v>454</v>
      </c>
      <c r="B319" t="s">
        <v>768</v>
      </c>
    </row>
    <row r="320" spans="1:2" x14ac:dyDescent="0.3">
      <c r="A320" t="s">
        <v>455</v>
      </c>
      <c r="B320" t="s">
        <v>768</v>
      </c>
    </row>
    <row r="321" spans="1:2" x14ac:dyDescent="0.3">
      <c r="A321" t="s">
        <v>456</v>
      </c>
      <c r="B321" t="s">
        <v>768</v>
      </c>
    </row>
    <row r="322" spans="1:2" x14ac:dyDescent="0.3">
      <c r="A322" t="s">
        <v>457</v>
      </c>
      <c r="B322" t="s">
        <v>768</v>
      </c>
    </row>
    <row r="323" spans="1:2" x14ac:dyDescent="0.3">
      <c r="A323" t="s">
        <v>458</v>
      </c>
      <c r="B323" t="s">
        <v>768</v>
      </c>
    </row>
    <row r="324" spans="1:2" x14ac:dyDescent="0.3">
      <c r="A324" t="s">
        <v>459</v>
      </c>
      <c r="B324" t="s">
        <v>769</v>
      </c>
    </row>
    <row r="325" spans="1:2" x14ac:dyDescent="0.3">
      <c r="A325" t="s">
        <v>460</v>
      </c>
      <c r="B325" t="s">
        <v>769</v>
      </c>
    </row>
    <row r="326" spans="1:2" x14ac:dyDescent="0.3">
      <c r="A326" t="s">
        <v>461</v>
      </c>
      <c r="B326" t="s">
        <v>769</v>
      </c>
    </row>
    <row r="327" spans="1:2" x14ac:dyDescent="0.3">
      <c r="A327" t="s">
        <v>462</v>
      </c>
      <c r="B327" t="s">
        <v>770</v>
      </c>
    </row>
    <row r="328" spans="1:2" x14ac:dyDescent="0.3">
      <c r="A328" t="s">
        <v>463</v>
      </c>
      <c r="B328" t="s">
        <v>770</v>
      </c>
    </row>
    <row r="329" spans="1:2" x14ac:dyDescent="0.3">
      <c r="A329" t="s">
        <v>464</v>
      </c>
      <c r="B329" t="s">
        <v>770</v>
      </c>
    </row>
    <row r="330" spans="1:2" x14ac:dyDescent="0.3">
      <c r="A330" t="s">
        <v>465</v>
      </c>
      <c r="B330" t="s">
        <v>771</v>
      </c>
    </row>
    <row r="331" spans="1:2" x14ac:dyDescent="0.3">
      <c r="A331" t="s">
        <v>466</v>
      </c>
      <c r="B331" t="s">
        <v>771</v>
      </c>
    </row>
    <row r="332" spans="1:2" x14ac:dyDescent="0.3">
      <c r="A332" t="s">
        <v>467</v>
      </c>
      <c r="B332" t="s">
        <v>771</v>
      </c>
    </row>
    <row r="333" spans="1:2" x14ac:dyDescent="0.3">
      <c r="A333" t="s">
        <v>468</v>
      </c>
      <c r="B333" t="s">
        <v>772</v>
      </c>
    </row>
    <row r="334" spans="1:2" x14ac:dyDescent="0.3">
      <c r="A334" t="s">
        <v>469</v>
      </c>
      <c r="B334" t="s">
        <v>772</v>
      </c>
    </row>
    <row r="335" spans="1:2" x14ac:dyDescent="0.3">
      <c r="A335" t="s">
        <v>470</v>
      </c>
      <c r="B335" t="s">
        <v>772</v>
      </c>
    </row>
    <row r="336" spans="1:2" x14ac:dyDescent="0.3">
      <c r="A336" t="s">
        <v>471</v>
      </c>
      <c r="B336" t="s">
        <v>773</v>
      </c>
    </row>
    <row r="337" spans="1:2" x14ac:dyDescent="0.3">
      <c r="A337" t="s">
        <v>472</v>
      </c>
      <c r="B337" t="s">
        <v>773</v>
      </c>
    </row>
    <row r="338" spans="1:2" x14ac:dyDescent="0.3">
      <c r="A338" t="s">
        <v>473</v>
      </c>
      <c r="B338" t="s">
        <v>773</v>
      </c>
    </row>
    <row r="339" spans="1:2" x14ac:dyDescent="0.3">
      <c r="A339" t="s">
        <v>474</v>
      </c>
      <c r="B339" t="s">
        <v>774</v>
      </c>
    </row>
    <row r="340" spans="1:2" x14ac:dyDescent="0.3">
      <c r="A340" t="s">
        <v>475</v>
      </c>
      <c r="B340" t="s">
        <v>774</v>
      </c>
    </row>
    <row r="341" spans="1:2" x14ac:dyDescent="0.3">
      <c r="A341" t="s">
        <v>476</v>
      </c>
      <c r="B341" t="s">
        <v>774</v>
      </c>
    </row>
    <row r="342" spans="1:2" x14ac:dyDescent="0.3">
      <c r="A342" t="s">
        <v>477</v>
      </c>
      <c r="B342" t="s">
        <v>775</v>
      </c>
    </row>
    <row r="343" spans="1:2" x14ac:dyDescent="0.3">
      <c r="A343" t="s">
        <v>478</v>
      </c>
      <c r="B343" t="s">
        <v>775</v>
      </c>
    </row>
    <row r="344" spans="1:2" x14ac:dyDescent="0.3">
      <c r="A344" t="s">
        <v>479</v>
      </c>
      <c r="B344" t="s">
        <v>775</v>
      </c>
    </row>
    <row r="345" spans="1:2" x14ac:dyDescent="0.3">
      <c r="A345" t="s">
        <v>480</v>
      </c>
      <c r="B345" t="s">
        <v>776</v>
      </c>
    </row>
    <row r="346" spans="1:2" x14ac:dyDescent="0.3">
      <c r="A346" t="s">
        <v>481</v>
      </c>
      <c r="B346" t="s">
        <v>776</v>
      </c>
    </row>
    <row r="347" spans="1:2" x14ac:dyDescent="0.3">
      <c r="A347" t="s">
        <v>482</v>
      </c>
      <c r="B347" t="s">
        <v>776</v>
      </c>
    </row>
    <row r="348" spans="1:2" x14ac:dyDescent="0.3">
      <c r="A348" t="s">
        <v>483</v>
      </c>
      <c r="B348" t="s">
        <v>777</v>
      </c>
    </row>
    <row r="349" spans="1:2" x14ac:dyDescent="0.3">
      <c r="A349" t="s">
        <v>484</v>
      </c>
      <c r="B349" t="s">
        <v>777</v>
      </c>
    </row>
    <row r="350" spans="1:2" x14ac:dyDescent="0.3">
      <c r="A350" t="s">
        <v>485</v>
      </c>
      <c r="B350" t="s">
        <v>778</v>
      </c>
    </row>
    <row r="351" spans="1:2" x14ac:dyDescent="0.3">
      <c r="A351" t="s">
        <v>486</v>
      </c>
      <c r="B351" t="s">
        <v>778</v>
      </c>
    </row>
    <row r="352" spans="1:2" x14ac:dyDescent="0.3">
      <c r="A352" t="s">
        <v>487</v>
      </c>
      <c r="B352" t="s">
        <v>778</v>
      </c>
    </row>
    <row r="353" spans="1:2" x14ac:dyDescent="0.3">
      <c r="A353" t="s">
        <v>488</v>
      </c>
      <c r="B353" t="s">
        <v>779</v>
      </c>
    </row>
    <row r="354" spans="1:2" x14ac:dyDescent="0.3">
      <c r="A354" t="s">
        <v>489</v>
      </c>
      <c r="B354" t="s">
        <v>779</v>
      </c>
    </row>
    <row r="355" spans="1:2" x14ac:dyDescent="0.3">
      <c r="A355" t="s">
        <v>490</v>
      </c>
      <c r="B355" t="s">
        <v>779</v>
      </c>
    </row>
    <row r="356" spans="1:2" x14ac:dyDescent="0.3">
      <c r="A356" t="s">
        <v>491</v>
      </c>
      <c r="B356" t="s">
        <v>780</v>
      </c>
    </row>
    <row r="357" spans="1:2" x14ac:dyDescent="0.3">
      <c r="A357" t="s">
        <v>492</v>
      </c>
      <c r="B357" t="s">
        <v>781</v>
      </c>
    </row>
    <row r="358" spans="1:2" x14ac:dyDescent="0.3">
      <c r="A358" t="s">
        <v>493</v>
      </c>
      <c r="B358" t="s">
        <v>781</v>
      </c>
    </row>
    <row r="359" spans="1:2" x14ac:dyDescent="0.3">
      <c r="A359" t="s">
        <v>494</v>
      </c>
      <c r="B359" t="s">
        <v>781</v>
      </c>
    </row>
    <row r="360" spans="1:2" x14ac:dyDescent="0.3">
      <c r="A360" t="s">
        <v>495</v>
      </c>
      <c r="B360" t="s">
        <v>670</v>
      </c>
    </row>
    <row r="361" spans="1:2" x14ac:dyDescent="0.3">
      <c r="A361" t="s">
        <v>496</v>
      </c>
      <c r="B361" t="s">
        <v>670</v>
      </c>
    </row>
    <row r="362" spans="1:2" x14ac:dyDescent="0.3">
      <c r="A362" t="s">
        <v>497</v>
      </c>
      <c r="B362" t="s">
        <v>670</v>
      </c>
    </row>
    <row r="363" spans="1:2" x14ac:dyDescent="0.3">
      <c r="A363" t="s">
        <v>498</v>
      </c>
      <c r="B363" t="s">
        <v>670</v>
      </c>
    </row>
    <row r="364" spans="1:2" x14ac:dyDescent="0.3">
      <c r="A364" t="s">
        <v>499</v>
      </c>
      <c r="B364" t="s">
        <v>670</v>
      </c>
    </row>
    <row r="365" spans="1:2" x14ac:dyDescent="0.3">
      <c r="A365" t="s">
        <v>500</v>
      </c>
      <c r="B365" t="s">
        <v>780</v>
      </c>
    </row>
    <row r="366" spans="1:2" x14ac:dyDescent="0.3">
      <c r="A366" t="s">
        <v>501</v>
      </c>
      <c r="B366" t="s">
        <v>780</v>
      </c>
    </row>
    <row r="367" spans="1:2" x14ac:dyDescent="0.3">
      <c r="A367" t="s">
        <v>502</v>
      </c>
      <c r="B367" t="s">
        <v>780</v>
      </c>
    </row>
    <row r="368" spans="1:2" x14ac:dyDescent="0.3">
      <c r="A368" t="s">
        <v>503</v>
      </c>
      <c r="B368" t="s">
        <v>780</v>
      </c>
    </row>
    <row r="369" spans="1:2" x14ac:dyDescent="0.3">
      <c r="A369" t="s">
        <v>504</v>
      </c>
      <c r="B369" t="s">
        <v>780</v>
      </c>
    </row>
    <row r="370" spans="1:2" x14ac:dyDescent="0.3">
      <c r="A370" t="s">
        <v>505</v>
      </c>
      <c r="B370" t="s">
        <v>780</v>
      </c>
    </row>
    <row r="371" spans="1:2" x14ac:dyDescent="0.3">
      <c r="A371" t="s">
        <v>506</v>
      </c>
      <c r="B371" t="s">
        <v>780</v>
      </c>
    </row>
    <row r="372" spans="1:2" x14ac:dyDescent="0.3">
      <c r="A372" t="s">
        <v>507</v>
      </c>
      <c r="B372" t="s">
        <v>780</v>
      </c>
    </row>
    <row r="373" spans="1:2" x14ac:dyDescent="0.3">
      <c r="A373" t="s">
        <v>508</v>
      </c>
      <c r="B373" t="s">
        <v>782</v>
      </c>
    </row>
    <row r="374" spans="1:2" x14ac:dyDescent="0.3">
      <c r="A374" t="s">
        <v>509</v>
      </c>
      <c r="B374" t="s">
        <v>782</v>
      </c>
    </row>
    <row r="375" spans="1:2" x14ac:dyDescent="0.3">
      <c r="A375" t="s">
        <v>510</v>
      </c>
      <c r="B375" t="s">
        <v>782</v>
      </c>
    </row>
    <row r="376" spans="1:2" x14ac:dyDescent="0.3">
      <c r="A376" t="s">
        <v>511</v>
      </c>
      <c r="B376" t="s">
        <v>783</v>
      </c>
    </row>
    <row r="377" spans="1:2" x14ac:dyDescent="0.3">
      <c r="A377" t="s">
        <v>512</v>
      </c>
      <c r="B377" t="s">
        <v>783</v>
      </c>
    </row>
    <row r="378" spans="1:2" x14ac:dyDescent="0.3">
      <c r="A378" t="s">
        <v>513</v>
      </c>
      <c r="B378" t="s">
        <v>783</v>
      </c>
    </row>
    <row r="379" spans="1:2" x14ac:dyDescent="0.3">
      <c r="A379" t="s">
        <v>514</v>
      </c>
      <c r="B379" t="s">
        <v>783</v>
      </c>
    </row>
    <row r="380" spans="1:2" x14ac:dyDescent="0.3">
      <c r="A380" t="s">
        <v>515</v>
      </c>
      <c r="B380" t="s">
        <v>784</v>
      </c>
    </row>
    <row r="381" spans="1:2" x14ac:dyDescent="0.3">
      <c r="A381" t="s">
        <v>516</v>
      </c>
      <c r="B381" t="s">
        <v>785</v>
      </c>
    </row>
    <row r="382" spans="1:2" x14ac:dyDescent="0.3">
      <c r="A382" t="s">
        <v>517</v>
      </c>
      <c r="B382" t="s">
        <v>785</v>
      </c>
    </row>
    <row r="383" spans="1:2" x14ac:dyDescent="0.3">
      <c r="A383" t="s">
        <v>518</v>
      </c>
      <c r="B383" t="s">
        <v>785</v>
      </c>
    </row>
    <row r="384" spans="1:2" x14ac:dyDescent="0.3">
      <c r="A384" t="s">
        <v>519</v>
      </c>
      <c r="B384" t="s">
        <v>786</v>
      </c>
    </row>
    <row r="385" spans="1:2" x14ac:dyDescent="0.3">
      <c r="A385" t="s">
        <v>520</v>
      </c>
      <c r="B385" t="s">
        <v>786</v>
      </c>
    </row>
    <row r="386" spans="1:2" x14ac:dyDescent="0.3">
      <c r="A386" t="s">
        <v>521</v>
      </c>
      <c r="B386" t="s">
        <v>786</v>
      </c>
    </row>
    <row r="387" spans="1:2" x14ac:dyDescent="0.3">
      <c r="A387" t="s">
        <v>522</v>
      </c>
      <c r="B387" t="s">
        <v>786</v>
      </c>
    </row>
    <row r="388" spans="1:2" x14ac:dyDescent="0.3">
      <c r="A388" t="s">
        <v>523</v>
      </c>
      <c r="B388" t="s">
        <v>786</v>
      </c>
    </row>
    <row r="389" spans="1:2" x14ac:dyDescent="0.3">
      <c r="A389" t="s">
        <v>524</v>
      </c>
      <c r="B389" t="s">
        <v>787</v>
      </c>
    </row>
    <row r="390" spans="1:2" x14ac:dyDescent="0.3">
      <c r="A390" t="s">
        <v>525</v>
      </c>
      <c r="B390" t="s">
        <v>787</v>
      </c>
    </row>
    <row r="391" spans="1:2" x14ac:dyDescent="0.3">
      <c r="A391" t="s">
        <v>526</v>
      </c>
      <c r="B391" t="s">
        <v>787</v>
      </c>
    </row>
    <row r="392" spans="1:2" x14ac:dyDescent="0.3">
      <c r="A392" t="s">
        <v>527</v>
      </c>
      <c r="B392" t="s">
        <v>788</v>
      </c>
    </row>
    <row r="393" spans="1:2" x14ac:dyDescent="0.3">
      <c r="A393" t="s">
        <v>528</v>
      </c>
      <c r="B393" t="s">
        <v>788</v>
      </c>
    </row>
    <row r="394" spans="1:2" x14ac:dyDescent="0.3">
      <c r="A394" t="s">
        <v>529</v>
      </c>
      <c r="B394" t="s">
        <v>788</v>
      </c>
    </row>
    <row r="395" spans="1:2" x14ac:dyDescent="0.3">
      <c r="A395" t="s">
        <v>530</v>
      </c>
      <c r="B395" t="s">
        <v>789</v>
      </c>
    </row>
    <row r="396" spans="1:2" x14ac:dyDescent="0.3">
      <c r="A396" t="s">
        <v>531</v>
      </c>
      <c r="B396" t="s">
        <v>789</v>
      </c>
    </row>
    <row r="397" spans="1:2" x14ac:dyDescent="0.3">
      <c r="A397" t="s">
        <v>532</v>
      </c>
      <c r="B397" t="s">
        <v>790</v>
      </c>
    </row>
    <row r="398" spans="1:2" x14ac:dyDescent="0.3">
      <c r="A398" t="s">
        <v>533</v>
      </c>
      <c r="B398" t="s">
        <v>790</v>
      </c>
    </row>
    <row r="399" spans="1:2" x14ac:dyDescent="0.3">
      <c r="A399" t="s">
        <v>534</v>
      </c>
      <c r="B399" t="s">
        <v>790</v>
      </c>
    </row>
    <row r="400" spans="1:2" x14ac:dyDescent="0.3">
      <c r="A400" t="s">
        <v>535</v>
      </c>
      <c r="B400" t="s">
        <v>791</v>
      </c>
    </row>
    <row r="401" spans="1:2" x14ac:dyDescent="0.3">
      <c r="A401" t="s">
        <v>536</v>
      </c>
      <c r="B401" t="s">
        <v>792</v>
      </c>
    </row>
    <row r="402" spans="1:2" x14ac:dyDescent="0.3">
      <c r="A402" t="s">
        <v>537</v>
      </c>
      <c r="B402" t="s">
        <v>792</v>
      </c>
    </row>
    <row r="403" spans="1:2" x14ac:dyDescent="0.3">
      <c r="A403" t="s">
        <v>538</v>
      </c>
      <c r="B403" t="s">
        <v>792</v>
      </c>
    </row>
    <row r="404" spans="1:2" x14ac:dyDescent="0.3">
      <c r="A404" t="s">
        <v>539</v>
      </c>
      <c r="B404" t="s">
        <v>793</v>
      </c>
    </row>
    <row r="405" spans="1:2" x14ac:dyDescent="0.3">
      <c r="A405" t="s">
        <v>540</v>
      </c>
      <c r="B405" t="s">
        <v>793</v>
      </c>
    </row>
    <row r="406" spans="1:2" x14ac:dyDescent="0.3">
      <c r="A406" t="s">
        <v>541</v>
      </c>
      <c r="B406" t="s">
        <v>793</v>
      </c>
    </row>
    <row r="407" spans="1:2" x14ac:dyDescent="0.3">
      <c r="A407" t="s">
        <v>542</v>
      </c>
      <c r="B407" t="s">
        <v>794</v>
      </c>
    </row>
    <row r="408" spans="1:2" x14ac:dyDescent="0.3">
      <c r="A408" t="s">
        <v>543</v>
      </c>
      <c r="B408" t="s">
        <v>794</v>
      </c>
    </row>
    <row r="409" spans="1:2" x14ac:dyDescent="0.3">
      <c r="A409" t="s">
        <v>544</v>
      </c>
      <c r="B409" t="s">
        <v>794</v>
      </c>
    </row>
    <row r="410" spans="1:2" x14ac:dyDescent="0.3">
      <c r="A410" t="s">
        <v>545</v>
      </c>
      <c r="B410" t="s">
        <v>795</v>
      </c>
    </row>
    <row r="411" spans="1:2" x14ac:dyDescent="0.3">
      <c r="A411" t="s">
        <v>546</v>
      </c>
      <c r="B411" t="s">
        <v>795</v>
      </c>
    </row>
    <row r="412" spans="1:2" x14ac:dyDescent="0.3">
      <c r="A412" t="s">
        <v>547</v>
      </c>
      <c r="B412" t="s">
        <v>796</v>
      </c>
    </row>
    <row r="413" spans="1:2" x14ac:dyDescent="0.3">
      <c r="A413" t="s">
        <v>548</v>
      </c>
      <c r="B413" t="s">
        <v>796</v>
      </c>
    </row>
    <row r="414" spans="1:2" x14ac:dyDescent="0.3">
      <c r="A414" t="s">
        <v>549</v>
      </c>
      <c r="B414" t="s">
        <v>796</v>
      </c>
    </row>
    <row r="415" spans="1:2" x14ac:dyDescent="0.3">
      <c r="A415" t="s">
        <v>550</v>
      </c>
      <c r="B415" t="s">
        <v>729</v>
      </c>
    </row>
    <row r="416" spans="1:2" x14ac:dyDescent="0.3">
      <c r="A416" t="s">
        <v>551</v>
      </c>
      <c r="B416" t="s">
        <v>797</v>
      </c>
    </row>
    <row r="417" spans="1:2" x14ac:dyDescent="0.3">
      <c r="A417" t="s">
        <v>552</v>
      </c>
      <c r="B417" t="s">
        <v>797</v>
      </c>
    </row>
    <row r="418" spans="1:2" x14ac:dyDescent="0.3">
      <c r="A418" t="s">
        <v>553</v>
      </c>
      <c r="B418" t="s">
        <v>797</v>
      </c>
    </row>
    <row r="419" spans="1:2" x14ac:dyDescent="0.3">
      <c r="A419" t="s">
        <v>554</v>
      </c>
      <c r="B419" t="s">
        <v>798</v>
      </c>
    </row>
    <row r="420" spans="1:2" x14ac:dyDescent="0.3">
      <c r="A420" t="s">
        <v>555</v>
      </c>
      <c r="B420" t="s">
        <v>798</v>
      </c>
    </row>
    <row r="421" spans="1:2" x14ac:dyDescent="0.3">
      <c r="A421" t="s">
        <v>556</v>
      </c>
      <c r="B421" t="s">
        <v>798</v>
      </c>
    </row>
    <row r="422" spans="1:2" x14ac:dyDescent="0.3">
      <c r="A422" t="s">
        <v>557</v>
      </c>
      <c r="B422" t="s">
        <v>799</v>
      </c>
    </row>
    <row r="423" spans="1:2" x14ac:dyDescent="0.3">
      <c r="A423" t="s">
        <v>558</v>
      </c>
      <c r="B423" t="s">
        <v>799</v>
      </c>
    </row>
    <row r="424" spans="1:2" x14ac:dyDescent="0.3">
      <c r="A424" t="s">
        <v>559</v>
      </c>
      <c r="B424" t="s">
        <v>799</v>
      </c>
    </row>
    <row r="425" spans="1:2" x14ac:dyDescent="0.3">
      <c r="A425" t="s">
        <v>560</v>
      </c>
      <c r="B425" t="s">
        <v>800</v>
      </c>
    </row>
    <row r="426" spans="1:2" x14ac:dyDescent="0.3">
      <c r="A426" t="s">
        <v>561</v>
      </c>
      <c r="B426" t="s">
        <v>800</v>
      </c>
    </row>
    <row r="427" spans="1:2" x14ac:dyDescent="0.3">
      <c r="A427" t="s">
        <v>562</v>
      </c>
      <c r="B427" t="s">
        <v>800</v>
      </c>
    </row>
    <row r="428" spans="1:2" x14ac:dyDescent="0.3">
      <c r="A428" t="s">
        <v>563</v>
      </c>
      <c r="B428" t="s">
        <v>801</v>
      </c>
    </row>
    <row r="429" spans="1:2" x14ac:dyDescent="0.3">
      <c r="A429" t="s">
        <v>564</v>
      </c>
      <c r="B429" t="s">
        <v>801</v>
      </c>
    </row>
    <row r="430" spans="1:2" x14ac:dyDescent="0.3">
      <c r="A430" t="s">
        <v>565</v>
      </c>
      <c r="B430" t="s">
        <v>801</v>
      </c>
    </row>
    <row r="431" spans="1:2" x14ac:dyDescent="0.3">
      <c r="A431" t="s">
        <v>566</v>
      </c>
      <c r="B431" t="s">
        <v>801</v>
      </c>
    </row>
    <row r="432" spans="1:2" x14ac:dyDescent="0.3">
      <c r="A432" t="s">
        <v>567</v>
      </c>
      <c r="B432" t="s">
        <v>802</v>
      </c>
    </row>
    <row r="433" spans="1:2" x14ac:dyDescent="0.3">
      <c r="A433" t="s">
        <v>568</v>
      </c>
      <c r="B433" t="s">
        <v>802</v>
      </c>
    </row>
    <row r="434" spans="1:2" x14ac:dyDescent="0.3">
      <c r="A434" t="s">
        <v>569</v>
      </c>
      <c r="B434" t="s">
        <v>802</v>
      </c>
    </row>
    <row r="435" spans="1:2" x14ac:dyDescent="0.3">
      <c r="A435" t="s">
        <v>570</v>
      </c>
      <c r="B435" t="s">
        <v>803</v>
      </c>
    </row>
    <row r="436" spans="1:2" x14ac:dyDescent="0.3">
      <c r="A436" t="s">
        <v>571</v>
      </c>
      <c r="B436" t="s">
        <v>803</v>
      </c>
    </row>
    <row r="437" spans="1:2" x14ac:dyDescent="0.3">
      <c r="A437" t="s">
        <v>572</v>
      </c>
      <c r="B437" t="s">
        <v>803</v>
      </c>
    </row>
    <row r="438" spans="1:2" x14ac:dyDescent="0.3">
      <c r="A438" t="s">
        <v>573</v>
      </c>
      <c r="B438" t="s">
        <v>804</v>
      </c>
    </row>
    <row r="439" spans="1:2" x14ac:dyDescent="0.3">
      <c r="A439" t="s">
        <v>574</v>
      </c>
      <c r="B439" t="s">
        <v>781</v>
      </c>
    </row>
    <row r="440" spans="1:2" x14ac:dyDescent="0.3">
      <c r="A440" t="s">
        <v>575</v>
      </c>
      <c r="B440" t="s">
        <v>805</v>
      </c>
    </row>
    <row r="441" spans="1:2" x14ac:dyDescent="0.3">
      <c r="A441" t="s">
        <v>576</v>
      </c>
      <c r="B441" t="s">
        <v>806</v>
      </c>
    </row>
    <row r="442" spans="1:2" x14ac:dyDescent="0.3">
      <c r="A442" t="s">
        <v>577</v>
      </c>
      <c r="B442" t="s">
        <v>806</v>
      </c>
    </row>
    <row r="443" spans="1:2" x14ac:dyDescent="0.3">
      <c r="A443" t="s">
        <v>578</v>
      </c>
      <c r="B443" t="s">
        <v>806</v>
      </c>
    </row>
    <row r="444" spans="1:2" x14ac:dyDescent="0.3">
      <c r="A444" t="s">
        <v>579</v>
      </c>
      <c r="B444" t="s">
        <v>806</v>
      </c>
    </row>
    <row r="445" spans="1:2" x14ac:dyDescent="0.3">
      <c r="A445" t="s">
        <v>580</v>
      </c>
      <c r="B445" t="s">
        <v>807</v>
      </c>
    </row>
    <row r="446" spans="1:2" x14ac:dyDescent="0.3">
      <c r="A446" t="s">
        <v>581</v>
      </c>
      <c r="B446" t="s">
        <v>807</v>
      </c>
    </row>
    <row r="447" spans="1:2" x14ac:dyDescent="0.3">
      <c r="A447" t="s">
        <v>582</v>
      </c>
      <c r="B447" t="s">
        <v>807</v>
      </c>
    </row>
    <row r="448" spans="1:2" x14ac:dyDescent="0.3">
      <c r="A448" t="s">
        <v>583</v>
      </c>
      <c r="B448" t="s">
        <v>807</v>
      </c>
    </row>
    <row r="449" spans="1:2" x14ac:dyDescent="0.3">
      <c r="A449" t="s">
        <v>584</v>
      </c>
      <c r="B449" t="s">
        <v>808</v>
      </c>
    </row>
    <row r="450" spans="1:2" x14ac:dyDescent="0.3">
      <c r="A450" t="s">
        <v>585</v>
      </c>
      <c r="B450" t="s">
        <v>808</v>
      </c>
    </row>
    <row r="451" spans="1:2" x14ac:dyDescent="0.3">
      <c r="A451" t="s">
        <v>586</v>
      </c>
      <c r="B451" t="s">
        <v>808</v>
      </c>
    </row>
    <row r="452" spans="1:2" x14ac:dyDescent="0.3">
      <c r="A452" t="s">
        <v>587</v>
      </c>
      <c r="B452" t="s">
        <v>809</v>
      </c>
    </row>
    <row r="453" spans="1:2" x14ac:dyDescent="0.3">
      <c r="A453" t="s">
        <v>588</v>
      </c>
      <c r="B453" t="s">
        <v>809</v>
      </c>
    </row>
    <row r="454" spans="1:2" x14ac:dyDescent="0.3">
      <c r="A454" t="s">
        <v>589</v>
      </c>
      <c r="B454" t="s">
        <v>809</v>
      </c>
    </row>
    <row r="455" spans="1:2" x14ac:dyDescent="0.3">
      <c r="A455" t="s">
        <v>590</v>
      </c>
      <c r="B455" t="s">
        <v>809</v>
      </c>
    </row>
    <row r="456" spans="1:2" x14ac:dyDescent="0.3">
      <c r="A456" t="s">
        <v>591</v>
      </c>
      <c r="B456" t="s">
        <v>809</v>
      </c>
    </row>
    <row r="457" spans="1:2" x14ac:dyDescent="0.3">
      <c r="A457" t="s">
        <v>592</v>
      </c>
      <c r="B457" t="s">
        <v>809</v>
      </c>
    </row>
    <row r="458" spans="1:2" x14ac:dyDescent="0.3">
      <c r="A458" t="s">
        <v>593</v>
      </c>
      <c r="B458" t="s">
        <v>810</v>
      </c>
    </row>
    <row r="459" spans="1:2" x14ac:dyDescent="0.3">
      <c r="A459" t="s">
        <v>594</v>
      </c>
      <c r="B459" t="s">
        <v>810</v>
      </c>
    </row>
    <row r="460" spans="1:2" x14ac:dyDescent="0.3">
      <c r="A460" t="s">
        <v>595</v>
      </c>
      <c r="B460" t="s">
        <v>811</v>
      </c>
    </row>
    <row r="461" spans="1:2" x14ac:dyDescent="0.3">
      <c r="A461" t="s">
        <v>596</v>
      </c>
      <c r="B461" t="s">
        <v>812</v>
      </c>
    </row>
    <row r="462" spans="1:2" x14ac:dyDescent="0.3">
      <c r="A462" t="s">
        <v>597</v>
      </c>
      <c r="B462" t="s">
        <v>812</v>
      </c>
    </row>
    <row r="463" spans="1:2" x14ac:dyDescent="0.3">
      <c r="A463" t="s">
        <v>598</v>
      </c>
      <c r="B463" t="s">
        <v>812</v>
      </c>
    </row>
    <row r="464" spans="1:2" x14ac:dyDescent="0.3">
      <c r="A464" t="s">
        <v>599</v>
      </c>
      <c r="B464" t="s">
        <v>813</v>
      </c>
    </row>
    <row r="465" spans="1:2" x14ac:dyDescent="0.3">
      <c r="A465" t="s">
        <v>600</v>
      </c>
      <c r="B465" t="s">
        <v>814</v>
      </c>
    </row>
    <row r="466" spans="1:2" x14ac:dyDescent="0.3">
      <c r="A466" t="s">
        <v>601</v>
      </c>
      <c r="B466" t="s">
        <v>814</v>
      </c>
    </row>
    <row r="467" spans="1:2" x14ac:dyDescent="0.3">
      <c r="A467" t="s">
        <v>602</v>
      </c>
      <c r="B467" t="s">
        <v>814</v>
      </c>
    </row>
    <row r="468" spans="1:2" x14ac:dyDescent="0.3">
      <c r="A468" t="s">
        <v>603</v>
      </c>
      <c r="B468" t="s">
        <v>815</v>
      </c>
    </row>
    <row r="469" spans="1:2" x14ac:dyDescent="0.3">
      <c r="A469" t="s">
        <v>604</v>
      </c>
      <c r="B469" t="s">
        <v>815</v>
      </c>
    </row>
    <row r="470" spans="1:2" x14ac:dyDescent="0.3">
      <c r="A470" t="s">
        <v>605</v>
      </c>
      <c r="B470" t="s">
        <v>815</v>
      </c>
    </row>
    <row r="471" spans="1:2" x14ac:dyDescent="0.3">
      <c r="A471" t="s">
        <v>606</v>
      </c>
      <c r="B471" t="s">
        <v>816</v>
      </c>
    </row>
    <row r="472" spans="1:2" x14ac:dyDescent="0.3">
      <c r="A472" t="s">
        <v>607</v>
      </c>
      <c r="B472" t="s">
        <v>816</v>
      </c>
    </row>
    <row r="473" spans="1:2" x14ac:dyDescent="0.3">
      <c r="A473" t="s">
        <v>608</v>
      </c>
      <c r="B473" t="s">
        <v>816</v>
      </c>
    </row>
    <row r="474" spans="1:2" x14ac:dyDescent="0.3">
      <c r="A474" t="s">
        <v>609</v>
      </c>
      <c r="B474" t="s">
        <v>817</v>
      </c>
    </row>
    <row r="475" spans="1:2" x14ac:dyDescent="0.3">
      <c r="A475" t="s">
        <v>610</v>
      </c>
      <c r="B475" t="s">
        <v>817</v>
      </c>
    </row>
    <row r="476" spans="1:2" x14ac:dyDescent="0.3">
      <c r="A476" t="s">
        <v>611</v>
      </c>
      <c r="B476" t="s">
        <v>817</v>
      </c>
    </row>
    <row r="477" spans="1:2" x14ac:dyDescent="0.3">
      <c r="A477" t="s">
        <v>612</v>
      </c>
      <c r="B477" t="s">
        <v>818</v>
      </c>
    </row>
    <row r="478" spans="1:2" x14ac:dyDescent="0.3">
      <c r="A478" t="s">
        <v>613</v>
      </c>
      <c r="B478" t="s">
        <v>818</v>
      </c>
    </row>
    <row r="479" spans="1:2" x14ac:dyDescent="0.3">
      <c r="A479" t="s">
        <v>614</v>
      </c>
      <c r="B479" t="s">
        <v>818</v>
      </c>
    </row>
    <row r="480" spans="1:2" x14ac:dyDescent="0.3">
      <c r="A480" t="s">
        <v>615</v>
      </c>
      <c r="B480" t="s">
        <v>819</v>
      </c>
    </row>
    <row r="481" spans="1:2" x14ac:dyDescent="0.3">
      <c r="A481" t="s">
        <v>616</v>
      </c>
      <c r="B481" t="s">
        <v>819</v>
      </c>
    </row>
    <row r="482" spans="1:2" x14ac:dyDescent="0.3">
      <c r="A482" t="s">
        <v>617</v>
      </c>
      <c r="B482" t="s">
        <v>819</v>
      </c>
    </row>
    <row r="483" spans="1:2" x14ac:dyDescent="0.3">
      <c r="A483" t="s">
        <v>618</v>
      </c>
      <c r="B483" t="s">
        <v>820</v>
      </c>
    </row>
    <row r="484" spans="1:2" x14ac:dyDescent="0.3">
      <c r="A484" t="s">
        <v>619</v>
      </c>
      <c r="B484" t="s">
        <v>820</v>
      </c>
    </row>
    <row r="485" spans="1:2" x14ac:dyDescent="0.3">
      <c r="A485" t="s">
        <v>620</v>
      </c>
      <c r="B485" t="s">
        <v>820</v>
      </c>
    </row>
    <row r="486" spans="1:2" x14ac:dyDescent="0.3">
      <c r="A486" t="s">
        <v>621</v>
      </c>
      <c r="B486" t="s">
        <v>821</v>
      </c>
    </row>
    <row r="487" spans="1:2" x14ac:dyDescent="0.3">
      <c r="A487" t="s">
        <v>622</v>
      </c>
      <c r="B487" t="s">
        <v>821</v>
      </c>
    </row>
    <row r="488" spans="1:2" x14ac:dyDescent="0.3">
      <c r="A488" t="s">
        <v>623</v>
      </c>
      <c r="B488" t="s">
        <v>821</v>
      </c>
    </row>
    <row r="489" spans="1:2" x14ac:dyDescent="0.3">
      <c r="A489" t="s">
        <v>624</v>
      </c>
      <c r="B489" t="s">
        <v>768</v>
      </c>
    </row>
    <row r="490" spans="1:2" x14ac:dyDescent="0.3">
      <c r="A490" t="s">
        <v>625</v>
      </c>
      <c r="B490" t="s">
        <v>768</v>
      </c>
    </row>
    <row r="491" spans="1:2" x14ac:dyDescent="0.3">
      <c r="A491" t="s">
        <v>626</v>
      </c>
      <c r="B491" t="s">
        <v>822</v>
      </c>
    </row>
    <row r="492" spans="1:2" x14ac:dyDescent="0.3">
      <c r="A492" t="s">
        <v>627</v>
      </c>
      <c r="B492" t="s">
        <v>822</v>
      </c>
    </row>
    <row r="493" spans="1:2" x14ac:dyDescent="0.3">
      <c r="A493" t="s">
        <v>628</v>
      </c>
      <c r="B493" t="s">
        <v>823</v>
      </c>
    </row>
    <row r="494" spans="1:2" x14ac:dyDescent="0.3">
      <c r="A494" t="s">
        <v>629</v>
      </c>
      <c r="B494" t="s">
        <v>823</v>
      </c>
    </row>
    <row r="495" spans="1:2" x14ac:dyDescent="0.3">
      <c r="A495" t="s">
        <v>630</v>
      </c>
      <c r="B495" t="s">
        <v>823</v>
      </c>
    </row>
    <row r="496" spans="1:2" x14ac:dyDescent="0.3">
      <c r="A496" t="s">
        <v>631</v>
      </c>
      <c r="B496" t="s">
        <v>777</v>
      </c>
    </row>
    <row r="497" spans="1:2" x14ac:dyDescent="0.3">
      <c r="A497" t="s">
        <v>632</v>
      </c>
      <c r="B497" t="s">
        <v>824</v>
      </c>
    </row>
    <row r="498" spans="1:2" x14ac:dyDescent="0.3">
      <c r="A498" t="s">
        <v>633</v>
      </c>
      <c r="B498" t="s">
        <v>825</v>
      </c>
    </row>
    <row r="499" spans="1:2" x14ac:dyDescent="0.3">
      <c r="A499" t="s">
        <v>634</v>
      </c>
      <c r="B499" t="s">
        <v>825</v>
      </c>
    </row>
    <row r="500" spans="1:2" x14ac:dyDescent="0.3">
      <c r="A500" t="s">
        <v>635</v>
      </c>
      <c r="B500" t="s">
        <v>825</v>
      </c>
    </row>
    <row r="501" spans="1:2" x14ac:dyDescent="0.3">
      <c r="A501" t="s">
        <v>636</v>
      </c>
      <c r="B501" t="s">
        <v>826</v>
      </c>
    </row>
    <row r="502" spans="1:2" x14ac:dyDescent="0.3">
      <c r="A502" t="s">
        <v>637</v>
      </c>
      <c r="B502" t="s">
        <v>826</v>
      </c>
    </row>
    <row r="503" spans="1:2" x14ac:dyDescent="0.3">
      <c r="A503" t="s">
        <v>638</v>
      </c>
      <c r="B503" t="s">
        <v>826</v>
      </c>
    </row>
    <row r="504" spans="1:2" x14ac:dyDescent="0.3">
      <c r="A504" t="s">
        <v>639</v>
      </c>
      <c r="B504" t="s">
        <v>826</v>
      </c>
    </row>
    <row r="505" spans="1:2" x14ac:dyDescent="0.3">
      <c r="A505" t="s">
        <v>640</v>
      </c>
      <c r="B505" t="s">
        <v>827</v>
      </c>
    </row>
    <row r="506" spans="1:2" x14ac:dyDescent="0.3">
      <c r="A506" t="s">
        <v>641</v>
      </c>
      <c r="B506" t="s">
        <v>827</v>
      </c>
    </row>
    <row r="507" spans="1:2" x14ac:dyDescent="0.3">
      <c r="A507" t="s">
        <v>642</v>
      </c>
      <c r="B507" t="s">
        <v>827</v>
      </c>
    </row>
    <row r="508" spans="1:2" x14ac:dyDescent="0.3">
      <c r="A508" t="s">
        <v>643</v>
      </c>
      <c r="B508" t="s">
        <v>827</v>
      </c>
    </row>
    <row r="509" spans="1:2" x14ac:dyDescent="0.3">
      <c r="A509" t="s">
        <v>644</v>
      </c>
      <c r="B509" t="s">
        <v>828</v>
      </c>
    </row>
    <row r="510" spans="1:2" x14ac:dyDescent="0.3">
      <c r="A510" t="s">
        <v>645</v>
      </c>
      <c r="B510" t="s">
        <v>828</v>
      </c>
    </row>
    <row r="511" spans="1:2" x14ac:dyDescent="0.3">
      <c r="A511" t="s">
        <v>646</v>
      </c>
      <c r="B511" t="s">
        <v>828</v>
      </c>
    </row>
    <row r="512" spans="1:2" x14ac:dyDescent="0.3">
      <c r="A512" t="s">
        <v>647</v>
      </c>
      <c r="B512" t="s">
        <v>829</v>
      </c>
    </row>
    <row r="513" spans="1:2" x14ac:dyDescent="0.3">
      <c r="A513" t="s">
        <v>648</v>
      </c>
      <c r="B513" t="s">
        <v>829</v>
      </c>
    </row>
    <row r="514" spans="1:2" x14ac:dyDescent="0.3">
      <c r="A514" t="s">
        <v>649</v>
      </c>
      <c r="B514" t="s">
        <v>829</v>
      </c>
    </row>
    <row r="515" spans="1:2" x14ac:dyDescent="0.3">
      <c r="A515" t="s">
        <v>650</v>
      </c>
      <c r="B515" t="s">
        <v>829</v>
      </c>
    </row>
    <row r="516" spans="1:2" x14ac:dyDescent="0.3">
      <c r="A516" t="s">
        <v>651</v>
      </c>
      <c r="B516" t="s">
        <v>829</v>
      </c>
    </row>
    <row r="517" spans="1:2" x14ac:dyDescent="0.3">
      <c r="A517" t="s">
        <v>652</v>
      </c>
      <c r="B517" t="s">
        <v>830</v>
      </c>
    </row>
    <row r="518" spans="1:2" x14ac:dyDescent="0.3">
      <c r="A518" t="s">
        <v>653</v>
      </c>
      <c r="B518" t="s">
        <v>830</v>
      </c>
    </row>
    <row r="519" spans="1:2" x14ac:dyDescent="0.3">
      <c r="A519" t="s">
        <v>654</v>
      </c>
      <c r="B519" t="s">
        <v>831</v>
      </c>
    </row>
    <row r="520" spans="1:2" x14ac:dyDescent="0.3">
      <c r="A520" t="s">
        <v>655</v>
      </c>
      <c r="B520" t="s">
        <v>831</v>
      </c>
    </row>
    <row r="521" spans="1:2" x14ac:dyDescent="0.3">
      <c r="A521" t="s">
        <v>656</v>
      </c>
      <c r="B521" t="s">
        <v>831</v>
      </c>
    </row>
    <row r="522" spans="1:2" x14ac:dyDescent="0.3">
      <c r="A522" t="s">
        <v>657</v>
      </c>
      <c r="B522" t="s">
        <v>832</v>
      </c>
    </row>
    <row r="523" spans="1:2" x14ac:dyDescent="0.3">
      <c r="A523" t="s">
        <v>658</v>
      </c>
      <c r="B523" t="s">
        <v>832</v>
      </c>
    </row>
    <row r="524" spans="1:2" x14ac:dyDescent="0.3">
      <c r="A524" t="s">
        <v>659</v>
      </c>
      <c r="B524" t="s">
        <v>832</v>
      </c>
    </row>
    <row r="525" spans="1:2" x14ac:dyDescent="0.3">
      <c r="A525" t="s">
        <v>660</v>
      </c>
      <c r="B525" t="s">
        <v>833</v>
      </c>
    </row>
    <row r="526" spans="1:2" x14ac:dyDescent="0.3">
      <c r="A526" t="s">
        <v>661</v>
      </c>
      <c r="B526" t="s">
        <v>833</v>
      </c>
    </row>
    <row r="527" spans="1:2" x14ac:dyDescent="0.3">
      <c r="A527" t="s">
        <v>662</v>
      </c>
      <c r="B527" t="s">
        <v>833</v>
      </c>
    </row>
    <row r="528" spans="1:2" x14ac:dyDescent="0.3">
      <c r="A528" t="s">
        <v>876</v>
      </c>
      <c r="B528" t="s">
        <v>1810</v>
      </c>
    </row>
    <row r="529" spans="1:2" x14ac:dyDescent="0.3">
      <c r="A529" t="s">
        <v>1811</v>
      </c>
      <c r="B529" t="s">
        <v>1812</v>
      </c>
    </row>
    <row r="530" spans="1:2" x14ac:dyDescent="0.3">
      <c r="A530" t="s">
        <v>1813</v>
      </c>
      <c r="B530" t="s">
        <v>1814</v>
      </c>
    </row>
    <row r="531" spans="1:2" x14ac:dyDescent="0.3">
      <c r="A531" t="s">
        <v>1815</v>
      </c>
      <c r="B531" t="s">
        <v>1816</v>
      </c>
    </row>
    <row r="532" spans="1:2" x14ac:dyDescent="0.3">
      <c r="A532" t="s">
        <v>1817</v>
      </c>
      <c r="B532" t="s">
        <v>1818</v>
      </c>
    </row>
    <row r="533" spans="1:2" x14ac:dyDescent="0.3">
      <c r="A533" t="s">
        <v>977</v>
      </c>
      <c r="B533" t="s">
        <v>1819</v>
      </c>
    </row>
    <row r="534" spans="1:2" x14ac:dyDescent="0.3">
      <c r="A534" t="s">
        <v>1820</v>
      </c>
      <c r="B534" t="s">
        <v>1821</v>
      </c>
    </row>
    <row r="535" spans="1:2" x14ac:dyDescent="0.3">
      <c r="A535" t="s">
        <v>1822</v>
      </c>
      <c r="B535" t="s">
        <v>1823</v>
      </c>
    </row>
    <row r="536" spans="1:2" x14ac:dyDescent="0.3">
      <c r="A536" t="s">
        <v>1824</v>
      </c>
      <c r="B536" t="s">
        <v>1825</v>
      </c>
    </row>
    <row r="537" spans="1:2" x14ac:dyDescent="0.3">
      <c r="A537" t="s">
        <v>1826</v>
      </c>
      <c r="B537" t="s">
        <v>1827</v>
      </c>
    </row>
    <row r="538" spans="1:2" x14ac:dyDescent="0.3">
      <c r="A538" t="s">
        <v>1828</v>
      </c>
      <c r="B538" t="s">
        <v>1829</v>
      </c>
    </row>
    <row r="539" spans="1:2" x14ac:dyDescent="0.3">
      <c r="A539" t="s">
        <v>1830</v>
      </c>
      <c r="B539" t="s">
        <v>1831</v>
      </c>
    </row>
    <row r="540" spans="1:2" x14ac:dyDescent="0.3">
      <c r="A540" t="s">
        <v>1832</v>
      </c>
      <c r="B540" t="s">
        <v>1833</v>
      </c>
    </row>
    <row r="541" spans="1:2" x14ac:dyDescent="0.3">
      <c r="A541" t="s">
        <v>1834</v>
      </c>
      <c r="B541" t="s">
        <v>1835</v>
      </c>
    </row>
    <row r="542" spans="1:2" x14ac:dyDescent="0.3">
      <c r="A542" t="s">
        <v>1836</v>
      </c>
      <c r="B542" t="s">
        <v>1837</v>
      </c>
    </row>
    <row r="543" spans="1:2" x14ac:dyDescent="0.3">
      <c r="A543" t="s">
        <v>1838</v>
      </c>
      <c r="B543" t="s">
        <v>1839</v>
      </c>
    </row>
    <row r="544" spans="1:2" x14ac:dyDescent="0.3">
      <c r="A544" t="s">
        <v>1840</v>
      </c>
      <c r="B544" t="s">
        <v>1841</v>
      </c>
    </row>
    <row r="545" spans="1:2" x14ac:dyDescent="0.3">
      <c r="A545" t="s">
        <v>1842</v>
      </c>
      <c r="B545" t="s">
        <v>1843</v>
      </c>
    </row>
    <row r="546" spans="1:2" x14ac:dyDescent="0.3">
      <c r="A546" t="s">
        <v>1844</v>
      </c>
      <c r="B546" t="s">
        <v>1845</v>
      </c>
    </row>
    <row r="547" spans="1:2" x14ac:dyDescent="0.3">
      <c r="A547" t="s">
        <v>1846</v>
      </c>
      <c r="B547" t="s">
        <v>1847</v>
      </c>
    </row>
    <row r="548" spans="1:2" x14ac:dyDescent="0.3">
      <c r="A548" t="s">
        <v>1848</v>
      </c>
      <c r="B548" t="s">
        <v>1849</v>
      </c>
    </row>
    <row r="549" spans="1:2" x14ac:dyDescent="0.3">
      <c r="A549" t="s">
        <v>1850</v>
      </c>
      <c r="B549" t="s">
        <v>1851</v>
      </c>
    </row>
    <row r="550" spans="1:2" x14ac:dyDescent="0.3">
      <c r="A550" t="s">
        <v>1852</v>
      </c>
      <c r="B550" t="s">
        <v>1853</v>
      </c>
    </row>
    <row r="551" spans="1:2" x14ac:dyDescent="0.3">
      <c r="A551" t="s">
        <v>1854</v>
      </c>
      <c r="B551" t="s">
        <v>1855</v>
      </c>
    </row>
    <row r="552" spans="1:2" x14ac:dyDescent="0.3">
      <c r="A552" t="s">
        <v>1856</v>
      </c>
      <c r="B552" t="s">
        <v>1857</v>
      </c>
    </row>
    <row r="553" spans="1:2" x14ac:dyDescent="0.3">
      <c r="A553" t="s">
        <v>1858</v>
      </c>
      <c r="B553" t="s">
        <v>1859</v>
      </c>
    </row>
    <row r="554" spans="1:2" x14ac:dyDescent="0.3">
      <c r="A554" t="s">
        <v>1860</v>
      </c>
      <c r="B554" t="s">
        <v>1861</v>
      </c>
    </row>
    <row r="555" spans="1:2" x14ac:dyDescent="0.3">
      <c r="A555" t="s">
        <v>1862</v>
      </c>
      <c r="B555" t="s">
        <v>1863</v>
      </c>
    </row>
    <row r="556" spans="1:2" x14ac:dyDescent="0.3">
      <c r="A556" t="s">
        <v>1864</v>
      </c>
      <c r="B556" t="s">
        <v>1865</v>
      </c>
    </row>
    <row r="557" spans="1:2" x14ac:dyDescent="0.3">
      <c r="A557" t="s">
        <v>1866</v>
      </c>
      <c r="B557" t="s">
        <v>1867</v>
      </c>
    </row>
    <row r="558" spans="1:2" x14ac:dyDescent="0.3">
      <c r="A558" t="s">
        <v>1868</v>
      </c>
      <c r="B558" t="s">
        <v>1869</v>
      </c>
    </row>
    <row r="559" spans="1:2" s="4" customFormat="1" x14ac:dyDescent="0.3">
      <c r="A559" s="4" t="s">
        <v>879</v>
      </c>
      <c r="B559" s="4" t="s">
        <v>1870</v>
      </c>
    </row>
    <row r="560" spans="1:2" x14ac:dyDescent="0.3">
      <c r="A560" t="s">
        <v>137</v>
      </c>
      <c r="B560" t="s">
        <v>139</v>
      </c>
    </row>
    <row r="561" spans="1:2" x14ac:dyDescent="0.3">
      <c r="A561" t="s">
        <v>138</v>
      </c>
      <c r="B561" t="s">
        <v>1983</v>
      </c>
    </row>
    <row r="562" spans="1:2" x14ac:dyDescent="0.3">
      <c r="A562" t="s">
        <v>834</v>
      </c>
      <c r="B562" t="s">
        <v>140</v>
      </c>
    </row>
    <row r="563" spans="1:2" x14ac:dyDescent="0.3">
      <c r="A563" t="s">
        <v>835</v>
      </c>
      <c r="B563" t="s">
        <v>1876</v>
      </c>
    </row>
    <row r="564" spans="1:2" x14ac:dyDescent="0.3">
      <c r="A564" t="s">
        <v>836</v>
      </c>
      <c r="B564" t="s">
        <v>1155</v>
      </c>
    </row>
    <row r="565" spans="1:2" x14ac:dyDescent="0.3">
      <c r="A565" t="s">
        <v>837</v>
      </c>
      <c r="B565" t="s">
        <v>1984</v>
      </c>
    </row>
    <row r="566" spans="1:2" x14ac:dyDescent="0.3">
      <c r="A566" t="s">
        <v>880</v>
      </c>
      <c r="B566" t="s">
        <v>1985</v>
      </c>
    </row>
    <row r="567" spans="1:2" x14ac:dyDescent="0.3">
      <c r="A567" t="s">
        <v>838</v>
      </c>
      <c r="B567" t="s">
        <v>1986</v>
      </c>
    </row>
    <row r="568" spans="1:2" x14ac:dyDescent="0.3">
      <c r="A568" t="s">
        <v>839</v>
      </c>
      <c r="B568" t="s">
        <v>1889</v>
      </c>
    </row>
    <row r="569" spans="1:2" x14ac:dyDescent="0.3">
      <c r="A569" t="s">
        <v>840</v>
      </c>
      <c r="B569" t="s">
        <v>1885</v>
      </c>
    </row>
    <row r="570" spans="1:2" x14ac:dyDescent="0.3">
      <c r="A570" t="s">
        <v>841</v>
      </c>
      <c r="B570" t="s">
        <v>1422</v>
      </c>
    </row>
    <row r="571" spans="1:2" x14ac:dyDescent="0.3">
      <c r="A571" t="s">
        <v>842</v>
      </c>
      <c r="B571" t="s">
        <v>1461</v>
      </c>
    </row>
    <row r="572" spans="1:2" x14ac:dyDescent="0.3">
      <c r="A572" t="s">
        <v>843</v>
      </c>
      <c r="B572" t="s">
        <v>1987</v>
      </c>
    </row>
    <row r="573" spans="1:2" x14ac:dyDescent="0.3">
      <c r="A573" t="s">
        <v>844</v>
      </c>
      <c r="B573" t="s">
        <v>1988</v>
      </c>
    </row>
    <row r="574" spans="1:2" x14ac:dyDescent="0.3">
      <c r="A574" t="s">
        <v>845</v>
      </c>
      <c r="B574" t="s">
        <v>1989</v>
      </c>
    </row>
    <row r="575" spans="1:2" x14ac:dyDescent="0.3">
      <c r="A575" t="s">
        <v>846</v>
      </c>
      <c r="B575" t="s">
        <v>1990</v>
      </c>
    </row>
    <row r="576" spans="1:2" x14ac:dyDescent="0.3">
      <c r="A576" t="s">
        <v>847</v>
      </c>
      <c r="B576" t="s">
        <v>1940</v>
      </c>
    </row>
    <row r="577" spans="1:2" x14ac:dyDescent="0.3">
      <c r="A577" t="s">
        <v>848</v>
      </c>
      <c r="B577" t="s">
        <v>1991</v>
      </c>
    </row>
    <row r="578" spans="1:2" x14ac:dyDescent="0.3">
      <c r="A578" t="s">
        <v>850</v>
      </c>
      <c r="B578" t="s">
        <v>1992</v>
      </c>
    </row>
    <row r="579" spans="1:2" x14ac:dyDescent="0.3">
      <c r="A579" t="s">
        <v>851</v>
      </c>
      <c r="B579" t="s">
        <v>1993</v>
      </c>
    </row>
    <row r="580" spans="1:2" x14ac:dyDescent="0.3">
      <c r="A580" t="s">
        <v>849</v>
      </c>
      <c r="B580" t="s">
        <v>1994</v>
      </c>
    </row>
    <row r="581" spans="1:2" x14ac:dyDescent="0.3">
      <c r="A581" t="s">
        <v>852</v>
      </c>
      <c r="B581" t="s">
        <v>1995</v>
      </c>
    </row>
    <row r="582" spans="1:2" x14ac:dyDescent="0.3">
      <c r="A582" t="s">
        <v>855</v>
      </c>
      <c r="B582" t="s">
        <v>1996</v>
      </c>
    </row>
    <row r="583" spans="1:2" x14ac:dyDescent="0.3">
      <c r="A583" t="s">
        <v>857</v>
      </c>
      <c r="B583" t="s">
        <v>1997</v>
      </c>
    </row>
    <row r="584" spans="1:2" x14ac:dyDescent="0.3">
      <c r="A584" t="s">
        <v>853</v>
      </c>
      <c r="B584" t="s">
        <v>1998</v>
      </c>
    </row>
    <row r="585" spans="1:2" x14ac:dyDescent="0.3">
      <c r="A585" t="s">
        <v>858</v>
      </c>
      <c r="B585" t="s">
        <v>1999</v>
      </c>
    </row>
    <row r="586" spans="1:2" x14ac:dyDescent="0.3">
      <c r="A586" t="s">
        <v>859</v>
      </c>
      <c r="B586" t="s">
        <v>2000</v>
      </c>
    </row>
    <row r="587" spans="1:2" x14ac:dyDescent="0.3">
      <c r="A587" t="s">
        <v>854</v>
      </c>
      <c r="B587" t="s">
        <v>2001</v>
      </c>
    </row>
    <row r="588" spans="1:2" x14ac:dyDescent="0.3">
      <c r="A588" t="s">
        <v>881</v>
      </c>
      <c r="B588" t="s">
        <v>2002</v>
      </c>
    </row>
    <row r="589" spans="1:2" x14ac:dyDescent="0.3">
      <c r="A589" t="s">
        <v>856</v>
      </c>
      <c r="B589" t="s">
        <v>2003</v>
      </c>
    </row>
    <row r="590" spans="1:2" x14ac:dyDescent="0.3">
      <c r="A590" t="s">
        <v>860</v>
      </c>
      <c r="B590" t="s">
        <v>2004</v>
      </c>
    </row>
    <row r="591" spans="1:2" x14ac:dyDescent="0.3">
      <c r="A591" t="s">
        <v>861</v>
      </c>
      <c r="B591" t="s">
        <v>2005</v>
      </c>
    </row>
    <row r="592" spans="1:2" x14ac:dyDescent="0.3">
      <c r="A592" t="s">
        <v>862</v>
      </c>
      <c r="B592" t="s">
        <v>2006</v>
      </c>
    </row>
    <row r="593" spans="1:2" x14ac:dyDescent="0.3">
      <c r="A593" t="s">
        <v>863</v>
      </c>
      <c r="B593" t="s">
        <v>2007</v>
      </c>
    </row>
    <row r="594" spans="1:2" x14ac:dyDescent="0.3">
      <c r="A594" t="s">
        <v>865</v>
      </c>
      <c r="B594" t="s">
        <v>2008</v>
      </c>
    </row>
    <row r="595" spans="1:2" x14ac:dyDescent="0.3">
      <c r="A595" t="s">
        <v>864</v>
      </c>
      <c r="B595" t="s">
        <v>2009</v>
      </c>
    </row>
    <row r="596" spans="1:2" x14ac:dyDescent="0.3">
      <c r="A596" t="s">
        <v>866</v>
      </c>
      <c r="B596" t="s">
        <v>2010</v>
      </c>
    </row>
    <row r="597" spans="1:2" x14ac:dyDescent="0.3">
      <c r="A597" t="s">
        <v>882</v>
      </c>
      <c r="B597" t="s">
        <v>2011</v>
      </c>
    </row>
    <row r="598" spans="1:2" x14ac:dyDescent="0.3">
      <c r="A598" t="s">
        <v>867</v>
      </c>
      <c r="B598" t="s">
        <v>2012</v>
      </c>
    </row>
    <row r="599" spans="1:2" x14ac:dyDescent="0.3">
      <c r="A599" t="s">
        <v>883</v>
      </c>
      <c r="B599" t="s">
        <v>2013</v>
      </c>
    </row>
    <row r="600" spans="1:2" x14ac:dyDescent="0.3">
      <c r="A600" t="s">
        <v>868</v>
      </c>
      <c r="B600" t="s">
        <v>2014</v>
      </c>
    </row>
    <row r="601" spans="1:2" x14ac:dyDescent="0.3">
      <c r="A601" t="s">
        <v>884</v>
      </c>
      <c r="B601" t="s">
        <v>2015</v>
      </c>
    </row>
    <row r="602" spans="1:2" x14ac:dyDescent="0.3">
      <c r="A602" t="s">
        <v>869</v>
      </c>
      <c r="B602" t="s">
        <v>2016</v>
      </c>
    </row>
    <row r="603" spans="1:2" x14ac:dyDescent="0.3">
      <c r="A603" t="s">
        <v>873</v>
      </c>
      <c r="B603" t="s">
        <v>2017</v>
      </c>
    </row>
    <row r="604" spans="1:2" x14ac:dyDescent="0.3">
      <c r="A604" t="s">
        <v>874</v>
      </c>
      <c r="B604" t="s">
        <v>2018</v>
      </c>
    </row>
    <row r="605" spans="1:2" x14ac:dyDescent="0.3">
      <c r="A605" t="s">
        <v>870</v>
      </c>
      <c r="B605" t="s">
        <v>2019</v>
      </c>
    </row>
    <row r="606" spans="1:2" x14ac:dyDescent="0.3">
      <c r="A606" t="s">
        <v>875</v>
      </c>
      <c r="B606" t="s">
        <v>2020</v>
      </c>
    </row>
    <row r="607" spans="1:2" x14ac:dyDescent="0.3">
      <c r="A607" t="s">
        <v>871</v>
      </c>
      <c r="B607" t="s">
        <v>2021</v>
      </c>
    </row>
    <row r="608" spans="1:2" x14ac:dyDescent="0.3">
      <c r="A608" t="s">
        <v>885</v>
      </c>
      <c r="B608" t="s">
        <v>2022</v>
      </c>
    </row>
    <row r="609" spans="1:2" x14ac:dyDescent="0.3">
      <c r="A609" t="s">
        <v>872</v>
      </c>
      <c r="B609" t="s">
        <v>2023</v>
      </c>
    </row>
    <row r="610" spans="1:2" x14ac:dyDescent="0.3">
      <c r="A610" t="s">
        <v>886</v>
      </c>
      <c r="B610" t="s">
        <v>1941</v>
      </c>
    </row>
    <row r="611" spans="1:2" x14ac:dyDescent="0.3">
      <c r="A611" t="s">
        <v>877</v>
      </c>
      <c r="B611" t="s">
        <v>1942</v>
      </c>
    </row>
    <row r="612" spans="1:2" x14ac:dyDescent="0.3">
      <c r="A612" t="s">
        <v>887</v>
      </c>
      <c r="B612" t="s">
        <v>1942</v>
      </c>
    </row>
    <row r="613" spans="1:2" x14ac:dyDescent="0.3">
      <c r="A613" t="s">
        <v>878</v>
      </c>
      <c r="B613" t="s">
        <v>1943</v>
      </c>
    </row>
    <row r="614" spans="1:2" x14ac:dyDescent="0.3">
      <c r="A614" t="s">
        <v>888</v>
      </c>
      <c r="B614" t="s">
        <v>1943</v>
      </c>
    </row>
    <row r="615" spans="1:2" x14ac:dyDescent="0.3">
      <c r="A615" t="s">
        <v>889</v>
      </c>
      <c r="B615" t="s">
        <v>2024</v>
      </c>
    </row>
    <row r="616" spans="1:2" x14ac:dyDescent="0.3">
      <c r="A616" t="s">
        <v>891</v>
      </c>
      <c r="B616" t="s">
        <v>2025</v>
      </c>
    </row>
    <row r="617" spans="1:2" x14ac:dyDescent="0.3">
      <c r="A617" t="s">
        <v>902</v>
      </c>
      <c r="B617" t="s">
        <v>2026</v>
      </c>
    </row>
    <row r="618" spans="1:2" x14ac:dyDescent="0.3">
      <c r="A618" t="s">
        <v>890</v>
      </c>
      <c r="B618" t="s">
        <v>2027</v>
      </c>
    </row>
    <row r="619" spans="1:2" x14ac:dyDescent="0.3">
      <c r="A619" t="s">
        <v>892</v>
      </c>
      <c r="B619" t="s">
        <v>2028</v>
      </c>
    </row>
    <row r="620" spans="1:2" x14ac:dyDescent="0.3">
      <c r="A620" t="s">
        <v>900</v>
      </c>
      <c r="B620" t="s">
        <v>2029</v>
      </c>
    </row>
    <row r="621" spans="1:2" x14ac:dyDescent="0.3">
      <c r="A621" t="s">
        <v>908</v>
      </c>
      <c r="B621" t="s">
        <v>2030</v>
      </c>
    </row>
    <row r="622" spans="1:2" x14ac:dyDescent="0.3">
      <c r="A622" t="s">
        <v>913</v>
      </c>
      <c r="B622" t="s">
        <v>2031</v>
      </c>
    </row>
    <row r="623" spans="1:2" x14ac:dyDescent="0.3">
      <c r="A623" t="s">
        <v>893</v>
      </c>
      <c r="B623" t="s">
        <v>2032</v>
      </c>
    </row>
    <row r="624" spans="1:2" x14ac:dyDescent="0.3">
      <c r="A624" t="s">
        <v>904</v>
      </c>
      <c r="B624" t="s">
        <v>2033</v>
      </c>
    </row>
    <row r="625" spans="1:2" x14ac:dyDescent="0.3">
      <c r="A625" t="s">
        <v>894</v>
      </c>
      <c r="B625" t="s">
        <v>2034</v>
      </c>
    </row>
    <row r="626" spans="1:2" x14ac:dyDescent="0.3">
      <c r="A626" t="s">
        <v>905</v>
      </c>
      <c r="B626" t="s">
        <v>2035</v>
      </c>
    </row>
    <row r="627" spans="1:2" x14ac:dyDescent="0.3">
      <c r="A627" t="s">
        <v>895</v>
      </c>
      <c r="B627" t="s">
        <v>2036</v>
      </c>
    </row>
    <row r="628" spans="1:2" x14ac:dyDescent="0.3">
      <c r="A628" t="s">
        <v>909</v>
      </c>
      <c r="B628" t="s">
        <v>2037</v>
      </c>
    </row>
    <row r="629" spans="1:2" x14ac:dyDescent="0.3">
      <c r="A629" t="s">
        <v>1618</v>
      </c>
      <c r="B629" t="s">
        <v>2038</v>
      </c>
    </row>
    <row r="630" spans="1:2" x14ac:dyDescent="0.3">
      <c r="A630" t="s">
        <v>896</v>
      </c>
      <c r="B630" t="s">
        <v>2039</v>
      </c>
    </row>
    <row r="631" spans="1:2" x14ac:dyDescent="0.3">
      <c r="A631" t="s">
        <v>897</v>
      </c>
      <c r="B631" t="s">
        <v>2040</v>
      </c>
    </row>
    <row r="632" spans="1:2" x14ac:dyDescent="0.3">
      <c r="A632" t="s">
        <v>898</v>
      </c>
      <c r="B632" t="s">
        <v>2041</v>
      </c>
    </row>
    <row r="633" spans="1:2" x14ac:dyDescent="0.3">
      <c r="A633" t="s">
        <v>899</v>
      </c>
      <c r="B633" t="s">
        <v>2042</v>
      </c>
    </row>
    <row r="634" spans="1:2" x14ac:dyDescent="0.3">
      <c r="A634" t="s">
        <v>1619</v>
      </c>
      <c r="B634" t="s">
        <v>2043</v>
      </c>
    </row>
    <row r="635" spans="1:2" x14ac:dyDescent="0.3">
      <c r="A635" t="s">
        <v>1620</v>
      </c>
      <c r="B635" t="s">
        <v>1871</v>
      </c>
    </row>
    <row r="636" spans="1:2" x14ac:dyDescent="0.3">
      <c r="A636" t="s">
        <v>1621</v>
      </c>
      <c r="B636" t="s">
        <v>2044</v>
      </c>
    </row>
    <row r="637" spans="1:2" x14ac:dyDescent="0.3">
      <c r="A637" t="s">
        <v>901</v>
      </c>
      <c r="B637" t="s">
        <v>2045</v>
      </c>
    </row>
    <row r="638" spans="1:2" x14ac:dyDescent="0.3">
      <c r="A638" t="s">
        <v>903</v>
      </c>
      <c r="B638" t="s">
        <v>2046</v>
      </c>
    </row>
    <row r="639" spans="1:2" x14ac:dyDescent="0.3">
      <c r="A639" t="s">
        <v>907</v>
      </c>
      <c r="B639" t="s">
        <v>2047</v>
      </c>
    </row>
    <row r="640" spans="1:2" x14ac:dyDescent="0.3">
      <c r="A640" t="s">
        <v>1622</v>
      </c>
      <c r="B640" t="s">
        <v>2048</v>
      </c>
    </row>
    <row r="641" spans="1:2" x14ac:dyDescent="0.3">
      <c r="A641" t="s">
        <v>906</v>
      </c>
      <c r="B641" t="s">
        <v>2049</v>
      </c>
    </row>
    <row r="642" spans="1:2" x14ac:dyDescent="0.3">
      <c r="A642" t="s">
        <v>910</v>
      </c>
      <c r="B642" t="s">
        <v>2050</v>
      </c>
    </row>
    <row r="643" spans="1:2" x14ac:dyDescent="0.3">
      <c r="A643" t="s">
        <v>1623</v>
      </c>
      <c r="B643" t="s">
        <v>2051</v>
      </c>
    </row>
    <row r="644" spans="1:2" x14ac:dyDescent="0.3">
      <c r="A644" t="s">
        <v>911</v>
      </c>
      <c r="B644" t="s">
        <v>2052</v>
      </c>
    </row>
    <row r="645" spans="1:2" x14ac:dyDescent="0.3">
      <c r="A645" t="s">
        <v>912</v>
      </c>
      <c r="B645" t="s">
        <v>2053</v>
      </c>
    </row>
    <row r="646" spans="1:2" x14ac:dyDescent="0.3">
      <c r="A646" t="s">
        <v>914</v>
      </c>
      <c r="B646" t="s">
        <v>2054</v>
      </c>
    </row>
    <row r="647" spans="1:2" x14ac:dyDescent="0.3">
      <c r="A647" t="s">
        <v>915</v>
      </c>
      <c r="B647" t="s">
        <v>2055</v>
      </c>
    </row>
    <row r="648" spans="1:2" x14ac:dyDescent="0.3">
      <c r="A648" t="s">
        <v>921</v>
      </c>
      <c r="B648" t="s">
        <v>2056</v>
      </c>
    </row>
    <row r="649" spans="1:2" x14ac:dyDescent="0.3">
      <c r="A649" t="s">
        <v>916</v>
      </c>
      <c r="B649" t="s">
        <v>2057</v>
      </c>
    </row>
    <row r="650" spans="1:2" x14ac:dyDescent="0.3">
      <c r="A650" t="s">
        <v>943</v>
      </c>
      <c r="B650" t="s">
        <v>2058</v>
      </c>
    </row>
    <row r="651" spans="1:2" x14ac:dyDescent="0.3">
      <c r="A651" t="s">
        <v>924</v>
      </c>
      <c r="B651" t="s">
        <v>2059</v>
      </c>
    </row>
    <row r="652" spans="1:2" x14ac:dyDescent="0.3">
      <c r="A652" t="s">
        <v>928</v>
      </c>
      <c r="B652" t="s">
        <v>2060</v>
      </c>
    </row>
    <row r="653" spans="1:2" x14ac:dyDescent="0.3">
      <c r="A653" t="s">
        <v>1624</v>
      </c>
      <c r="B653" t="s">
        <v>2061</v>
      </c>
    </row>
    <row r="654" spans="1:2" x14ac:dyDescent="0.3">
      <c r="A654" t="s">
        <v>917</v>
      </c>
      <c r="B654" t="s">
        <v>2062</v>
      </c>
    </row>
    <row r="655" spans="1:2" x14ac:dyDescent="0.3">
      <c r="A655" t="s">
        <v>918</v>
      </c>
      <c r="B655" t="s">
        <v>2063</v>
      </c>
    </row>
    <row r="656" spans="1:2" x14ac:dyDescent="0.3">
      <c r="A656" t="s">
        <v>919</v>
      </c>
      <c r="B656" t="s">
        <v>2064</v>
      </c>
    </row>
    <row r="657" spans="1:2" x14ac:dyDescent="0.3">
      <c r="A657" t="s">
        <v>920</v>
      </c>
      <c r="B657" t="s">
        <v>2065</v>
      </c>
    </row>
    <row r="658" spans="1:2" x14ac:dyDescent="0.3">
      <c r="A658" t="s">
        <v>941</v>
      </c>
      <c r="B658" t="s">
        <v>2066</v>
      </c>
    </row>
    <row r="659" spans="1:2" x14ac:dyDescent="0.3">
      <c r="A659" t="s">
        <v>923</v>
      </c>
      <c r="B659" t="s">
        <v>2067</v>
      </c>
    </row>
    <row r="660" spans="1:2" x14ac:dyDescent="0.3">
      <c r="A660" t="s">
        <v>922</v>
      </c>
      <c r="B660" t="s">
        <v>2068</v>
      </c>
    </row>
    <row r="661" spans="1:2" x14ac:dyDescent="0.3">
      <c r="A661" t="s">
        <v>925</v>
      </c>
      <c r="B661" t="s">
        <v>2069</v>
      </c>
    </row>
    <row r="662" spans="1:2" x14ac:dyDescent="0.3">
      <c r="A662" t="s">
        <v>926</v>
      </c>
      <c r="B662" t="s">
        <v>2070</v>
      </c>
    </row>
    <row r="663" spans="1:2" x14ac:dyDescent="0.3">
      <c r="A663" t="s">
        <v>927</v>
      </c>
      <c r="B663" t="s">
        <v>2071</v>
      </c>
    </row>
    <row r="664" spans="1:2" x14ac:dyDescent="0.3">
      <c r="A664" t="s">
        <v>1625</v>
      </c>
      <c r="B664" t="s">
        <v>1944</v>
      </c>
    </row>
    <row r="665" spans="1:2" x14ac:dyDescent="0.3">
      <c r="A665" t="s">
        <v>1626</v>
      </c>
      <c r="B665" t="s">
        <v>1945</v>
      </c>
    </row>
    <row r="666" spans="1:2" x14ac:dyDescent="0.3">
      <c r="A666" t="s">
        <v>929</v>
      </c>
      <c r="B666" t="s">
        <v>2072</v>
      </c>
    </row>
    <row r="667" spans="1:2" x14ac:dyDescent="0.3">
      <c r="A667" t="s">
        <v>930</v>
      </c>
      <c r="B667" t="s">
        <v>1946</v>
      </c>
    </row>
    <row r="668" spans="1:2" x14ac:dyDescent="0.3">
      <c r="A668" t="s">
        <v>932</v>
      </c>
      <c r="B668" t="s">
        <v>2073</v>
      </c>
    </row>
    <row r="669" spans="1:2" x14ac:dyDescent="0.3">
      <c r="A669" t="s">
        <v>944</v>
      </c>
      <c r="B669" t="s">
        <v>2074</v>
      </c>
    </row>
    <row r="670" spans="1:2" x14ac:dyDescent="0.3">
      <c r="A670" t="s">
        <v>1627</v>
      </c>
      <c r="B670" t="s">
        <v>2075</v>
      </c>
    </row>
    <row r="671" spans="1:2" x14ac:dyDescent="0.3">
      <c r="A671" t="s">
        <v>931</v>
      </c>
      <c r="B671" t="s">
        <v>2076</v>
      </c>
    </row>
    <row r="672" spans="1:2" x14ac:dyDescent="0.3">
      <c r="A672" t="s">
        <v>1628</v>
      </c>
      <c r="B672" t="s">
        <v>2077</v>
      </c>
    </row>
    <row r="673" spans="1:2" x14ac:dyDescent="0.3">
      <c r="A673" t="s">
        <v>933</v>
      </c>
      <c r="B673" t="s">
        <v>2078</v>
      </c>
    </row>
    <row r="674" spans="1:2" x14ac:dyDescent="0.3">
      <c r="A674" t="s">
        <v>938</v>
      </c>
      <c r="B674" t="s">
        <v>2079</v>
      </c>
    </row>
    <row r="675" spans="1:2" x14ac:dyDescent="0.3">
      <c r="A675" t="s">
        <v>934</v>
      </c>
      <c r="B675" t="s">
        <v>2080</v>
      </c>
    </row>
    <row r="676" spans="1:2" x14ac:dyDescent="0.3">
      <c r="A676" t="s">
        <v>935</v>
      </c>
      <c r="B676" t="s">
        <v>2081</v>
      </c>
    </row>
    <row r="677" spans="1:2" x14ac:dyDescent="0.3">
      <c r="A677" t="s">
        <v>936</v>
      </c>
      <c r="B677" t="s">
        <v>2082</v>
      </c>
    </row>
    <row r="678" spans="1:2" x14ac:dyDescent="0.3">
      <c r="A678" t="s">
        <v>939</v>
      </c>
      <c r="B678" t="s">
        <v>2083</v>
      </c>
    </row>
    <row r="679" spans="1:2" x14ac:dyDescent="0.3">
      <c r="A679" t="s">
        <v>937</v>
      </c>
      <c r="B679" t="s">
        <v>2084</v>
      </c>
    </row>
    <row r="680" spans="1:2" x14ac:dyDescent="0.3">
      <c r="A680" t="s">
        <v>1629</v>
      </c>
      <c r="B680" t="s">
        <v>2085</v>
      </c>
    </row>
    <row r="681" spans="1:2" x14ac:dyDescent="0.3">
      <c r="A681" t="s">
        <v>940</v>
      </c>
      <c r="B681" t="s">
        <v>2086</v>
      </c>
    </row>
    <row r="682" spans="1:2" x14ac:dyDescent="0.3">
      <c r="A682" t="s">
        <v>942</v>
      </c>
      <c r="B682" t="s">
        <v>2087</v>
      </c>
    </row>
    <row r="683" spans="1:2" x14ac:dyDescent="0.3">
      <c r="A683" t="s">
        <v>945</v>
      </c>
      <c r="B683" t="s">
        <v>2088</v>
      </c>
    </row>
    <row r="684" spans="1:2" x14ac:dyDescent="0.3">
      <c r="A684" t="s">
        <v>1630</v>
      </c>
      <c r="B684" t="s">
        <v>2089</v>
      </c>
    </row>
    <row r="685" spans="1:2" x14ac:dyDescent="0.3">
      <c r="A685" t="s">
        <v>946</v>
      </c>
      <c r="B685" t="s">
        <v>2090</v>
      </c>
    </row>
    <row r="686" spans="1:2" x14ac:dyDescent="0.3">
      <c r="A686" t="s">
        <v>947</v>
      </c>
      <c r="B686" t="s">
        <v>2091</v>
      </c>
    </row>
    <row r="687" spans="1:2" x14ac:dyDescent="0.3">
      <c r="A687" t="s">
        <v>948</v>
      </c>
      <c r="B687" t="s">
        <v>2092</v>
      </c>
    </row>
    <row r="688" spans="1:2" x14ac:dyDescent="0.3">
      <c r="A688" t="s">
        <v>949</v>
      </c>
      <c r="B688" t="s">
        <v>2093</v>
      </c>
    </row>
    <row r="689" spans="1:2" x14ac:dyDescent="0.3">
      <c r="A689" t="s">
        <v>950</v>
      </c>
      <c r="B689" t="s">
        <v>2094</v>
      </c>
    </row>
    <row r="690" spans="1:2" x14ac:dyDescent="0.3">
      <c r="A690" t="s">
        <v>951</v>
      </c>
      <c r="B690" t="s">
        <v>2095</v>
      </c>
    </row>
    <row r="691" spans="1:2" x14ac:dyDescent="0.3">
      <c r="A691" t="s">
        <v>952</v>
      </c>
      <c r="B691" t="s">
        <v>2096</v>
      </c>
    </row>
    <row r="692" spans="1:2" x14ac:dyDescent="0.3">
      <c r="A692" t="s">
        <v>954</v>
      </c>
      <c r="B692" t="s">
        <v>2097</v>
      </c>
    </row>
    <row r="693" spans="1:2" x14ac:dyDescent="0.3">
      <c r="A693" t="s">
        <v>1631</v>
      </c>
      <c r="B693" t="s">
        <v>2098</v>
      </c>
    </row>
    <row r="694" spans="1:2" x14ac:dyDescent="0.3">
      <c r="A694" t="s">
        <v>953</v>
      </c>
      <c r="B694" t="s">
        <v>2099</v>
      </c>
    </row>
    <row r="695" spans="1:2" x14ac:dyDescent="0.3">
      <c r="A695" t="s">
        <v>958</v>
      </c>
      <c r="B695" t="s">
        <v>2100</v>
      </c>
    </row>
    <row r="696" spans="1:2" x14ac:dyDescent="0.3">
      <c r="A696" t="s">
        <v>957</v>
      </c>
      <c r="B696" t="s">
        <v>2101</v>
      </c>
    </row>
    <row r="697" spans="1:2" x14ac:dyDescent="0.3">
      <c r="A697" t="s">
        <v>955</v>
      </c>
      <c r="B697" t="s">
        <v>2102</v>
      </c>
    </row>
    <row r="698" spans="1:2" x14ac:dyDescent="0.3">
      <c r="A698" t="s">
        <v>956</v>
      </c>
      <c r="B698" t="s">
        <v>2103</v>
      </c>
    </row>
    <row r="699" spans="1:2" x14ac:dyDescent="0.3">
      <c r="A699" t="s">
        <v>1632</v>
      </c>
      <c r="B699" t="s">
        <v>2104</v>
      </c>
    </row>
    <row r="700" spans="1:2" x14ac:dyDescent="0.3">
      <c r="A700" t="s">
        <v>1633</v>
      </c>
      <c r="B700" t="s">
        <v>2105</v>
      </c>
    </row>
    <row r="701" spans="1:2" x14ac:dyDescent="0.3">
      <c r="A701" t="s">
        <v>960</v>
      </c>
      <c r="B701" t="s">
        <v>2106</v>
      </c>
    </row>
    <row r="702" spans="1:2" x14ac:dyDescent="0.3">
      <c r="A702" t="s">
        <v>967</v>
      </c>
      <c r="B702" t="s">
        <v>2107</v>
      </c>
    </row>
    <row r="703" spans="1:2" x14ac:dyDescent="0.3">
      <c r="A703" t="s">
        <v>961</v>
      </c>
      <c r="B703" t="s">
        <v>1947</v>
      </c>
    </row>
    <row r="704" spans="1:2" x14ac:dyDescent="0.3">
      <c r="A704" t="s">
        <v>1634</v>
      </c>
      <c r="B704" t="s">
        <v>1948</v>
      </c>
    </row>
    <row r="705" spans="1:2" x14ac:dyDescent="0.3">
      <c r="A705" t="s">
        <v>962</v>
      </c>
      <c r="B705" t="s">
        <v>2108</v>
      </c>
    </row>
    <row r="706" spans="1:2" x14ac:dyDescent="0.3">
      <c r="A706" t="s">
        <v>966</v>
      </c>
      <c r="B706" t="s">
        <v>2109</v>
      </c>
    </row>
    <row r="707" spans="1:2" x14ac:dyDescent="0.3">
      <c r="A707" t="s">
        <v>965</v>
      </c>
      <c r="B707" t="s">
        <v>2110</v>
      </c>
    </row>
    <row r="708" spans="1:2" x14ac:dyDescent="0.3">
      <c r="A708" t="s">
        <v>963</v>
      </c>
      <c r="B708" t="s">
        <v>2111</v>
      </c>
    </row>
    <row r="709" spans="1:2" x14ac:dyDescent="0.3">
      <c r="A709" t="s">
        <v>959</v>
      </c>
      <c r="B709" t="s">
        <v>1949</v>
      </c>
    </row>
    <row r="710" spans="1:2" x14ac:dyDescent="0.3">
      <c r="A710" t="s">
        <v>964</v>
      </c>
      <c r="B710" t="s">
        <v>2112</v>
      </c>
    </row>
    <row r="711" spans="1:2" x14ac:dyDescent="0.3">
      <c r="A711" t="s">
        <v>1635</v>
      </c>
      <c r="B711" t="s">
        <v>1872</v>
      </c>
    </row>
    <row r="712" spans="1:2" x14ac:dyDescent="0.3">
      <c r="A712" t="s">
        <v>1637</v>
      </c>
      <c r="B712" t="s">
        <v>2113</v>
      </c>
    </row>
    <row r="713" spans="1:2" x14ac:dyDescent="0.3">
      <c r="A713" t="s">
        <v>968</v>
      </c>
      <c r="B713" t="s">
        <v>2114</v>
      </c>
    </row>
    <row r="714" spans="1:2" x14ac:dyDescent="0.3">
      <c r="A714" t="s">
        <v>969</v>
      </c>
      <c r="B714" t="s">
        <v>2115</v>
      </c>
    </row>
    <row r="715" spans="1:2" x14ac:dyDescent="0.3">
      <c r="A715" t="s">
        <v>982</v>
      </c>
      <c r="B715" t="s">
        <v>2116</v>
      </c>
    </row>
    <row r="716" spans="1:2" x14ac:dyDescent="0.3">
      <c r="A716" t="s">
        <v>970</v>
      </c>
      <c r="B716" t="s">
        <v>2117</v>
      </c>
    </row>
    <row r="717" spans="1:2" x14ac:dyDescent="0.3">
      <c r="A717" t="s">
        <v>1636</v>
      </c>
      <c r="B717" t="s">
        <v>2118</v>
      </c>
    </row>
    <row r="718" spans="1:2" x14ac:dyDescent="0.3">
      <c r="A718" t="s">
        <v>972</v>
      </c>
      <c r="B718" t="s">
        <v>2119</v>
      </c>
    </row>
    <row r="719" spans="1:2" x14ac:dyDescent="0.3">
      <c r="A719" t="s">
        <v>971</v>
      </c>
      <c r="B719" t="s">
        <v>1950</v>
      </c>
    </row>
    <row r="720" spans="1:2" x14ac:dyDescent="0.3">
      <c r="A720" t="s">
        <v>980</v>
      </c>
      <c r="B720" t="s">
        <v>2120</v>
      </c>
    </row>
    <row r="721" spans="1:2" x14ac:dyDescent="0.3">
      <c r="A721" t="s">
        <v>979</v>
      </c>
      <c r="B721" t="s">
        <v>2121</v>
      </c>
    </row>
    <row r="722" spans="1:2" x14ac:dyDescent="0.3">
      <c r="A722" t="s">
        <v>993</v>
      </c>
      <c r="B722" t="s">
        <v>2122</v>
      </c>
    </row>
    <row r="723" spans="1:2" x14ac:dyDescent="0.3">
      <c r="A723" t="s">
        <v>974</v>
      </c>
      <c r="B723" t="s">
        <v>2123</v>
      </c>
    </row>
    <row r="724" spans="1:2" x14ac:dyDescent="0.3">
      <c r="A724" t="s">
        <v>975</v>
      </c>
      <c r="B724" t="s">
        <v>2124</v>
      </c>
    </row>
    <row r="725" spans="1:2" x14ac:dyDescent="0.3">
      <c r="A725" t="s">
        <v>976</v>
      </c>
      <c r="B725" t="s">
        <v>2125</v>
      </c>
    </row>
    <row r="726" spans="1:2" x14ac:dyDescent="0.3">
      <c r="A726" t="s">
        <v>1638</v>
      </c>
      <c r="B726" t="s">
        <v>1951</v>
      </c>
    </row>
    <row r="727" spans="1:2" x14ac:dyDescent="0.3">
      <c r="A727" t="s">
        <v>981</v>
      </c>
      <c r="B727" t="s">
        <v>1952</v>
      </c>
    </row>
    <row r="728" spans="1:2" x14ac:dyDescent="0.3">
      <c r="A728" t="s">
        <v>978</v>
      </c>
      <c r="B728" t="s">
        <v>2126</v>
      </c>
    </row>
    <row r="729" spans="1:2" x14ac:dyDescent="0.3">
      <c r="A729" t="s">
        <v>983</v>
      </c>
      <c r="B729" t="s">
        <v>2127</v>
      </c>
    </row>
    <row r="730" spans="1:2" x14ac:dyDescent="0.3">
      <c r="A730" t="s">
        <v>984</v>
      </c>
      <c r="B730" t="s">
        <v>2128</v>
      </c>
    </row>
    <row r="731" spans="1:2" x14ac:dyDescent="0.3">
      <c r="A731" t="s">
        <v>1639</v>
      </c>
      <c r="B731" t="s">
        <v>2129</v>
      </c>
    </row>
    <row r="732" spans="1:2" x14ac:dyDescent="0.3">
      <c r="A732" t="s">
        <v>985</v>
      </c>
      <c r="B732" t="s">
        <v>2130</v>
      </c>
    </row>
    <row r="733" spans="1:2" x14ac:dyDescent="0.3">
      <c r="A733" t="s">
        <v>986</v>
      </c>
      <c r="B733" t="s">
        <v>2131</v>
      </c>
    </row>
    <row r="734" spans="1:2" x14ac:dyDescent="0.3">
      <c r="A734" t="s">
        <v>987</v>
      </c>
      <c r="B734" t="s">
        <v>2132</v>
      </c>
    </row>
    <row r="735" spans="1:2" x14ac:dyDescent="0.3">
      <c r="A735" t="s">
        <v>1000</v>
      </c>
      <c r="B735" t="s">
        <v>2133</v>
      </c>
    </row>
    <row r="736" spans="1:2" x14ac:dyDescent="0.3">
      <c r="A736" t="s">
        <v>988</v>
      </c>
      <c r="B736" t="s">
        <v>2134</v>
      </c>
    </row>
    <row r="737" spans="1:2" x14ac:dyDescent="0.3">
      <c r="A737" t="s">
        <v>996</v>
      </c>
      <c r="B737" t="s">
        <v>2135</v>
      </c>
    </row>
    <row r="738" spans="1:2" x14ac:dyDescent="0.3">
      <c r="A738" t="s">
        <v>989</v>
      </c>
      <c r="B738" t="s">
        <v>2136</v>
      </c>
    </row>
    <row r="739" spans="1:2" x14ac:dyDescent="0.3">
      <c r="A739" t="s">
        <v>995</v>
      </c>
      <c r="B739" t="s">
        <v>2137</v>
      </c>
    </row>
    <row r="740" spans="1:2" x14ac:dyDescent="0.3">
      <c r="A740" t="s">
        <v>990</v>
      </c>
      <c r="B740" t="s">
        <v>2138</v>
      </c>
    </row>
    <row r="741" spans="1:2" x14ac:dyDescent="0.3">
      <c r="A741" t="s">
        <v>991</v>
      </c>
      <c r="B741" t="s">
        <v>2139</v>
      </c>
    </row>
    <row r="742" spans="1:2" x14ac:dyDescent="0.3">
      <c r="A742" t="s">
        <v>992</v>
      </c>
      <c r="B742" t="s">
        <v>2140</v>
      </c>
    </row>
    <row r="743" spans="1:2" x14ac:dyDescent="0.3">
      <c r="A743" t="s">
        <v>994</v>
      </c>
      <c r="B743" t="s">
        <v>1953</v>
      </c>
    </row>
    <row r="744" spans="1:2" x14ac:dyDescent="0.3">
      <c r="A744" t="s">
        <v>973</v>
      </c>
      <c r="B744" t="s">
        <v>2141</v>
      </c>
    </row>
    <row r="745" spans="1:2" x14ac:dyDescent="0.3">
      <c r="A745" t="s">
        <v>997</v>
      </c>
      <c r="B745" t="s">
        <v>2142</v>
      </c>
    </row>
    <row r="746" spans="1:2" x14ac:dyDescent="0.3">
      <c r="A746" t="s">
        <v>1640</v>
      </c>
      <c r="B746" t="s">
        <v>2143</v>
      </c>
    </row>
    <row r="747" spans="1:2" x14ac:dyDescent="0.3">
      <c r="A747" t="s">
        <v>998</v>
      </c>
      <c r="B747" t="s">
        <v>2144</v>
      </c>
    </row>
    <row r="748" spans="1:2" x14ac:dyDescent="0.3">
      <c r="A748" t="s">
        <v>999</v>
      </c>
      <c r="B748" t="s">
        <v>2145</v>
      </c>
    </row>
    <row r="749" spans="1:2" x14ac:dyDescent="0.3">
      <c r="A749" t="s">
        <v>1641</v>
      </c>
      <c r="B749" t="s">
        <v>2146</v>
      </c>
    </row>
    <row r="750" spans="1:2" x14ac:dyDescent="0.3">
      <c r="A750" t="s">
        <v>1001</v>
      </c>
      <c r="B750" t="s">
        <v>2147</v>
      </c>
    </row>
    <row r="751" spans="1:2" x14ac:dyDescent="0.3">
      <c r="A751" t="s">
        <v>1644</v>
      </c>
      <c r="B751" t="s">
        <v>2148</v>
      </c>
    </row>
    <row r="752" spans="1:2" x14ac:dyDescent="0.3">
      <c r="A752" t="s">
        <v>1643</v>
      </c>
      <c r="B752" t="s">
        <v>1954</v>
      </c>
    </row>
    <row r="753" spans="1:2" x14ac:dyDescent="0.3">
      <c r="A753" t="s">
        <v>1003</v>
      </c>
      <c r="B753" t="s">
        <v>2149</v>
      </c>
    </row>
    <row r="754" spans="1:2" x14ac:dyDescent="0.3">
      <c r="A754" t="s">
        <v>1004</v>
      </c>
      <c r="B754" t="s">
        <v>2150</v>
      </c>
    </row>
    <row r="755" spans="1:2" x14ac:dyDescent="0.3">
      <c r="A755" t="s">
        <v>1006</v>
      </c>
      <c r="B755" t="s">
        <v>2151</v>
      </c>
    </row>
    <row r="756" spans="1:2" x14ac:dyDescent="0.3">
      <c r="A756" t="s">
        <v>1642</v>
      </c>
      <c r="B756" t="s">
        <v>2152</v>
      </c>
    </row>
    <row r="757" spans="1:2" x14ac:dyDescent="0.3">
      <c r="A757" t="s">
        <v>1645</v>
      </c>
      <c r="B757" t="s">
        <v>1890</v>
      </c>
    </row>
    <row r="758" spans="1:2" x14ac:dyDescent="0.3">
      <c r="A758" t="s">
        <v>1007</v>
      </c>
      <c r="B758" t="s">
        <v>2153</v>
      </c>
    </row>
    <row r="759" spans="1:2" x14ac:dyDescent="0.3">
      <c r="A759" t="s">
        <v>1009</v>
      </c>
      <c r="B759" t="s">
        <v>2154</v>
      </c>
    </row>
    <row r="760" spans="1:2" x14ac:dyDescent="0.3">
      <c r="A760" t="s">
        <v>1008</v>
      </c>
      <c r="B760" t="s">
        <v>2155</v>
      </c>
    </row>
    <row r="761" spans="1:2" x14ac:dyDescent="0.3">
      <c r="A761" t="s">
        <v>1014</v>
      </c>
      <c r="B761" t="s">
        <v>2156</v>
      </c>
    </row>
    <row r="762" spans="1:2" x14ac:dyDescent="0.3">
      <c r="A762" t="s">
        <v>1010</v>
      </c>
      <c r="B762" t="s">
        <v>2157</v>
      </c>
    </row>
    <row r="763" spans="1:2" x14ac:dyDescent="0.3">
      <c r="A763" t="s">
        <v>1011</v>
      </c>
      <c r="B763" t="s">
        <v>2158</v>
      </c>
    </row>
    <row r="764" spans="1:2" x14ac:dyDescent="0.3">
      <c r="A764" t="s">
        <v>1012</v>
      </c>
      <c r="B764" t="s">
        <v>2159</v>
      </c>
    </row>
    <row r="765" spans="1:2" x14ac:dyDescent="0.3">
      <c r="A765" t="s">
        <v>1002</v>
      </c>
      <c r="B765" t="s">
        <v>1955</v>
      </c>
    </row>
    <row r="766" spans="1:2" x14ac:dyDescent="0.3">
      <c r="A766" t="s">
        <v>1005</v>
      </c>
      <c r="B766" t="s">
        <v>2160</v>
      </c>
    </row>
    <row r="767" spans="1:2" x14ac:dyDescent="0.3">
      <c r="A767" t="s">
        <v>1013</v>
      </c>
      <c r="B767" t="s">
        <v>2161</v>
      </c>
    </row>
    <row r="768" spans="1:2" x14ac:dyDescent="0.3">
      <c r="A768" t="s">
        <v>1646</v>
      </c>
      <c r="B768" t="s">
        <v>2162</v>
      </c>
    </row>
    <row r="769" spans="1:2" x14ac:dyDescent="0.3">
      <c r="A769" t="s">
        <v>1017</v>
      </c>
      <c r="B769" t="s">
        <v>2163</v>
      </c>
    </row>
    <row r="770" spans="1:2" x14ac:dyDescent="0.3">
      <c r="A770" t="s">
        <v>1019</v>
      </c>
      <c r="B770" t="s">
        <v>2164</v>
      </c>
    </row>
    <row r="771" spans="1:2" x14ac:dyDescent="0.3">
      <c r="A771" t="s">
        <v>1647</v>
      </c>
      <c r="B771" t="s">
        <v>2165</v>
      </c>
    </row>
    <row r="772" spans="1:2" x14ac:dyDescent="0.3">
      <c r="A772" t="s">
        <v>1015</v>
      </c>
      <c r="B772" t="s">
        <v>2166</v>
      </c>
    </row>
    <row r="773" spans="1:2" x14ac:dyDescent="0.3">
      <c r="A773" t="s">
        <v>1016</v>
      </c>
      <c r="B773" t="s">
        <v>2167</v>
      </c>
    </row>
    <row r="774" spans="1:2" x14ac:dyDescent="0.3">
      <c r="A774" t="s">
        <v>1020</v>
      </c>
      <c r="B774" t="s">
        <v>2168</v>
      </c>
    </row>
    <row r="775" spans="1:2" x14ac:dyDescent="0.3">
      <c r="A775" t="s">
        <v>1018</v>
      </c>
      <c r="B775" t="s">
        <v>2169</v>
      </c>
    </row>
    <row r="776" spans="1:2" x14ac:dyDescent="0.3">
      <c r="A776" t="s">
        <v>1077</v>
      </c>
      <c r="B776" t="s">
        <v>2170</v>
      </c>
    </row>
    <row r="777" spans="1:2" x14ac:dyDescent="0.3">
      <c r="A777" t="s">
        <v>1022</v>
      </c>
      <c r="B777" t="s">
        <v>1956</v>
      </c>
    </row>
    <row r="778" spans="1:2" x14ac:dyDescent="0.3">
      <c r="A778" t="s">
        <v>1021</v>
      </c>
      <c r="B778" t="s">
        <v>1891</v>
      </c>
    </row>
    <row r="779" spans="1:2" x14ac:dyDescent="0.3">
      <c r="A779" t="s">
        <v>1073</v>
      </c>
      <c r="B779" t="s">
        <v>2171</v>
      </c>
    </row>
    <row r="780" spans="1:2" x14ac:dyDescent="0.3">
      <c r="A780" t="s">
        <v>1078</v>
      </c>
      <c r="B780" t="s">
        <v>2172</v>
      </c>
    </row>
    <row r="781" spans="1:2" x14ac:dyDescent="0.3">
      <c r="A781" t="s">
        <v>1024</v>
      </c>
      <c r="B781" t="s">
        <v>2173</v>
      </c>
    </row>
    <row r="782" spans="1:2" x14ac:dyDescent="0.3">
      <c r="A782" t="s">
        <v>1023</v>
      </c>
      <c r="B782" t="s">
        <v>2174</v>
      </c>
    </row>
    <row r="783" spans="1:2" x14ac:dyDescent="0.3">
      <c r="A783" t="s">
        <v>1025</v>
      </c>
      <c r="B783" t="s">
        <v>2175</v>
      </c>
    </row>
    <row r="784" spans="1:2" x14ac:dyDescent="0.3">
      <c r="A784" t="s">
        <v>1026</v>
      </c>
      <c r="B784" t="s">
        <v>2176</v>
      </c>
    </row>
    <row r="785" spans="1:2" x14ac:dyDescent="0.3">
      <c r="A785" t="s">
        <v>1034</v>
      </c>
      <c r="B785" t="s">
        <v>2177</v>
      </c>
    </row>
    <row r="786" spans="1:2" x14ac:dyDescent="0.3">
      <c r="A786" t="s">
        <v>1027</v>
      </c>
      <c r="B786" t="s">
        <v>2178</v>
      </c>
    </row>
    <row r="787" spans="1:2" x14ac:dyDescent="0.3">
      <c r="A787" t="s">
        <v>1028</v>
      </c>
      <c r="B787" t="s">
        <v>2179</v>
      </c>
    </row>
    <row r="788" spans="1:2" x14ac:dyDescent="0.3">
      <c r="A788" t="s">
        <v>1035</v>
      </c>
      <c r="B788" t="s">
        <v>2180</v>
      </c>
    </row>
    <row r="789" spans="1:2" x14ac:dyDescent="0.3">
      <c r="A789" t="s">
        <v>1054</v>
      </c>
      <c r="B789" t="s">
        <v>2181</v>
      </c>
    </row>
    <row r="790" spans="1:2" x14ac:dyDescent="0.3">
      <c r="A790" t="s">
        <v>1037</v>
      </c>
      <c r="B790" t="s">
        <v>2182</v>
      </c>
    </row>
    <row r="791" spans="1:2" x14ac:dyDescent="0.3">
      <c r="A791" t="s">
        <v>1648</v>
      </c>
      <c r="B791" t="s">
        <v>1892</v>
      </c>
    </row>
    <row r="792" spans="1:2" x14ac:dyDescent="0.3">
      <c r="A792" t="s">
        <v>1030</v>
      </c>
      <c r="B792" t="s">
        <v>1892</v>
      </c>
    </row>
    <row r="793" spans="1:2" x14ac:dyDescent="0.3">
      <c r="A793" t="s">
        <v>1649</v>
      </c>
      <c r="B793" t="s">
        <v>1893</v>
      </c>
    </row>
    <row r="794" spans="1:2" x14ac:dyDescent="0.3">
      <c r="A794" t="s">
        <v>1029</v>
      </c>
      <c r="B794" t="s">
        <v>1893</v>
      </c>
    </row>
    <row r="795" spans="1:2" x14ac:dyDescent="0.3">
      <c r="A795" t="s">
        <v>1031</v>
      </c>
      <c r="B795" t="s">
        <v>2183</v>
      </c>
    </row>
    <row r="796" spans="1:2" x14ac:dyDescent="0.3">
      <c r="A796" t="s">
        <v>1650</v>
      </c>
      <c r="B796" t="s">
        <v>2184</v>
      </c>
    </row>
    <row r="797" spans="1:2" x14ac:dyDescent="0.3">
      <c r="A797" t="s">
        <v>1032</v>
      </c>
      <c r="B797" t="s">
        <v>2185</v>
      </c>
    </row>
    <row r="798" spans="1:2" x14ac:dyDescent="0.3">
      <c r="A798" t="s">
        <v>1033</v>
      </c>
      <c r="B798" t="s">
        <v>2186</v>
      </c>
    </row>
    <row r="799" spans="1:2" x14ac:dyDescent="0.3">
      <c r="A799" t="s">
        <v>1651</v>
      </c>
      <c r="B799" t="s">
        <v>2187</v>
      </c>
    </row>
    <row r="800" spans="1:2" x14ac:dyDescent="0.3">
      <c r="A800" t="s">
        <v>1653</v>
      </c>
      <c r="B800" t="s">
        <v>2188</v>
      </c>
    </row>
    <row r="801" spans="1:2" x14ac:dyDescent="0.3">
      <c r="A801" t="s">
        <v>1036</v>
      </c>
      <c r="B801" t="s">
        <v>2189</v>
      </c>
    </row>
    <row r="802" spans="1:2" x14ac:dyDescent="0.3">
      <c r="A802" t="s">
        <v>1038</v>
      </c>
      <c r="B802" t="s">
        <v>2190</v>
      </c>
    </row>
    <row r="803" spans="1:2" x14ac:dyDescent="0.3">
      <c r="A803" t="s">
        <v>1040</v>
      </c>
      <c r="B803" t="s">
        <v>2191</v>
      </c>
    </row>
    <row r="804" spans="1:2" x14ac:dyDescent="0.3">
      <c r="A804" t="s">
        <v>1039</v>
      </c>
      <c r="B804" t="s">
        <v>2192</v>
      </c>
    </row>
    <row r="805" spans="1:2" x14ac:dyDescent="0.3">
      <c r="A805" t="s">
        <v>1652</v>
      </c>
      <c r="B805" t="s">
        <v>2193</v>
      </c>
    </row>
    <row r="806" spans="1:2" x14ac:dyDescent="0.3">
      <c r="A806" t="s">
        <v>1041</v>
      </c>
      <c r="B806" t="s">
        <v>2194</v>
      </c>
    </row>
    <row r="807" spans="1:2" x14ac:dyDescent="0.3">
      <c r="A807" t="s">
        <v>1048</v>
      </c>
      <c r="B807" t="s">
        <v>2195</v>
      </c>
    </row>
    <row r="808" spans="1:2" x14ac:dyDescent="0.3">
      <c r="A808" t="s">
        <v>1042</v>
      </c>
      <c r="B808" t="s">
        <v>2196</v>
      </c>
    </row>
    <row r="809" spans="1:2" x14ac:dyDescent="0.3">
      <c r="A809" t="s">
        <v>1044</v>
      </c>
      <c r="B809" t="s">
        <v>2197</v>
      </c>
    </row>
    <row r="810" spans="1:2" x14ac:dyDescent="0.3">
      <c r="A810" t="s">
        <v>1043</v>
      </c>
      <c r="B810" t="s">
        <v>2198</v>
      </c>
    </row>
    <row r="811" spans="1:2" x14ac:dyDescent="0.3">
      <c r="A811" t="s">
        <v>1045</v>
      </c>
      <c r="B811" t="s">
        <v>2199</v>
      </c>
    </row>
    <row r="812" spans="1:2" x14ac:dyDescent="0.3">
      <c r="A812" t="s">
        <v>1654</v>
      </c>
      <c r="B812" t="s">
        <v>2199</v>
      </c>
    </row>
    <row r="813" spans="1:2" x14ac:dyDescent="0.3">
      <c r="A813" t="s">
        <v>1046</v>
      </c>
      <c r="B813" t="s">
        <v>2200</v>
      </c>
    </row>
    <row r="814" spans="1:2" x14ac:dyDescent="0.3">
      <c r="A814" t="s">
        <v>1655</v>
      </c>
      <c r="B814" t="s">
        <v>2201</v>
      </c>
    </row>
    <row r="815" spans="1:2" x14ac:dyDescent="0.3">
      <c r="A815" t="s">
        <v>1047</v>
      </c>
      <c r="B815" t="s">
        <v>2202</v>
      </c>
    </row>
    <row r="816" spans="1:2" x14ac:dyDescent="0.3">
      <c r="A816" t="s">
        <v>1059</v>
      </c>
      <c r="B816" t="s">
        <v>2203</v>
      </c>
    </row>
    <row r="817" spans="1:2" x14ac:dyDescent="0.3">
      <c r="A817" t="s">
        <v>1049</v>
      </c>
      <c r="B817" t="s">
        <v>2204</v>
      </c>
    </row>
    <row r="818" spans="1:2" x14ac:dyDescent="0.3">
      <c r="A818" t="s">
        <v>1050</v>
      </c>
      <c r="B818" t="s">
        <v>2205</v>
      </c>
    </row>
    <row r="819" spans="1:2" x14ac:dyDescent="0.3">
      <c r="A819" t="s">
        <v>1051</v>
      </c>
      <c r="B819" t="s">
        <v>2206</v>
      </c>
    </row>
    <row r="820" spans="1:2" x14ac:dyDescent="0.3">
      <c r="A820" t="s">
        <v>1052</v>
      </c>
      <c r="B820" t="s">
        <v>2207</v>
      </c>
    </row>
    <row r="821" spans="1:2" x14ac:dyDescent="0.3">
      <c r="A821" t="s">
        <v>1656</v>
      </c>
      <c r="B821" t="s">
        <v>1894</v>
      </c>
    </row>
    <row r="822" spans="1:2" x14ac:dyDescent="0.3">
      <c r="A822" t="s">
        <v>1053</v>
      </c>
      <c r="B822" t="s">
        <v>2208</v>
      </c>
    </row>
    <row r="823" spans="1:2" x14ac:dyDescent="0.3">
      <c r="A823" t="s">
        <v>1657</v>
      </c>
      <c r="B823" t="s">
        <v>2209</v>
      </c>
    </row>
    <row r="824" spans="1:2" x14ac:dyDescent="0.3">
      <c r="A824" t="s">
        <v>1075</v>
      </c>
      <c r="B824" t="s">
        <v>2210</v>
      </c>
    </row>
    <row r="825" spans="1:2" x14ac:dyDescent="0.3">
      <c r="A825" t="s">
        <v>1055</v>
      </c>
      <c r="B825" t="s">
        <v>2211</v>
      </c>
    </row>
    <row r="826" spans="1:2" x14ac:dyDescent="0.3">
      <c r="A826" t="s">
        <v>1056</v>
      </c>
      <c r="B826" t="s">
        <v>2212</v>
      </c>
    </row>
    <row r="827" spans="1:2" x14ac:dyDescent="0.3">
      <c r="A827" t="s">
        <v>1057</v>
      </c>
      <c r="B827" t="s">
        <v>2213</v>
      </c>
    </row>
    <row r="828" spans="1:2" x14ac:dyDescent="0.3">
      <c r="A828" t="s">
        <v>1074</v>
      </c>
      <c r="B828" t="s">
        <v>2214</v>
      </c>
    </row>
    <row r="829" spans="1:2" x14ac:dyDescent="0.3">
      <c r="A829" t="s">
        <v>1658</v>
      </c>
      <c r="B829" t="s">
        <v>2215</v>
      </c>
    </row>
    <row r="830" spans="1:2" x14ac:dyDescent="0.3">
      <c r="A830" t="s">
        <v>1058</v>
      </c>
      <c r="B830" t="s">
        <v>2216</v>
      </c>
    </row>
    <row r="831" spans="1:2" x14ac:dyDescent="0.3">
      <c r="A831" t="s">
        <v>1060</v>
      </c>
      <c r="B831" t="s">
        <v>2217</v>
      </c>
    </row>
    <row r="832" spans="1:2" x14ac:dyDescent="0.3">
      <c r="A832" t="s">
        <v>1061</v>
      </c>
      <c r="B832" t="s">
        <v>2218</v>
      </c>
    </row>
    <row r="833" spans="1:2" x14ac:dyDescent="0.3">
      <c r="A833" t="s">
        <v>1062</v>
      </c>
      <c r="B833" t="s">
        <v>2219</v>
      </c>
    </row>
    <row r="834" spans="1:2" x14ac:dyDescent="0.3">
      <c r="A834" t="s">
        <v>1659</v>
      </c>
      <c r="B834" t="s">
        <v>2220</v>
      </c>
    </row>
    <row r="835" spans="1:2" x14ac:dyDescent="0.3">
      <c r="A835" t="s">
        <v>1063</v>
      </c>
      <c r="B835" t="s">
        <v>2221</v>
      </c>
    </row>
    <row r="836" spans="1:2" x14ac:dyDescent="0.3">
      <c r="A836" t="s">
        <v>1660</v>
      </c>
      <c r="B836" t="s">
        <v>2222</v>
      </c>
    </row>
    <row r="837" spans="1:2" x14ac:dyDescent="0.3">
      <c r="A837" t="s">
        <v>1064</v>
      </c>
      <c r="B837" t="s">
        <v>2223</v>
      </c>
    </row>
    <row r="838" spans="1:2" x14ac:dyDescent="0.3">
      <c r="A838" t="s">
        <v>1065</v>
      </c>
      <c r="B838" t="s">
        <v>2224</v>
      </c>
    </row>
    <row r="839" spans="1:2" x14ac:dyDescent="0.3">
      <c r="A839" t="s">
        <v>1066</v>
      </c>
      <c r="B839" t="s">
        <v>2225</v>
      </c>
    </row>
    <row r="840" spans="1:2" x14ac:dyDescent="0.3">
      <c r="A840" t="s">
        <v>1067</v>
      </c>
      <c r="B840" t="s">
        <v>2226</v>
      </c>
    </row>
    <row r="841" spans="1:2" x14ac:dyDescent="0.3">
      <c r="A841" t="s">
        <v>1068</v>
      </c>
      <c r="B841" t="s">
        <v>2227</v>
      </c>
    </row>
    <row r="842" spans="1:2" x14ac:dyDescent="0.3">
      <c r="A842" t="s">
        <v>1070</v>
      </c>
      <c r="B842" t="s">
        <v>2228</v>
      </c>
    </row>
    <row r="843" spans="1:2" x14ac:dyDescent="0.3">
      <c r="A843" t="s">
        <v>1069</v>
      </c>
      <c r="B843" t="s">
        <v>2229</v>
      </c>
    </row>
    <row r="844" spans="1:2" x14ac:dyDescent="0.3">
      <c r="A844" t="s">
        <v>1661</v>
      </c>
      <c r="B844" t="s">
        <v>2230</v>
      </c>
    </row>
    <row r="845" spans="1:2" x14ac:dyDescent="0.3">
      <c r="A845" t="s">
        <v>1662</v>
      </c>
      <c r="B845" t="s">
        <v>2231</v>
      </c>
    </row>
    <row r="846" spans="1:2" x14ac:dyDescent="0.3">
      <c r="A846" t="s">
        <v>1071</v>
      </c>
      <c r="B846" t="s">
        <v>2232</v>
      </c>
    </row>
    <row r="847" spans="1:2" x14ac:dyDescent="0.3">
      <c r="A847" t="s">
        <v>1072</v>
      </c>
      <c r="B847" t="s">
        <v>2233</v>
      </c>
    </row>
    <row r="848" spans="1:2" x14ac:dyDescent="0.3">
      <c r="A848" t="s">
        <v>1076</v>
      </c>
      <c r="B848" t="s">
        <v>2234</v>
      </c>
    </row>
    <row r="849" spans="1:2" x14ac:dyDescent="0.3">
      <c r="A849" t="s">
        <v>1663</v>
      </c>
      <c r="B849" t="s">
        <v>2235</v>
      </c>
    </row>
    <row r="850" spans="1:2" x14ac:dyDescent="0.3">
      <c r="A850" t="s">
        <v>1664</v>
      </c>
      <c r="B850" t="s">
        <v>1957</v>
      </c>
    </row>
    <row r="851" spans="1:2" x14ac:dyDescent="0.3">
      <c r="A851" t="s">
        <v>1665</v>
      </c>
      <c r="B851" t="s">
        <v>2236</v>
      </c>
    </row>
    <row r="852" spans="1:2" x14ac:dyDescent="0.3">
      <c r="A852" t="s">
        <v>1086</v>
      </c>
      <c r="B852" t="s">
        <v>2237</v>
      </c>
    </row>
    <row r="853" spans="1:2" x14ac:dyDescent="0.3">
      <c r="A853" t="s">
        <v>1080</v>
      </c>
      <c r="B853" t="s">
        <v>2238</v>
      </c>
    </row>
    <row r="854" spans="1:2" x14ac:dyDescent="0.3">
      <c r="A854" t="s">
        <v>1079</v>
      </c>
      <c r="B854" t="s">
        <v>2239</v>
      </c>
    </row>
    <row r="855" spans="1:2" x14ac:dyDescent="0.3">
      <c r="A855" t="s">
        <v>1081</v>
      </c>
      <c r="B855" t="s">
        <v>2240</v>
      </c>
    </row>
    <row r="856" spans="1:2" x14ac:dyDescent="0.3">
      <c r="A856" t="s">
        <v>1668</v>
      </c>
      <c r="B856" t="s">
        <v>2241</v>
      </c>
    </row>
    <row r="857" spans="1:2" x14ac:dyDescent="0.3">
      <c r="A857" t="s">
        <v>1087</v>
      </c>
      <c r="B857" t="s">
        <v>2242</v>
      </c>
    </row>
    <row r="858" spans="1:2" x14ac:dyDescent="0.3">
      <c r="A858" t="s">
        <v>1093</v>
      </c>
      <c r="B858" t="s">
        <v>2243</v>
      </c>
    </row>
    <row r="859" spans="1:2" x14ac:dyDescent="0.3">
      <c r="A859" t="s">
        <v>1082</v>
      </c>
      <c r="B859" t="s">
        <v>2244</v>
      </c>
    </row>
    <row r="860" spans="1:2" x14ac:dyDescent="0.3">
      <c r="A860" t="s">
        <v>1083</v>
      </c>
      <c r="B860" t="s">
        <v>2245</v>
      </c>
    </row>
    <row r="861" spans="1:2" x14ac:dyDescent="0.3">
      <c r="A861" t="s">
        <v>1084</v>
      </c>
      <c r="B861" t="s">
        <v>2246</v>
      </c>
    </row>
    <row r="862" spans="1:2" x14ac:dyDescent="0.3">
      <c r="A862" t="s">
        <v>1666</v>
      </c>
      <c r="B862" t="s">
        <v>2247</v>
      </c>
    </row>
    <row r="863" spans="1:2" x14ac:dyDescent="0.3">
      <c r="A863" t="s">
        <v>1667</v>
      </c>
      <c r="B863" t="s">
        <v>2248</v>
      </c>
    </row>
    <row r="864" spans="1:2" x14ac:dyDescent="0.3">
      <c r="A864" t="s">
        <v>1085</v>
      </c>
      <c r="B864" t="s">
        <v>2249</v>
      </c>
    </row>
    <row r="865" spans="1:2" x14ac:dyDescent="0.3">
      <c r="A865" t="s">
        <v>1106</v>
      </c>
      <c r="B865" t="s">
        <v>2250</v>
      </c>
    </row>
    <row r="866" spans="1:2" x14ac:dyDescent="0.3">
      <c r="A866" t="s">
        <v>1101</v>
      </c>
      <c r="B866" t="s">
        <v>2251</v>
      </c>
    </row>
    <row r="867" spans="1:2" x14ac:dyDescent="0.3">
      <c r="A867" t="s">
        <v>1092</v>
      </c>
      <c r="B867" t="s">
        <v>2252</v>
      </c>
    </row>
    <row r="868" spans="1:2" x14ac:dyDescent="0.3">
      <c r="A868" t="s">
        <v>1108</v>
      </c>
      <c r="B868" t="s">
        <v>2253</v>
      </c>
    </row>
    <row r="869" spans="1:2" x14ac:dyDescent="0.3">
      <c r="A869" t="s">
        <v>1090</v>
      </c>
      <c r="B869" t="s">
        <v>1978</v>
      </c>
    </row>
    <row r="870" spans="1:2" x14ac:dyDescent="0.3">
      <c r="A870" t="s">
        <v>1107</v>
      </c>
      <c r="B870" t="s">
        <v>2254</v>
      </c>
    </row>
    <row r="871" spans="1:2" x14ac:dyDescent="0.3">
      <c r="A871" t="s">
        <v>1088</v>
      </c>
      <c r="B871" t="s">
        <v>2255</v>
      </c>
    </row>
    <row r="872" spans="1:2" x14ac:dyDescent="0.3">
      <c r="A872" t="s">
        <v>1089</v>
      </c>
      <c r="B872" t="s">
        <v>2256</v>
      </c>
    </row>
    <row r="873" spans="1:2" x14ac:dyDescent="0.3">
      <c r="A873" t="s">
        <v>1091</v>
      </c>
      <c r="B873" t="s">
        <v>2257</v>
      </c>
    </row>
    <row r="874" spans="1:2" x14ac:dyDescent="0.3">
      <c r="A874" t="s">
        <v>1669</v>
      </c>
      <c r="B874" t="s">
        <v>2258</v>
      </c>
    </row>
    <row r="875" spans="1:2" x14ac:dyDescent="0.3">
      <c r="A875" t="s">
        <v>1670</v>
      </c>
      <c r="B875" t="s">
        <v>2259</v>
      </c>
    </row>
    <row r="876" spans="1:2" x14ac:dyDescent="0.3">
      <c r="A876" t="s">
        <v>1094</v>
      </c>
      <c r="B876" t="s">
        <v>2260</v>
      </c>
    </row>
    <row r="877" spans="1:2" x14ac:dyDescent="0.3">
      <c r="A877" t="s">
        <v>1095</v>
      </c>
      <c r="B877" t="s">
        <v>2261</v>
      </c>
    </row>
    <row r="878" spans="1:2" x14ac:dyDescent="0.3">
      <c r="A878" t="s">
        <v>1671</v>
      </c>
      <c r="B878" t="s">
        <v>2262</v>
      </c>
    </row>
    <row r="879" spans="1:2" x14ac:dyDescent="0.3">
      <c r="A879" t="s">
        <v>1096</v>
      </c>
      <c r="B879" t="s">
        <v>2263</v>
      </c>
    </row>
    <row r="880" spans="1:2" x14ac:dyDescent="0.3">
      <c r="A880" t="s">
        <v>1672</v>
      </c>
      <c r="B880" t="s">
        <v>2264</v>
      </c>
    </row>
    <row r="881" spans="1:2" x14ac:dyDescent="0.3">
      <c r="A881" t="s">
        <v>1675</v>
      </c>
      <c r="B881" t="s">
        <v>2265</v>
      </c>
    </row>
    <row r="882" spans="1:2" x14ac:dyDescent="0.3">
      <c r="A882" t="s">
        <v>1115</v>
      </c>
      <c r="B882" t="s">
        <v>2266</v>
      </c>
    </row>
    <row r="883" spans="1:2" x14ac:dyDescent="0.3">
      <c r="A883" t="s">
        <v>1097</v>
      </c>
      <c r="B883" t="s">
        <v>2267</v>
      </c>
    </row>
    <row r="884" spans="1:2" x14ac:dyDescent="0.3">
      <c r="A884" t="s">
        <v>1098</v>
      </c>
      <c r="B884" t="s">
        <v>1895</v>
      </c>
    </row>
    <row r="885" spans="1:2" x14ac:dyDescent="0.3">
      <c r="A885" t="s">
        <v>1100</v>
      </c>
      <c r="B885" t="s">
        <v>2268</v>
      </c>
    </row>
    <row r="886" spans="1:2" x14ac:dyDescent="0.3">
      <c r="A886" t="s">
        <v>1099</v>
      </c>
      <c r="B886" t="s">
        <v>2269</v>
      </c>
    </row>
    <row r="887" spans="1:2" x14ac:dyDescent="0.3">
      <c r="A887" t="s">
        <v>1673</v>
      </c>
      <c r="B887" t="s">
        <v>2270</v>
      </c>
    </row>
    <row r="888" spans="1:2" x14ac:dyDescent="0.3">
      <c r="A888" t="s">
        <v>1105</v>
      </c>
      <c r="B888" t="s">
        <v>2271</v>
      </c>
    </row>
    <row r="889" spans="1:2" x14ac:dyDescent="0.3">
      <c r="A889" t="s">
        <v>1674</v>
      </c>
      <c r="B889" t="s">
        <v>2272</v>
      </c>
    </row>
    <row r="890" spans="1:2" x14ac:dyDescent="0.3">
      <c r="A890" t="s">
        <v>1681</v>
      </c>
      <c r="B890" t="s">
        <v>2273</v>
      </c>
    </row>
    <row r="891" spans="1:2" x14ac:dyDescent="0.3">
      <c r="A891" t="s">
        <v>1102</v>
      </c>
      <c r="B891" t="s">
        <v>2274</v>
      </c>
    </row>
    <row r="892" spans="1:2" x14ac:dyDescent="0.3">
      <c r="A892" t="s">
        <v>1119</v>
      </c>
      <c r="B892" t="s">
        <v>2275</v>
      </c>
    </row>
    <row r="893" spans="1:2" x14ac:dyDescent="0.3">
      <c r="A893" t="s">
        <v>1676</v>
      </c>
      <c r="B893" t="s">
        <v>2276</v>
      </c>
    </row>
    <row r="894" spans="1:2" x14ac:dyDescent="0.3">
      <c r="A894" t="s">
        <v>1103</v>
      </c>
      <c r="B894" t="s">
        <v>2277</v>
      </c>
    </row>
    <row r="895" spans="1:2" x14ac:dyDescent="0.3">
      <c r="A895" t="s">
        <v>1104</v>
      </c>
      <c r="B895" t="s">
        <v>2278</v>
      </c>
    </row>
    <row r="896" spans="1:2" x14ac:dyDescent="0.3">
      <c r="A896" t="s">
        <v>1117</v>
      </c>
      <c r="B896" t="s">
        <v>2279</v>
      </c>
    </row>
    <row r="897" spans="1:2" x14ac:dyDescent="0.3">
      <c r="A897" t="s">
        <v>1118</v>
      </c>
      <c r="B897" t="s">
        <v>2280</v>
      </c>
    </row>
    <row r="898" spans="1:2" x14ac:dyDescent="0.3">
      <c r="A898" t="s">
        <v>1122</v>
      </c>
      <c r="B898" t="s">
        <v>2281</v>
      </c>
    </row>
    <row r="899" spans="1:2" x14ac:dyDescent="0.3">
      <c r="A899" t="s">
        <v>1109</v>
      </c>
      <c r="B899" t="s">
        <v>2282</v>
      </c>
    </row>
    <row r="900" spans="1:2" x14ac:dyDescent="0.3">
      <c r="A900" t="s">
        <v>1677</v>
      </c>
      <c r="B900" t="s">
        <v>2283</v>
      </c>
    </row>
    <row r="901" spans="1:2" x14ac:dyDescent="0.3">
      <c r="A901" t="s">
        <v>1110</v>
      </c>
      <c r="B901" t="s">
        <v>2284</v>
      </c>
    </row>
    <row r="902" spans="1:2" x14ac:dyDescent="0.3">
      <c r="A902" t="s">
        <v>1111</v>
      </c>
      <c r="B902" t="s">
        <v>2285</v>
      </c>
    </row>
    <row r="903" spans="1:2" x14ac:dyDescent="0.3">
      <c r="A903" t="s">
        <v>1123</v>
      </c>
      <c r="B903" t="s">
        <v>2286</v>
      </c>
    </row>
    <row r="904" spans="1:2" x14ac:dyDescent="0.3">
      <c r="A904" t="s">
        <v>1112</v>
      </c>
      <c r="B904" t="s">
        <v>2287</v>
      </c>
    </row>
    <row r="905" spans="1:2" x14ac:dyDescent="0.3">
      <c r="A905" t="s">
        <v>1678</v>
      </c>
      <c r="B905" t="s">
        <v>2288</v>
      </c>
    </row>
    <row r="906" spans="1:2" x14ac:dyDescent="0.3">
      <c r="A906" t="s">
        <v>1113</v>
      </c>
      <c r="B906" t="s">
        <v>2289</v>
      </c>
    </row>
    <row r="907" spans="1:2" x14ac:dyDescent="0.3">
      <c r="A907" t="s">
        <v>1679</v>
      </c>
      <c r="B907" t="s">
        <v>2290</v>
      </c>
    </row>
    <row r="908" spans="1:2" x14ac:dyDescent="0.3">
      <c r="A908" t="s">
        <v>1114</v>
      </c>
      <c r="B908" t="s">
        <v>2291</v>
      </c>
    </row>
    <row r="909" spans="1:2" x14ac:dyDescent="0.3">
      <c r="A909" t="s">
        <v>1116</v>
      </c>
      <c r="B909" t="s">
        <v>2292</v>
      </c>
    </row>
    <row r="910" spans="1:2" x14ac:dyDescent="0.3">
      <c r="A910" t="s">
        <v>1120</v>
      </c>
      <c r="B910" t="s">
        <v>2293</v>
      </c>
    </row>
    <row r="911" spans="1:2" x14ac:dyDescent="0.3">
      <c r="A911" t="s">
        <v>1680</v>
      </c>
      <c r="B911" t="s">
        <v>2294</v>
      </c>
    </row>
    <row r="912" spans="1:2" x14ac:dyDescent="0.3">
      <c r="A912" t="s">
        <v>1121</v>
      </c>
      <c r="B912" t="s">
        <v>2295</v>
      </c>
    </row>
    <row r="913" spans="1:2" x14ac:dyDescent="0.3">
      <c r="A913" t="s">
        <v>1682</v>
      </c>
      <c r="B913" t="s">
        <v>2296</v>
      </c>
    </row>
    <row r="914" spans="1:2" x14ac:dyDescent="0.3">
      <c r="A914" t="s">
        <v>1124</v>
      </c>
      <c r="B914" t="s">
        <v>2297</v>
      </c>
    </row>
    <row r="915" spans="1:2" x14ac:dyDescent="0.3">
      <c r="A915" t="s">
        <v>1125</v>
      </c>
      <c r="B915" t="s">
        <v>2298</v>
      </c>
    </row>
    <row r="916" spans="1:2" x14ac:dyDescent="0.3">
      <c r="A916" t="s">
        <v>1128</v>
      </c>
      <c r="B916" t="s">
        <v>2299</v>
      </c>
    </row>
    <row r="917" spans="1:2" x14ac:dyDescent="0.3">
      <c r="A917" t="s">
        <v>1126</v>
      </c>
      <c r="B917" t="s">
        <v>2300</v>
      </c>
    </row>
    <row r="918" spans="1:2" x14ac:dyDescent="0.3">
      <c r="A918" t="s">
        <v>1127</v>
      </c>
      <c r="B918" t="s">
        <v>2301</v>
      </c>
    </row>
    <row r="919" spans="1:2" x14ac:dyDescent="0.3">
      <c r="A919" t="s">
        <v>1129</v>
      </c>
      <c r="B919" t="s">
        <v>2302</v>
      </c>
    </row>
    <row r="920" spans="1:2" x14ac:dyDescent="0.3">
      <c r="A920" t="s">
        <v>1130</v>
      </c>
      <c r="B920" t="s">
        <v>2303</v>
      </c>
    </row>
    <row r="921" spans="1:2" x14ac:dyDescent="0.3">
      <c r="A921" t="s">
        <v>1685</v>
      </c>
      <c r="B921" t="s">
        <v>1958</v>
      </c>
    </row>
    <row r="922" spans="1:2" x14ac:dyDescent="0.3">
      <c r="A922" t="s">
        <v>1684</v>
      </c>
      <c r="B922" t="s">
        <v>2304</v>
      </c>
    </row>
    <row r="923" spans="1:2" x14ac:dyDescent="0.3">
      <c r="A923" t="s">
        <v>1135</v>
      </c>
      <c r="B923" t="s">
        <v>2305</v>
      </c>
    </row>
    <row r="924" spans="1:2" x14ac:dyDescent="0.3">
      <c r="A924" t="s">
        <v>1133</v>
      </c>
      <c r="B924" t="s">
        <v>2306</v>
      </c>
    </row>
    <row r="925" spans="1:2" x14ac:dyDescent="0.3">
      <c r="A925" t="s">
        <v>1131</v>
      </c>
      <c r="B925" t="s">
        <v>2307</v>
      </c>
    </row>
    <row r="926" spans="1:2" x14ac:dyDescent="0.3">
      <c r="A926" t="s">
        <v>1132</v>
      </c>
      <c r="B926" t="s">
        <v>2308</v>
      </c>
    </row>
    <row r="927" spans="1:2" x14ac:dyDescent="0.3">
      <c r="A927" t="s">
        <v>1134</v>
      </c>
      <c r="B927" t="s">
        <v>2309</v>
      </c>
    </row>
    <row r="928" spans="1:2" x14ac:dyDescent="0.3">
      <c r="A928" t="s">
        <v>1683</v>
      </c>
      <c r="B928" t="s">
        <v>2310</v>
      </c>
    </row>
    <row r="929" spans="1:2" x14ac:dyDescent="0.3">
      <c r="A929" t="s">
        <v>1139</v>
      </c>
      <c r="B929" t="s">
        <v>2311</v>
      </c>
    </row>
    <row r="930" spans="1:2" x14ac:dyDescent="0.3">
      <c r="A930" t="s">
        <v>1140</v>
      </c>
      <c r="B930" t="s">
        <v>2312</v>
      </c>
    </row>
    <row r="931" spans="1:2" x14ac:dyDescent="0.3">
      <c r="A931" t="s">
        <v>1137</v>
      </c>
      <c r="B931" t="s">
        <v>2313</v>
      </c>
    </row>
    <row r="932" spans="1:2" x14ac:dyDescent="0.3">
      <c r="A932" t="s">
        <v>1136</v>
      </c>
      <c r="B932" t="s">
        <v>2314</v>
      </c>
    </row>
    <row r="933" spans="1:2" x14ac:dyDescent="0.3">
      <c r="A933" t="s">
        <v>1152</v>
      </c>
      <c r="B933" t="s">
        <v>2315</v>
      </c>
    </row>
    <row r="934" spans="1:2" x14ac:dyDescent="0.3">
      <c r="A934" t="s">
        <v>1686</v>
      </c>
      <c r="B934" t="s">
        <v>1896</v>
      </c>
    </row>
    <row r="935" spans="1:2" x14ac:dyDescent="0.3">
      <c r="A935" t="s">
        <v>1138</v>
      </c>
      <c r="B935" t="s">
        <v>2316</v>
      </c>
    </row>
    <row r="936" spans="1:2" x14ac:dyDescent="0.3">
      <c r="A936" t="s">
        <v>1141</v>
      </c>
      <c r="B936" t="s">
        <v>2317</v>
      </c>
    </row>
    <row r="937" spans="1:2" x14ac:dyDescent="0.3">
      <c r="A937" t="s">
        <v>1142</v>
      </c>
      <c r="B937" t="s">
        <v>2318</v>
      </c>
    </row>
    <row r="938" spans="1:2" x14ac:dyDescent="0.3">
      <c r="A938" t="s">
        <v>1143</v>
      </c>
      <c r="B938" t="s">
        <v>2319</v>
      </c>
    </row>
    <row r="939" spans="1:2" x14ac:dyDescent="0.3">
      <c r="A939" t="s">
        <v>1153</v>
      </c>
      <c r="B939" t="s">
        <v>2320</v>
      </c>
    </row>
    <row r="940" spans="1:2" x14ac:dyDescent="0.3">
      <c r="A940" t="s">
        <v>1687</v>
      </c>
      <c r="B940" t="s">
        <v>2321</v>
      </c>
    </row>
    <row r="941" spans="1:2" x14ac:dyDescent="0.3">
      <c r="A941" t="s">
        <v>1144</v>
      </c>
      <c r="B941" t="s">
        <v>2322</v>
      </c>
    </row>
    <row r="942" spans="1:2" x14ac:dyDescent="0.3">
      <c r="A942" t="s">
        <v>1688</v>
      </c>
      <c r="B942" t="s">
        <v>2323</v>
      </c>
    </row>
    <row r="943" spans="1:2" x14ac:dyDescent="0.3">
      <c r="A943" t="s">
        <v>1151</v>
      </c>
      <c r="B943" t="s">
        <v>2324</v>
      </c>
    </row>
    <row r="944" spans="1:2" x14ac:dyDescent="0.3">
      <c r="A944" t="s">
        <v>1145</v>
      </c>
      <c r="B944" t="s">
        <v>2325</v>
      </c>
    </row>
    <row r="945" spans="1:2" x14ac:dyDescent="0.3">
      <c r="A945" t="s">
        <v>1146</v>
      </c>
      <c r="B945" t="s">
        <v>2326</v>
      </c>
    </row>
    <row r="946" spans="1:2" x14ac:dyDescent="0.3">
      <c r="A946" t="s">
        <v>1148</v>
      </c>
      <c r="B946" t="s">
        <v>2327</v>
      </c>
    </row>
    <row r="947" spans="1:2" x14ac:dyDescent="0.3">
      <c r="A947" t="s">
        <v>1149</v>
      </c>
      <c r="B947" t="s">
        <v>2328</v>
      </c>
    </row>
    <row r="948" spans="1:2" x14ac:dyDescent="0.3">
      <c r="A948" t="s">
        <v>1150</v>
      </c>
      <c r="B948" t="s">
        <v>2329</v>
      </c>
    </row>
    <row r="949" spans="1:2" x14ac:dyDescent="0.3">
      <c r="A949" t="s">
        <v>1167</v>
      </c>
      <c r="B949" t="s">
        <v>2330</v>
      </c>
    </row>
    <row r="950" spans="1:2" x14ac:dyDescent="0.3">
      <c r="A950" t="s">
        <v>1156</v>
      </c>
      <c r="B950" t="s">
        <v>2331</v>
      </c>
    </row>
    <row r="951" spans="1:2" x14ac:dyDescent="0.3">
      <c r="A951" t="s">
        <v>1161</v>
      </c>
      <c r="B951" t="s">
        <v>2332</v>
      </c>
    </row>
    <row r="952" spans="1:2" x14ac:dyDescent="0.3">
      <c r="A952" t="s">
        <v>1170</v>
      </c>
      <c r="B952" t="s">
        <v>2333</v>
      </c>
    </row>
    <row r="953" spans="1:2" x14ac:dyDescent="0.3">
      <c r="A953" t="s">
        <v>1158</v>
      </c>
      <c r="B953" t="s">
        <v>1979</v>
      </c>
    </row>
    <row r="954" spans="1:2" x14ac:dyDescent="0.3">
      <c r="A954" t="s">
        <v>1157</v>
      </c>
      <c r="B954" t="s">
        <v>2334</v>
      </c>
    </row>
    <row r="955" spans="1:2" x14ac:dyDescent="0.3">
      <c r="A955" t="s">
        <v>1159</v>
      </c>
      <c r="B955" t="s">
        <v>2335</v>
      </c>
    </row>
    <row r="956" spans="1:2" x14ac:dyDescent="0.3">
      <c r="A956" t="s">
        <v>1689</v>
      </c>
      <c r="B956" t="s">
        <v>2336</v>
      </c>
    </row>
    <row r="957" spans="1:2" x14ac:dyDescent="0.3">
      <c r="A957" t="s">
        <v>1160</v>
      </c>
      <c r="B957" t="s">
        <v>2337</v>
      </c>
    </row>
    <row r="958" spans="1:2" x14ac:dyDescent="0.3">
      <c r="A958" t="s">
        <v>1165</v>
      </c>
      <c r="B958" t="s">
        <v>2338</v>
      </c>
    </row>
    <row r="959" spans="1:2" x14ac:dyDescent="0.3">
      <c r="A959" t="s">
        <v>1168</v>
      </c>
      <c r="B959" t="s">
        <v>2339</v>
      </c>
    </row>
    <row r="960" spans="1:2" x14ac:dyDescent="0.3">
      <c r="A960" t="s">
        <v>1162</v>
      </c>
      <c r="B960" t="s">
        <v>2340</v>
      </c>
    </row>
    <row r="961" spans="1:2" x14ac:dyDescent="0.3">
      <c r="A961" t="s">
        <v>1163</v>
      </c>
      <c r="B961" t="s">
        <v>2341</v>
      </c>
    </row>
    <row r="962" spans="1:2" x14ac:dyDescent="0.3">
      <c r="A962" t="s">
        <v>1154</v>
      </c>
      <c r="B962" t="s">
        <v>2342</v>
      </c>
    </row>
    <row r="963" spans="1:2" x14ac:dyDescent="0.3">
      <c r="A963" t="s">
        <v>1164</v>
      </c>
      <c r="B963" t="s">
        <v>2343</v>
      </c>
    </row>
    <row r="964" spans="1:2" x14ac:dyDescent="0.3">
      <c r="A964" t="s">
        <v>1166</v>
      </c>
      <c r="B964" t="s">
        <v>1873</v>
      </c>
    </row>
    <row r="965" spans="1:2" x14ac:dyDescent="0.3">
      <c r="A965" t="s">
        <v>1690</v>
      </c>
      <c r="B965" t="s">
        <v>2344</v>
      </c>
    </row>
    <row r="966" spans="1:2" x14ac:dyDescent="0.3">
      <c r="A966" t="s">
        <v>1147</v>
      </c>
      <c r="B966" t="s">
        <v>1874</v>
      </c>
    </row>
    <row r="967" spans="1:2" x14ac:dyDescent="0.3">
      <c r="A967" t="s">
        <v>1172</v>
      </c>
      <c r="B967" t="s">
        <v>2345</v>
      </c>
    </row>
    <row r="968" spans="1:2" x14ac:dyDescent="0.3">
      <c r="A968" t="s">
        <v>1169</v>
      </c>
      <c r="B968" t="s">
        <v>1959</v>
      </c>
    </row>
    <row r="969" spans="1:2" x14ac:dyDescent="0.3">
      <c r="A969" t="s">
        <v>1171</v>
      </c>
      <c r="B969" t="s">
        <v>2346</v>
      </c>
    </row>
    <row r="970" spans="1:2" x14ac:dyDescent="0.3">
      <c r="A970" t="s">
        <v>1173</v>
      </c>
      <c r="B970" t="s">
        <v>2347</v>
      </c>
    </row>
    <row r="971" spans="1:2" x14ac:dyDescent="0.3">
      <c r="A971" t="s">
        <v>1177</v>
      </c>
      <c r="B971" t="s">
        <v>1980</v>
      </c>
    </row>
    <row r="972" spans="1:2" x14ac:dyDescent="0.3">
      <c r="A972" t="s">
        <v>1174</v>
      </c>
      <c r="B972" t="s">
        <v>2348</v>
      </c>
    </row>
    <row r="973" spans="1:2" x14ac:dyDescent="0.3">
      <c r="A973" t="s">
        <v>1175</v>
      </c>
      <c r="B973" t="s">
        <v>1960</v>
      </c>
    </row>
    <row r="974" spans="1:2" x14ac:dyDescent="0.3">
      <c r="A974" t="s">
        <v>1176</v>
      </c>
      <c r="B974" t="s">
        <v>1875</v>
      </c>
    </row>
    <row r="975" spans="1:2" x14ac:dyDescent="0.3">
      <c r="A975" t="s">
        <v>1178</v>
      </c>
      <c r="B975" t="s">
        <v>2349</v>
      </c>
    </row>
    <row r="976" spans="1:2" x14ac:dyDescent="0.3">
      <c r="A976" t="s">
        <v>1691</v>
      </c>
      <c r="B976" t="s">
        <v>2350</v>
      </c>
    </row>
    <row r="977" spans="1:2" x14ac:dyDescent="0.3">
      <c r="A977" t="s">
        <v>1179</v>
      </c>
      <c r="B977" t="s">
        <v>2351</v>
      </c>
    </row>
    <row r="978" spans="1:2" x14ac:dyDescent="0.3">
      <c r="A978" t="s">
        <v>1180</v>
      </c>
      <c r="B978" t="s">
        <v>2352</v>
      </c>
    </row>
    <row r="979" spans="1:2" x14ac:dyDescent="0.3">
      <c r="A979" t="s">
        <v>1181</v>
      </c>
      <c r="B979" t="s">
        <v>2353</v>
      </c>
    </row>
    <row r="980" spans="1:2" x14ac:dyDescent="0.3">
      <c r="A980" t="s">
        <v>1182</v>
      </c>
      <c r="B980" t="s">
        <v>2354</v>
      </c>
    </row>
    <row r="981" spans="1:2" x14ac:dyDescent="0.3">
      <c r="A981" t="s">
        <v>1183</v>
      </c>
      <c r="B981" t="s">
        <v>2355</v>
      </c>
    </row>
    <row r="982" spans="1:2" x14ac:dyDescent="0.3">
      <c r="A982" t="s">
        <v>1193</v>
      </c>
      <c r="B982" t="s">
        <v>2356</v>
      </c>
    </row>
    <row r="983" spans="1:2" x14ac:dyDescent="0.3">
      <c r="A983" t="s">
        <v>1186</v>
      </c>
      <c r="B983" t="s">
        <v>2357</v>
      </c>
    </row>
    <row r="984" spans="1:2" x14ac:dyDescent="0.3">
      <c r="A984" t="s">
        <v>1191</v>
      </c>
      <c r="B984" t="s">
        <v>2358</v>
      </c>
    </row>
    <row r="985" spans="1:2" x14ac:dyDescent="0.3">
      <c r="A985" t="s">
        <v>1184</v>
      </c>
      <c r="B985" t="s">
        <v>2359</v>
      </c>
    </row>
    <row r="986" spans="1:2" x14ac:dyDescent="0.3">
      <c r="A986" t="s">
        <v>1185</v>
      </c>
      <c r="B986" t="s">
        <v>2360</v>
      </c>
    </row>
    <row r="987" spans="1:2" x14ac:dyDescent="0.3">
      <c r="A987" t="s">
        <v>1692</v>
      </c>
      <c r="B987" t="s">
        <v>2361</v>
      </c>
    </row>
    <row r="988" spans="1:2" x14ac:dyDescent="0.3">
      <c r="A988" t="s">
        <v>1195</v>
      </c>
      <c r="B988" t="s">
        <v>2362</v>
      </c>
    </row>
    <row r="989" spans="1:2" x14ac:dyDescent="0.3">
      <c r="A989" t="s">
        <v>1188</v>
      </c>
      <c r="B989" t="s">
        <v>2363</v>
      </c>
    </row>
    <row r="990" spans="1:2" x14ac:dyDescent="0.3">
      <c r="A990" t="s">
        <v>1694</v>
      </c>
      <c r="B990" t="s">
        <v>2364</v>
      </c>
    </row>
    <row r="991" spans="1:2" x14ac:dyDescent="0.3">
      <c r="A991" t="s">
        <v>1190</v>
      </c>
      <c r="B991" t="s">
        <v>2365</v>
      </c>
    </row>
    <row r="992" spans="1:2" x14ac:dyDescent="0.3">
      <c r="A992" t="s">
        <v>1189</v>
      </c>
      <c r="B992" t="s">
        <v>2366</v>
      </c>
    </row>
    <row r="993" spans="1:2" x14ac:dyDescent="0.3">
      <c r="A993" t="s">
        <v>1693</v>
      </c>
      <c r="B993" t="s">
        <v>2367</v>
      </c>
    </row>
    <row r="994" spans="1:2" x14ac:dyDescent="0.3">
      <c r="A994" t="s">
        <v>1187</v>
      </c>
      <c r="B994" t="s">
        <v>2368</v>
      </c>
    </row>
    <row r="995" spans="1:2" x14ac:dyDescent="0.3">
      <c r="A995" t="s">
        <v>1196</v>
      </c>
      <c r="B995" t="s">
        <v>2369</v>
      </c>
    </row>
    <row r="996" spans="1:2" x14ac:dyDescent="0.3">
      <c r="A996" t="s">
        <v>1192</v>
      </c>
      <c r="B996" t="s">
        <v>2370</v>
      </c>
    </row>
    <row r="997" spans="1:2" x14ac:dyDescent="0.3">
      <c r="A997" t="s">
        <v>1194</v>
      </c>
      <c r="B997" t="s">
        <v>2371</v>
      </c>
    </row>
    <row r="998" spans="1:2" x14ac:dyDescent="0.3">
      <c r="A998" t="s">
        <v>1695</v>
      </c>
      <c r="B998" t="s">
        <v>2372</v>
      </c>
    </row>
    <row r="999" spans="1:2" x14ac:dyDescent="0.3">
      <c r="A999" t="s">
        <v>1204</v>
      </c>
      <c r="B999" t="s">
        <v>2373</v>
      </c>
    </row>
    <row r="1000" spans="1:2" x14ac:dyDescent="0.3">
      <c r="A1000" t="s">
        <v>1210</v>
      </c>
      <c r="B1000" t="s">
        <v>2374</v>
      </c>
    </row>
    <row r="1001" spans="1:2" x14ac:dyDescent="0.3">
      <c r="A1001" t="s">
        <v>1197</v>
      </c>
      <c r="B1001" t="s">
        <v>2375</v>
      </c>
    </row>
    <row r="1002" spans="1:2" x14ac:dyDescent="0.3">
      <c r="A1002" t="s">
        <v>1198</v>
      </c>
      <c r="B1002" t="s">
        <v>2376</v>
      </c>
    </row>
    <row r="1003" spans="1:2" x14ac:dyDescent="0.3">
      <c r="A1003" t="s">
        <v>1223</v>
      </c>
      <c r="B1003" t="s">
        <v>2377</v>
      </c>
    </row>
    <row r="1004" spans="1:2" x14ac:dyDescent="0.3">
      <c r="A1004" t="s">
        <v>1199</v>
      </c>
      <c r="B1004" t="s">
        <v>2378</v>
      </c>
    </row>
    <row r="1005" spans="1:2" x14ac:dyDescent="0.3">
      <c r="A1005" t="s">
        <v>1201</v>
      </c>
      <c r="B1005" t="s">
        <v>2379</v>
      </c>
    </row>
    <row r="1006" spans="1:2" x14ac:dyDescent="0.3">
      <c r="A1006" t="s">
        <v>1202</v>
      </c>
      <c r="B1006" t="s">
        <v>2380</v>
      </c>
    </row>
    <row r="1007" spans="1:2" x14ac:dyDescent="0.3">
      <c r="A1007" t="s">
        <v>1206</v>
      </c>
      <c r="B1007" t="s">
        <v>2381</v>
      </c>
    </row>
    <row r="1008" spans="1:2" x14ac:dyDescent="0.3">
      <c r="A1008" t="s">
        <v>1203</v>
      </c>
      <c r="B1008" t="s">
        <v>2382</v>
      </c>
    </row>
    <row r="1009" spans="1:2" x14ac:dyDescent="0.3">
      <c r="A1009" t="s">
        <v>1205</v>
      </c>
      <c r="B1009" t="s">
        <v>2383</v>
      </c>
    </row>
    <row r="1010" spans="1:2" x14ac:dyDescent="0.3">
      <c r="A1010" t="s">
        <v>1208</v>
      </c>
      <c r="B1010" t="s">
        <v>2384</v>
      </c>
    </row>
    <row r="1011" spans="1:2" x14ac:dyDescent="0.3">
      <c r="A1011" t="s">
        <v>1200</v>
      </c>
      <c r="B1011" t="s">
        <v>2385</v>
      </c>
    </row>
    <row r="1012" spans="1:2" x14ac:dyDescent="0.3">
      <c r="A1012" t="s">
        <v>1696</v>
      </c>
      <c r="B1012" t="s">
        <v>2386</v>
      </c>
    </row>
    <row r="1013" spans="1:2" x14ac:dyDescent="0.3">
      <c r="A1013" t="s">
        <v>1221</v>
      </c>
      <c r="B1013" t="s">
        <v>2387</v>
      </c>
    </row>
    <row r="1014" spans="1:2" x14ac:dyDescent="0.3">
      <c r="A1014" t="s">
        <v>1207</v>
      </c>
      <c r="B1014" t="s">
        <v>2388</v>
      </c>
    </row>
    <row r="1015" spans="1:2" x14ac:dyDescent="0.3">
      <c r="A1015" t="s">
        <v>1215</v>
      </c>
      <c r="B1015" t="s">
        <v>2389</v>
      </c>
    </row>
    <row r="1016" spans="1:2" x14ac:dyDescent="0.3">
      <c r="A1016" t="s">
        <v>1211</v>
      </c>
      <c r="B1016" t="s">
        <v>2390</v>
      </c>
    </row>
    <row r="1017" spans="1:2" x14ac:dyDescent="0.3">
      <c r="A1017" t="s">
        <v>1212</v>
      </c>
      <c r="B1017" t="s">
        <v>2391</v>
      </c>
    </row>
    <row r="1018" spans="1:2" x14ac:dyDescent="0.3">
      <c r="A1018" t="s">
        <v>1213</v>
      </c>
      <c r="B1018" t="s">
        <v>2392</v>
      </c>
    </row>
    <row r="1019" spans="1:2" x14ac:dyDescent="0.3">
      <c r="A1019" t="s">
        <v>1214</v>
      </c>
      <c r="B1019" t="s">
        <v>2393</v>
      </c>
    </row>
    <row r="1020" spans="1:2" x14ac:dyDescent="0.3">
      <c r="A1020" t="s">
        <v>1216</v>
      </c>
      <c r="B1020" t="s">
        <v>2394</v>
      </c>
    </row>
    <row r="1021" spans="1:2" x14ac:dyDescent="0.3">
      <c r="A1021" t="s">
        <v>1697</v>
      </c>
      <c r="B1021" t="s">
        <v>2395</v>
      </c>
    </row>
    <row r="1022" spans="1:2" x14ac:dyDescent="0.3">
      <c r="A1022" t="s">
        <v>1209</v>
      </c>
      <c r="B1022" t="s">
        <v>1981</v>
      </c>
    </row>
    <row r="1023" spans="1:2" x14ac:dyDescent="0.3">
      <c r="A1023" t="s">
        <v>1698</v>
      </c>
      <c r="B1023" t="s">
        <v>2396</v>
      </c>
    </row>
    <row r="1024" spans="1:2" x14ac:dyDescent="0.3">
      <c r="A1024" t="s">
        <v>1217</v>
      </c>
      <c r="B1024" t="s">
        <v>2397</v>
      </c>
    </row>
    <row r="1025" spans="1:2" x14ac:dyDescent="0.3">
      <c r="A1025" t="s">
        <v>1699</v>
      </c>
      <c r="B1025" t="s">
        <v>2398</v>
      </c>
    </row>
    <row r="1026" spans="1:2" x14ac:dyDescent="0.3">
      <c r="A1026" t="s">
        <v>1224</v>
      </c>
      <c r="B1026" t="s">
        <v>2399</v>
      </c>
    </row>
    <row r="1027" spans="1:2" x14ac:dyDescent="0.3">
      <c r="A1027" t="s">
        <v>1218</v>
      </c>
      <c r="B1027" t="s">
        <v>2400</v>
      </c>
    </row>
    <row r="1028" spans="1:2" x14ac:dyDescent="0.3">
      <c r="A1028" t="s">
        <v>1700</v>
      </c>
      <c r="B1028" t="s">
        <v>2401</v>
      </c>
    </row>
    <row r="1029" spans="1:2" x14ac:dyDescent="0.3">
      <c r="A1029" t="s">
        <v>1219</v>
      </c>
      <c r="B1029" t="s">
        <v>2402</v>
      </c>
    </row>
    <row r="1030" spans="1:2" x14ac:dyDescent="0.3">
      <c r="A1030" t="s">
        <v>1701</v>
      </c>
      <c r="B1030" t="s">
        <v>2402</v>
      </c>
    </row>
    <row r="1031" spans="1:2" x14ac:dyDescent="0.3">
      <c r="A1031" t="s">
        <v>1220</v>
      </c>
      <c r="B1031" t="s">
        <v>2403</v>
      </c>
    </row>
    <row r="1032" spans="1:2" x14ac:dyDescent="0.3">
      <c r="A1032" t="s">
        <v>1702</v>
      </c>
      <c r="B1032" t="s">
        <v>2403</v>
      </c>
    </row>
    <row r="1033" spans="1:2" x14ac:dyDescent="0.3">
      <c r="A1033" t="s">
        <v>1222</v>
      </c>
      <c r="B1033" t="s">
        <v>2404</v>
      </c>
    </row>
    <row r="1034" spans="1:2" x14ac:dyDescent="0.3">
      <c r="A1034" t="s">
        <v>1225</v>
      </c>
      <c r="B1034" t="s">
        <v>2405</v>
      </c>
    </row>
    <row r="1035" spans="1:2" x14ac:dyDescent="0.3">
      <c r="A1035" t="s">
        <v>1229</v>
      </c>
      <c r="B1035" t="s">
        <v>2406</v>
      </c>
    </row>
    <row r="1036" spans="1:2" x14ac:dyDescent="0.3">
      <c r="A1036" t="s">
        <v>1226</v>
      </c>
      <c r="B1036" t="s">
        <v>2407</v>
      </c>
    </row>
    <row r="1037" spans="1:2" x14ac:dyDescent="0.3">
      <c r="A1037" t="s">
        <v>1228</v>
      </c>
      <c r="B1037" t="s">
        <v>2408</v>
      </c>
    </row>
    <row r="1038" spans="1:2" x14ac:dyDescent="0.3">
      <c r="A1038" t="s">
        <v>1227</v>
      </c>
      <c r="B1038" t="s">
        <v>1897</v>
      </c>
    </row>
    <row r="1039" spans="1:2" x14ac:dyDescent="0.3">
      <c r="A1039" t="s">
        <v>1230</v>
      </c>
      <c r="B1039" t="s">
        <v>2409</v>
      </c>
    </row>
    <row r="1040" spans="1:2" x14ac:dyDescent="0.3">
      <c r="A1040" t="s">
        <v>1231</v>
      </c>
      <c r="B1040" t="s">
        <v>2410</v>
      </c>
    </row>
    <row r="1041" spans="1:2" x14ac:dyDescent="0.3">
      <c r="A1041" t="s">
        <v>1232</v>
      </c>
      <c r="B1041" t="s">
        <v>2411</v>
      </c>
    </row>
    <row r="1042" spans="1:2" x14ac:dyDescent="0.3">
      <c r="A1042" t="s">
        <v>1235</v>
      </c>
      <c r="B1042" t="s">
        <v>2412</v>
      </c>
    </row>
    <row r="1043" spans="1:2" x14ac:dyDescent="0.3">
      <c r="A1043" t="s">
        <v>1703</v>
      </c>
      <c r="B1043" t="s">
        <v>2413</v>
      </c>
    </row>
    <row r="1044" spans="1:2" x14ac:dyDescent="0.3">
      <c r="A1044" t="s">
        <v>1233</v>
      </c>
      <c r="B1044" t="s">
        <v>2414</v>
      </c>
    </row>
    <row r="1045" spans="1:2" x14ac:dyDescent="0.3">
      <c r="A1045" t="s">
        <v>1704</v>
      </c>
      <c r="B1045" t="s">
        <v>2415</v>
      </c>
    </row>
    <row r="1046" spans="1:2" x14ac:dyDescent="0.3">
      <c r="A1046" t="s">
        <v>1234</v>
      </c>
      <c r="B1046" t="s">
        <v>2416</v>
      </c>
    </row>
    <row r="1047" spans="1:2" x14ac:dyDescent="0.3">
      <c r="A1047" t="s">
        <v>1236</v>
      </c>
      <c r="B1047" t="s">
        <v>2417</v>
      </c>
    </row>
    <row r="1048" spans="1:2" x14ac:dyDescent="0.3">
      <c r="A1048" t="s">
        <v>1240</v>
      </c>
      <c r="B1048" t="s">
        <v>2418</v>
      </c>
    </row>
    <row r="1049" spans="1:2" x14ac:dyDescent="0.3">
      <c r="A1049" t="s">
        <v>1237</v>
      </c>
      <c r="B1049" t="s">
        <v>2419</v>
      </c>
    </row>
    <row r="1050" spans="1:2" x14ac:dyDescent="0.3">
      <c r="A1050" t="s">
        <v>1271</v>
      </c>
      <c r="B1050" t="s">
        <v>2420</v>
      </c>
    </row>
    <row r="1051" spans="1:2" x14ac:dyDescent="0.3">
      <c r="A1051" t="s">
        <v>1238</v>
      </c>
      <c r="B1051" t="s">
        <v>2421</v>
      </c>
    </row>
    <row r="1052" spans="1:2" x14ac:dyDescent="0.3">
      <c r="A1052" t="s">
        <v>1256</v>
      </c>
      <c r="B1052" t="s">
        <v>2422</v>
      </c>
    </row>
    <row r="1053" spans="1:2" x14ac:dyDescent="0.3">
      <c r="A1053" t="s">
        <v>1718</v>
      </c>
      <c r="B1053" t="s">
        <v>2423</v>
      </c>
    </row>
    <row r="1054" spans="1:2" x14ac:dyDescent="0.3">
      <c r="A1054" t="s">
        <v>1277</v>
      </c>
      <c r="B1054" t="s">
        <v>2424</v>
      </c>
    </row>
    <row r="1055" spans="1:2" x14ac:dyDescent="0.3">
      <c r="A1055" t="s">
        <v>1239</v>
      </c>
      <c r="B1055" t="s">
        <v>2425</v>
      </c>
    </row>
    <row r="1056" spans="1:2" x14ac:dyDescent="0.3">
      <c r="A1056" t="s">
        <v>1705</v>
      </c>
      <c r="B1056" t="s">
        <v>2426</v>
      </c>
    </row>
    <row r="1057" spans="1:2" x14ac:dyDescent="0.3">
      <c r="A1057" t="s">
        <v>1706</v>
      </c>
      <c r="B1057" t="s">
        <v>2427</v>
      </c>
    </row>
    <row r="1058" spans="1:2" x14ac:dyDescent="0.3">
      <c r="A1058" t="s">
        <v>1241</v>
      </c>
      <c r="B1058" t="s">
        <v>2428</v>
      </c>
    </row>
    <row r="1059" spans="1:2" x14ac:dyDescent="0.3">
      <c r="A1059" t="s">
        <v>1712</v>
      </c>
      <c r="B1059" t="s">
        <v>2429</v>
      </c>
    </row>
    <row r="1060" spans="1:2" x14ac:dyDescent="0.3">
      <c r="A1060" t="s">
        <v>1242</v>
      </c>
      <c r="B1060" t="s">
        <v>2430</v>
      </c>
    </row>
    <row r="1061" spans="1:2" x14ac:dyDescent="0.3">
      <c r="A1061" t="s">
        <v>1243</v>
      </c>
      <c r="B1061" t="s">
        <v>2431</v>
      </c>
    </row>
    <row r="1062" spans="1:2" x14ac:dyDescent="0.3">
      <c r="A1062" t="s">
        <v>1253</v>
      </c>
      <c r="B1062" t="s">
        <v>2432</v>
      </c>
    </row>
    <row r="1063" spans="1:2" x14ac:dyDescent="0.3">
      <c r="A1063" t="s">
        <v>1709</v>
      </c>
      <c r="B1063" t="s">
        <v>2433</v>
      </c>
    </row>
    <row r="1064" spans="1:2" x14ac:dyDescent="0.3">
      <c r="A1064" t="s">
        <v>1244</v>
      </c>
      <c r="B1064" t="s">
        <v>2434</v>
      </c>
    </row>
    <row r="1065" spans="1:2" x14ac:dyDescent="0.3">
      <c r="A1065" t="s">
        <v>1707</v>
      </c>
      <c r="B1065" t="s">
        <v>2435</v>
      </c>
    </row>
    <row r="1066" spans="1:2" x14ac:dyDescent="0.3">
      <c r="A1066" t="s">
        <v>1708</v>
      </c>
      <c r="B1066" t="s">
        <v>2436</v>
      </c>
    </row>
    <row r="1067" spans="1:2" x14ac:dyDescent="0.3">
      <c r="A1067" t="s">
        <v>1245</v>
      </c>
      <c r="B1067" t="s">
        <v>2437</v>
      </c>
    </row>
    <row r="1068" spans="1:2" x14ac:dyDescent="0.3">
      <c r="A1068" t="s">
        <v>1714</v>
      </c>
      <c r="B1068" t="s">
        <v>2438</v>
      </c>
    </row>
    <row r="1069" spans="1:2" x14ac:dyDescent="0.3">
      <c r="A1069" t="s">
        <v>1246</v>
      </c>
      <c r="B1069" t="s">
        <v>2439</v>
      </c>
    </row>
    <row r="1070" spans="1:2" x14ac:dyDescent="0.3">
      <c r="A1070" t="s">
        <v>1247</v>
      </c>
      <c r="B1070" t="s">
        <v>2440</v>
      </c>
    </row>
    <row r="1071" spans="1:2" x14ac:dyDescent="0.3">
      <c r="A1071" t="s">
        <v>1248</v>
      </c>
      <c r="B1071" t="s">
        <v>2441</v>
      </c>
    </row>
    <row r="1072" spans="1:2" x14ac:dyDescent="0.3">
      <c r="A1072" t="s">
        <v>1710</v>
      </c>
      <c r="B1072" t="s">
        <v>2442</v>
      </c>
    </row>
    <row r="1073" spans="1:2" x14ac:dyDescent="0.3">
      <c r="A1073" t="s">
        <v>1255</v>
      </c>
      <c r="B1073" t="s">
        <v>2443</v>
      </c>
    </row>
    <row r="1074" spans="1:2" x14ac:dyDescent="0.3">
      <c r="A1074" t="s">
        <v>1263</v>
      </c>
      <c r="B1074" t="s">
        <v>2444</v>
      </c>
    </row>
    <row r="1075" spans="1:2" x14ac:dyDescent="0.3">
      <c r="A1075" t="s">
        <v>1249</v>
      </c>
      <c r="B1075" t="s">
        <v>2445</v>
      </c>
    </row>
    <row r="1076" spans="1:2" x14ac:dyDescent="0.3">
      <c r="A1076" t="s">
        <v>1711</v>
      </c>
      <c r="B1076" t="s">
        <v>2446</v>
      </c>
    </row>
    <row r="1077" spans="1:2" x14ac:dyDescent="0.3">
      <c r="A1077" t="s">
        <v>1250</v>
      </c>
      <c r="B1077" t="s">
        <v>2447</v>
      </c>
    </row>
    <row r="1078" spans="1:2" x14ac:dyDescent="0.3">
      <c r="A1078" t="s">
        <v>1251</v>
      </c>
      <c r="B1078" t="s">
        <v>2448</v>
      </c>
    </row>
    <row r="1079" spans="1:2" x14ac:dyDescent="0.3">
      <c r="A1079" t="s">
        <v>1252</v>
      </c>
      <c r="B1079" t="s">
        <v>2449</v>
      </c>
    </row>
    <row r="1080" spans="1:2" x14ac:dyDescent="0.3">
      <c r="A1080" t="s">
        <v>1717</v>
      </c>
      <c r="B1080" t="s">
        <v>2450</v>
      </c>
    </row>
    <row r="1081" spans="1:2" x14ac:dyDescent="0.3">
      <c r="A1081" t="s">
        <v>1254</v>
      </c>
      <c r="B1081" t="s">
        <v>2451</v>
      </c>
    </row>
    <row r="1082" spans="1:2" x14ac:dyDescent="0.3">
      <c r="A1082" t="s">
        <v>1258</v>
      </c>
      <c r="B1082" t="s">
        <v>2452</v>
      </c>
    </row>
    <row r="1083" spans="1:2" x14ac:dyDescent="0.3">
      <c r="A1083" t="s">
        <v>1257</v>
      </c>
      <c r="B1083" t="s">
        <v>2453</v>
      </c>
    </row>
    <row r="1084" spans="1:2" x14ac:dyDescent="0.3">
      <c r="A1084" t="s">
        <v>1713</v>
      </c>
      <c r="B1084" t="s">
        <v>2454</v>
      </c>
    </row>
    <row r="1085" spans="1:2" x14ac:dyDescent="0.3">
      <c r="A1085" t="s">
        <v>1264</v>
      </c>
      <c r="B1085" t="s">
        <v>2455</v>
      </c>
    </row>
    <row r="1086" spans="1:2" x14ac:dyDescent="0.3">
      <c r="A1086" t="s">
        <v>1259</v>
      </c>
      <c r="B1086" t="s">
        <v>2456</v>
      </c>
    </row>
    <row r="1087" spans="1:2" x14ac:dyDescent="0.3">
      <c r="A1087" t="s">
        <v>1260</v>
      </c>
      <c r="B1087" t="s">
        <v>2457</v>
      </c>
    </row>
    <row r="1088" spans="1:2" x14ac:dyDescent="0.3">
      <c r="A1088" t="s">
        <v>1261</v>
      </c>
      <c r="B1088" t="s">
        <v>2458</v>
      </c>
    </row>
    <row r="1089" spans="1:2" x14ac:dyDescent="0.3">
      <c r="A1089" t="s">
        <v>1262</v>
      </c>
      <c r="B1089" t="s">
        <v>2459</v>
      </c>
    </row>
    <row r="1090" spans="1:2" x14ac:dyDescent="0.3">
      <c r="A1090" t="s">
        <v>1715</v>
      </c>
      <c r="B1090" t="s">
        <v>2460</v>
      </c>
    </row>
    <row r="1091" spans="1:2" x14ac:dyDescent="0.3">
      <c r="A1091" t="s">
        <v>1265</v>
      </c>
      <c r="B1091" t="s">
        <v>2461</v>
      </c>
    </row>
    <row r="1092" spans="1:2" x14ac:dyDescent="0.3">
      <c r="A1092" t="s">
        <v>1266</v>
      </c>
      <c r="B1092" t="s">
        <v>2462</v>
      </c>
    </row>
    <row r="1093" spans="1:2" x14ac:dyDescent="0.3">
      <c r="A1093" t="s">
        <v>1267</v>
      </c>
      <c r="B1093" t="s">
        <v>2463</v>
      </c>
    </row>
    <row r="1094" spans="1:2" x14ac:dyDescent="0.3">
      <c r="A1094" t="s">
        <v>1268</v>
      </c>
      <c r="B1094" t="s">
        <v>2464</v>
      </c>
    </row>
    <row r="1095" spans="1:2" x14ac:dyDescent="0.3">
      <c r="A1095" t="s">
        <v>1269</v>
      </c>
      <c r="B1095" t="s">
        <v>2465</v>
      </c>
    </row>
    <row r="1096" spans="1:2" x14ac:dyDescent="0.3">
      <c r="A1096" t="s">
        <v>1275</v>
      </c>
      <c r="B1096" t="s">
        <v>2466</v>
      </c>
    </row>
    <row r="1097" spans="1:2" x14ac:dyDescent="0.3">
      <c r="A1097" t="s">
        <v>1270</v>
      </c>
      <c r="B1097" t="s">
        <v>2467</v>
      </c>
    </row>
    <row r="1098" spans="1:2" x14ac:dyDescent="0.3">
      <c r="A1098" t="s">
        <v>1278</v>
      </c>
      <c r="B1098" t="s">
        <v>2468</v>
      </c>
    </row>
    <row r="1099" spans="1:2" x14ac:dyDescent="0.3">
      <c r="A1099" t="s">
        <v>1272</v>
      </c>
      <c r="B1099" t="s">
        <v>2469</v>
      </c>
    </row>
    <row r="1100" spans="1:2" x14ac:dyDescent="0.3">
      <c r="A1100" t="s">
        <v>1273</v>
      </c>
      <c r="B1100" t="s">
        <v>2470</v>
      </c>
    </row>
    <row r="1101" spans="1:2" x14ac:dyDescent="0.3">
      <c r="A1101" t="s">
        <v>1274</v>
      </c>
      <c r="B1101" t="s">
        <v>2471</v>
      </c>
    </row>
    <row r="1102" spans="1:2" x14ac:dyDescent="0.3">
      <c r="A1102" t="s">
        <v>1716</v>
      </c>
      <c r="B1102" t="s">
        <v>2472</v>
      </c>
    </row>
    <row r="1103" spans="1:2" x14ac:dyDescent="0.3">
      <c r="A1103" t="s">
        <v>1276</v>
      </c>
      <c r="B1103" t="s">
        <v>1961</v>
      </c>
    </row>
    <row r="1104" spans="1:2" x14ac:dyDescent="0.3">
      <c r="A1104" t="s">
        <v>1279</v>
      </c>
      <c r="B1104" t="s">
        <v>2473</v>
      </c>
    </row>
    <row r="1105" spans="1:2" x14ac:dyDescent="0.3">
      <c r="A1105" t="s">
        <v>1280</v>
      </c>
      <c r="B1105" t="s">
        <v>2474</v>
      </c>
    </row>
    <row r="1106" spans="1:2" x14ac:dyDescent="0.3">
      <c r="A1106" t="s">
        <v>1281</v>
      </c>
      <c r="B1106" t="s">
        <v>2475</v>
      </c>
    </row>
    <row r="1107" spans="1:2" x14ac:dyDescent="0.3">
      <c r="A1107" t="s">
        <v>1285</v>
      </c>
      <c r="B1107" t="s">
        <v>2476</v>
      </c>
    </row>
    <row r="1108" spans="1:2" x14ac:dyDescent="0.3">
      <c r="A1108" t="s">
        <v>1282</v>
      </c>
      <c r="B1108" t="s">
        <v>2477</v>
      </c>
    </row>
    <row r="1109" spans="1:2" x14ac:dyDescent="0.3">
      <c r="A1109" t="s">
        <v>1292</v>
      </c>
      <c r="B1109" t="s">
        <v>2478</v>
      </c>
    </row>
    <row r="1110" spans="1:2" x14ac:dyDescent="0.3">
      <c r="A1110" t="s">
        <v>1719</v>
      </c>
      <c r="B1110" t="s">
        <v>2479</v>
      </c>
    </row>
    <row r="1111" spans="1:2" x14ac:dyDescent="0.3">
      <c r="A1111" t="s">
        <v>1329</v>
      </c>
      <c r="B1111" t="s">
        <v>2480</v>
      </c>
    </row>
    <row r="1112" spans="1:2" x14ac:dyDescent="0.3">
      <c r="A1112" t="s">
        <v>1294</v>
      </c>
      <c r="B1112" t="s">
        <v>2481</v>
      </c>
    </row>
    <row r="1113" spans="1:2" x14ac:dyDescent="0.3">
      <c r="A1113" t="s">
        <v>1283</v>
      </c>
      <c r="B1113" t="s">
        <v>2482</v>
      </c>
    </row>
    <row r="1114" spans="1:2" x14ac:dyDescent="0.3">
      <c r="A1114" t="s">
        <v>1720</v>
      </c>
      <c r="B1114" t="s">
        <v>2483</v>
      </c>
    </row>
    <row r="1115" spans="1:2" x14ac:dyDescent="0.3">
      <c r="A1115" t="s">
        <v>1284</v>
      </c>
      <c r="B1115" t="s">
        <v>2484</v>
      </c>
    </row>
    <row r="1116" spans="1:2" x14ac:dyDescent="0.3">
      <c r="A1116" t="s">
        <v>1291</v>
      </c>
      <c r="B1116" t="s">
        <v>2485</v>
      </c>
    </row>
    <row r="1117" spans="1:2" x14ac:dyDescent="0.3">
      <c r="A1117" t="s">
        <v>1286</v>
      </c>
      <c r="B1117" t="s">
        <v>2486</v>
      </c>
    </row>
    <row r="1118" spans="1:2" x14ac:dyDescent="0.3">
      <c r="A1118" t="s">
        <v>1287</v>
      </c>
      <c r="B1118" t="s">
        <v>2487</v>
      </c>
    </row>
    <row r="1119" spans="1:2" x14ac:dyDescent="0.3">
      <c r="A1119" t="s">
        <v>1308</v>
      </c>
      <c r="B1119" t="s">
        <v>2488</v>
      </c>
    </row>
    <row r="1120" spans="1:2" x14ac:dyDescent="0.3">
      <c r="A1120" t="s">
        <v>1288</v>
      </c>
      <c r="B1120" t="s">
        <v>2489</v>
      </c>
    </row>
    <row r="1121" spans="1:2" x14ac:dyDescent="0.3">
      <c r="A1121" t="s">
        <v>1295</v>
      </c>
      <c r="B1121" t="s">
        <v>2490</v>
      </c>
    </row>
    <row r="1122" spans="1:2" x14ac:dyDescent="0.3">
      <c r="A1122" t="s">
        <v>1289</v>
      </c>
      <c r="B1122" t="s">
        <v>2491</v>
      </c>
    </row>
    <row r="1123" spans="1:2" x14ac:dyDescent="0.3">
      <c r="A1123" t="s">
        <v>1290</v>
      </c>
      <c r="B1123" t="s">
        <v>2492</v>
      </c>
    </row>
    <row r="1124" spans="1:2" x14ac:dyDescent="0.3">
      <c r="A1124" t="s">
        <v>1722</v>
      </c>
      <c r="B1124" t="s">
        <v>2493</v>
      </c>
    </row>
    <row r="1125" spans="1:2" x14ac:dyDescent="0.3">
      <c r="A1125" t="s">
        <v>1318</v>
      </c>
      <c r="B1125" t="s">
        <v>2494</v>
      </c>
    </row>
    <row r="1126" spans="1:2" x14ac:dyDescent="0.3">
      <c r="A1126" t="s">
        <v>1293</v>
      </c>
      <c r="B1126" t="s">
        <v>2495</v>
      </c>
    </row>
    <row r="1127" spans="1:2" x14ac:dyDescent="0.3">
      <c r="A1127" t="s">
        <v>1723</v>
      </c>
      <c r="B1127" t="s">
        <v>2496</v>
      </c>
    </row>
    <row r="1128" spans="1:2" x14ac:dyDescent="0.3">
      <c r="A1128" t="s">
        <v>1299</v>
      </c>
      <c r="B1128" t="s">
        <v>2497</v>
      </c>
    </row>
    <row r="1129" spans="1:2" x14ac:dyDescent="0.3">
      <c r="A1129" t="s">
        <v>1296</v>
      </c>
      <c r="B1129" t="s">
        <v>2498</v>
      </c>
    </row>
    <row r="1130" spans="1:2" x14ac:dyDescent="0.3">
      <c r="A1130" t="s">
        <v>1724</v>
      </c>
      <c r="B1130" t="s">
        <v>2499</v>
      </c>
    </row>
    <row r="1131" spans="1:2" x14ac:dyDescent="0.3">
      <c r="A1131" t="s">
        <v>1725</v>
      </c>
      <c r="B1131" t="s">
        <v>2500</v>
      </c>
    </row>
    <row r="1132" spans="1:2" x14ac:dyDescent="0.3">
      <c r="A1132" t="s">
        <v>1297</v>
      </c>
      <c r="B1132" t="s">
        <v>2501</v>
      </c>
    </row>
    <row r="1133" spans="1:2" x14ac:dyDescent="0.3">
      <c r="A1133" t="s">
        <v>1726</v>
      </c>
      <c r="B1133" t="s">
        <v>2502</v>
      </c>
    </row>
    <row r="1134" spans="1:2" x14ac:dyDescent="0.3">
      <c r="A1134" t="s">
        <v>1317</v>
      </c>
      <c r="B1134" t="s">
        <v>2503</v>
      </c>
    </row>
    <row r="1135" spans="1:2" x14ac:dyDescent="0.3">
      <c r="A1135" t="s">
        <v>1298</v>
      </c>
      <c r="B1135" t="s">
        <v>2504</v>
      </c>
    </row>
    <row r="1136" spans="1:2" x14ac:dyDescent="0.3">
      <c r="A1136" t="s">
        <v>1309</v>
      </c>
      <c r="B1136" t="s">
        <v>2505</v>
      </c>
    </row>
    <row r="1137" spans="1:2" x14ac:dyDescent="0.3">
      <c r="A1137" t="s">
        <v>1330</v>
      </c>
      <c r="B1137" t="s">
        <v>2506</v>
      </c>
    </row>
    <row r="1138" spans="1:2" x14ac:dyDescent="0.3">
      <c r="A1138" t="s">
        <v>1302</v>
      </c>
      <c r="B1138" t="s">
        <v>2507</v>
      </c>
    </row>
    <row r="1139" spans="1:2" x14ac:dyDescent="0.3">
      <c r="A1139" t="s">
        <v>1300</v>
      </c>
      <c r="B1139" t="s">
        <v>2508</v>
      </c>
    </row>
    <row r="1140" spans="1:2" x14ac:dyDescent="0.3">
      <c r="A1140" t="s">
        <v>1727</v>
      </c>
      <c r="B1140" t="s">
        <v>1898</v>
      </c>
    </row>
    <row r="1141" spans="1:2" x14ac:dyDescent="0.3">
      <c r="A1141" t="s">
        <v>1301</v>
      </c>
      <c r="B1141" t="s">
        <v>2509</v>
      </c>
    </row>
    <row r="1142" spans="1:2" x14ac:dyDescent="0.3">
      <c r="A1142" t="s">
        <v>1326</v>
      </c>
      <c r="B1142" t="s">
        <v>2510</v>
      </c>
    </row>
    <row r="1143" spans="1:2" x14ac:dyDescent="0.3">
      <c r="A1143" t="s">
        <v>1303</v>
      </c>
      <c r="B1143" t="s">
        <v>2511</v>
      </c>
    </row>
    <row r="1144" spans="1:2" x14ac:dyDescent="0.3">
      <c r="A1144" t="s">
        <v>1728</v>
      </c>
      <c r="B1144" t="s">
        <v>2512</v>
      </c>
    </row>
    <row r="1145" spans="1:2" x14ac:dyDescent="0.3">
      <c r="A1145" t="s">
        <v>1305</v>
      </c>
      <c r="B1145" t="s">
        <v>2513</v>
      </c>
    </row>
    <row r="1146" spans="1:2" x14ac:dyDescent="0.3">
      <c r="A1146" t="s">
        <v>1729</v>
      </c>
      <c r="B1146" t="s">
        <v>1877</v>
      </c>
    </row>
    <row r="1147" spans="1:2" x14ac:dyDescent="0.3">
      <c r="A1147" t="s">
        <v>1306</v>
      </c>
      <c r="B1147" t="s">
        <v>2514</v>
      </c>
    </row>
    <row r="1148" spans="1:2" x14ac:dyDescent="0.3">
      <c r="A1148" t="s">
        <v>1304</v>
      </c>
      <c r="B1148" t="s">
        <v>2515</v>
      </c>
    </row>
    <row r="1149" spans="1:2" x14ac:dyDescent="0.3">
      <c r="A1149" t="s">
        <v>1307</v>
      </c>
      <c r="B1149" t="s">
        <v>2516</v>
      </c>
    </row>
    <row r="1150" spans="1:2" x14ac:dyDescent="0.3">
      <c r="A1150" t="s">
        <v>1310</v>
      </c>
      <c r="B1150" t="s">
        <v>2517</v>
      </c>
    </row>
    <row r="1151" spans="1:2" x14ac:dyDescent="0.3">
      <c r="A1151" t="s">
        <v>1730</v>
      </c>
      <c r="B1151" t="s">
        <v>2518</v>
      </c>
    </row>
    <row r="1152" spans="1:2" x14ac:dyDescent="0.3">
      <c r="A1152" t="s">
        <v>1311</v>
      </c>
      <c r="B1152" t="s">
        <v>2519</v>
      </c>
    </row>
    <row r="1153" spans="1:2" x14ac:dyDescent="0.3">
      <c r="A1153" t="s">
        <v>1312</v>
      </c>
      <c r="B1153" t="s">
        <v>2520</v>
      </c>
    </row>
    <row r="1154" spans="1:2" x14ac:dyDescent="0.3">
      <c r="A1154" t="s">
        <v>1731</v>
      </c>
      <c r="B1154" t="s">
        <v>2521</v>
      </c>
    </row>
    <row r="1155" spans="1:2" x14ac:dyDescent="0.3">
      <c r="A1155" t="s">
        <v>1313</v>
      </c>
      <c r="B1155" t="s">
        <v>2522</v>
      </c>
    </row>
    <row r="1156" spans="1:2" x14ac:dyDescent="0.3">
      <c r="A1156" t="s">
        <v>1314</v>
      </c>
      <c r="B1156" t="s">
        <v>2523</v>
      </c>
    </row>
    <row r="1157" spans="1:2" x14ac:dyDescent="0.3">
      <c r="A1157" t="s">
        <v>1323</v>
      </c>
      <c r="B1157" t="s">
        <v>2524</v>
      </c>
    </row>
    <row r="1158" spans="1:2" x14ac:dyDescent="0.3">
      <c r="A1158" t="s">
        <v>1332</v>
      </c>
      <c r="B1158" t="s">
        <v>2525</v>
      </c>
    </row>
    <row r="1159" spans="1:2" x14ac:dyDescent="0.3">
      <c r="A1159" t="s">
        <v>1316</v>
      </c>
      <c r="B1159" t="s">
        <v>2526</v>
      </c>
    </row>
    <row r="1160" spans="1:2" x14ac:dyDescent="0.3">
      <c r="A1160" t="s">
        <v>1319</v>
      </c>
      <c r="B1160" t="s">
        <v>2527</v>
      </c>
    </row>
    <row r="1161" spans="1:2" x14ac:dyDescent="0.3">
      <c r="A1161" t="s">
        <v>1732</v>
      </c>
      <c r="B1161" t="s">
        <v>2528</v>
      </c>
    </row>
    <row r="1162" spans="1:2" x14ac:dyDescent="0.3">
      <c r="A1162" t="s">
        <v>1721</v>
      </c>
      <c r="B1162" t="s">
        <v>2529</v>
      </c>
    </row>
    <row r="1163" spans="1:2" x14ac:dyDescent="0.3">
      <c r="A1163" t="s">
        <v>1321</v>
      </c>
      <c r="B1163" t="s">
        <v>2530</v>
      </c>
    </row>
    <row r="1164" spans="1:2" x14ac:dyDescent="0.3">
      <c r="A1164" t="s">
        <v>1327</v>
      </c>
      <c r="B1164" t="s">
        <v>2531</v>
      </c>
    </row>
    <row r="1165" spans="1:2" x14ac:dyDescent="0.3">
      <c r="A1165" t="s">
        <v>1320</v>
      </c>
      <c r="B1165" t="s">
        <v>2532</v>
      </c>
    </row>
    <row r="1166" spans="1:2" x14ac:dyDescent="0.3">
      <c r="A1166" t="s">
        <v>1322</v>
      </c>
      <c r="B1166" t="s">
        <v>2533</v>
      </c>
    </row>
    <row r="1167" spans="1:2" x14ac:dyDescent="0.3">
      <c r="A1167" t="s">
        <v>1325</v>
      </c>
      <c r="B1167" t="s">
        <v>2534</v>
      </c>
    </row>
    <row r="1168" spans="1:2" x14ac:dyDescent="0.3">
      <c r="A1168" t="s">
        <v>1324</v>
      </c>
      <c r="B1168" t="s">
        <v>2535</v>
      </c>
    </row>
    <row r="1169" spans="1:2" x14ac:dyDescent="0.3">
      <c r="A1169" t="s">
        <v>1331</v>
      </c>
      <c r="B1169" t="s">
        <v>2536</v>
      </c>
    </row>
    <row r="1170" spans="1:2" x14ac:dyDescent="0.3">
      <c r="A1170" t="s">
        <v>1328</v>
      </c>
      <c r="B1170" t="s">
        <v>2537</v>
      </c>
    </row>
    <row r="1171" spans="1:2" x14ac:dyDescent="0.3">
      <c r="A1171" t="s">
        <v>1315</v>
      </c>
      <c r="B1171" t="s">
        <v>1878</v>
      </c>
    </row>
    <row r="1172" spans="1:2" x14ac:dyDescent="0.3">
      <c r="A1172" t="s">
        <v>1333</v>
      </c>
      <c r="B1172" t="s">
        <v>2538</v>
      </c>
    </row>
    <row r="1173" spans="1:2" x14ac:dyDescent="0.3">
      <c r="A1173" t="s">
        <v>1335</v>
      </c>
      <c r="B1173" t="s">
        <v>2539</v>
      </c>
    </row>
    <row r="1174" spans="1:2" x14ac:dyDescent="0.3">
      <c r="A1174" t="s">
        <v>1733</v>
      </c>
      <c r="B1174" t="s">
        <v>2540</v>
      </c>
    </row>
    <row r="1175" spans="1:2" x14ac:dyDescent="0.3">
      <c r="A1175" t="s">
        <v>1334</v>
      </c>
      <c r="B1175" t="s">
        <v>2541</v>
      </c>
    </row>
    <row r="1176" spans="1:2" x14ac:dyDescent="0.3">
      <c r="A1176" t="s">
        <v>1338</v>
      </c>
      <c r="B1176" t="s">
        <v>2542</v>
      </c>
    </row>
    <row r="1177" spans="1:2" x14ac:dyDescent="0.3">
      <c r="A1177" t="s">
        <v>1734</v>
      </c>
      <c r="B1177" t="s">
        <v>2543</v>
      </c>
    </row>
    <row r="1178" spans="1:2" x14ac:dyDescent="0.3">
      <c r="A1178" t="s">
        <v>1336</v>
      </c>
      <c r="B1178" t="s">
        <v>2544</v>
      </c>
    </row>
    <row r="1179" spans="1:2" x14ac:dyDescent="0.3">
      <c r="A1179" t="s">
        <v>1341</v>
      </c>
      <c r="B1179" t="s">
        <v>2545</v>
      </c>
    </row>
    <row r="1180" spans="1:2" x14ac:dyDescent="0.3">
      <c r="A1180" t="s">
        <v>1337</v>
      </c>
      <c r="B1180" t="s">
        <v>2546</v>
      </c>
    </row>
    <row r="1181" spans="1:2" x14ac:dyDescent="0.3">
      <c r="A1181" t="s">
        <v>1339</v>
      </c>
      <c r="B1181" t="s">
        <v>2547</v>
      </c>
    </row>
    <row r="1182" spans="1:2" x14ac:dyDescent="0.3">
      <c r="A1182" t="s">
        <v>1340</v>
      </c>
      <c r="B1182" t="s">
        <v>2548</v>
      </c>
    </row>
    <row r="1183" spans="1:2" x14ac:dyDescent="0.3">
      <c r="A1183" t="s">
        <v>1343</v>
      </c>
      <c r="B1183" t="s">
        <v>2549</v>
      </c>
    </row>
    <row r="1184" spans="1:2" x14ac:dyDescent="0.3">
      <c r="A1184" t="s">
        <v>1735</v>
      </c>
      <c r="B1184" t="s">
        <v>2550</v>
      </c>
    </row>
    <row r="1185" spans="1:2" x14ac:dyDescent="0.3">
      <c r="A1185" t="s">
        <v>1745</v>
      </c>
      <c r="B1185" t="s">
        <v>2551</v>
      </c>
    </row>
    <row r="1186" spans="1:2" x14ac:dyDescent="0.3">
      <c r="A1186" t="s">
        <v>1344</v>
      </c>
      <c r="B1186" t="s">
        <v>2552</v>
      </c>
    </row>
    <row r="1187" spans="1:2" x14ac:dyDescent="0.3">
      <c r="A1187" t="s">
        <v>1345</v>
      </c>
      <c r="B1187" t="s">
        <v>2553</v>
      </c>
    </row>
    <row r="1188" spans="1:2" x14ac:dyDescent="0.3">
      <c r="A1188" t="s">
        <v>1346</v>
      </c>
      <c r="B1188" t="s">
        <v>2554</v>
      </c>
    </row>
    <row r="1189" spans="1:2" x14ac:dyDescent="0.3">
      <c r="A1189" t="s">
        <v>1342</v>
      </c>
      <c r="B1189" t="s">
        <v>2555</v>
      </c>
    </row>
    <row r="1190" spans="1:2" x14ac:dyDescent="0.3">
      <c r="A1190" t="s">
        <v>1375</v>
      </c>
      <c r="B1190" t="s">
        <v>2556</v>
      </c>
    </row>
    <row r="1191" spans="1:2" x14ac:dyDescent="0.3">
      <c r="A1191" t="s">
        <v>1347</v>
      </c>
      <c r="B1191" t="s">
        <v>2557</v>
      </c>
    </row>
    <row r="1192" spans="1:2" x14ac:dyDescent="0.3">
      <c r="A1192" t="s">
        <v>1353</v>
      </c>
      <c r="B1192" t="s">
        <v>2558</v>
      </c>
    </row>
    <row r="1193" spans="1:2" x14ac:dyDescent="0.3">
      <c r="A1193" t="s">
        <v>1736</v>
      </c>
      <c r="B1193" t="s">
        <v>2559</v>
      </c>
    </row>
    <row r="1194" spans="1:2" x14ac:dyDescent="0.3">
      <c r="A1194" t="s">
        <v>1354</v>
      </c>
      <c r="B1194" t="s">
        <v>2560</v>
      </c>
    </row>
    <row r="1195" spans="1:2" x14ac:dyDescent="0.3">
      <c r="A1195" t="s">
        <v>1356</v>
      </c>
      <c r="B1195" t="s">
        <v>2561</v>
      </c>
    </row>
    <row r="1196" spans="1:2" x14ac:dyDescent="0.3">
      <c r="A1196" t="s">
        <v>1348</v>
      </c>
      <c r="B1196" t="s">
        <v>2562</v>
      </c>
    </row>
    <row r="1197" spans="1:2" x14ac:dyDescent="0.3">
      <c r="A1197" t="s">
        <v>1349</v>
      </c>
      <c r="B1197" t="s">
        <v>2563</v>
      </c>
    </row>
    <row r="1198" spans="1:2" x14ac:dyDescent="0.3">
      <c r="A1198" t="s">
        <v>1350</v>
      </c>
      <c r="B1198" t="s">
        <v>2564</v>
      </c>
    </row>
    <row r="1199" spans="1:2" x14ac:dyDescent="0.3">
      <c r="A1199" t="s">
        <v>1737</v>
      </c>
      <c r="B1199" t="s">
        <v>2565</v>
      </c>
    </row>
    <row r="1200" spans="1:2" x14ac:dyDescent="0.3">
      <c r="A1200" t="s">
        <v>1352</v>
      </c>
      <c r="B1200" t="s">
        <v>2566</v>
      </c>
    </row>
    <row r="1201" spans="1:2" x14ac:dyDescent="0.3">
      <c r="A1201" t="s">
        <v>1369</v>
      </c>
      <c r="B1201" t="s">
        <v>2567</v>
      </c>
    </row>
    <row r="1202" spans="1:2" x14ac:dyDescent="0.3">
      <c r="A1202" t="s">
        <v>1738</v>
      </c>
      <c r="B1202" t="s">
        <v>2568</v>
      </c>
    </row>
    <row r="1203" spans="1:2" x14ac:dyDescent="0.3">
      <c r="A1203" t="s">
        <v>1368</v>
      </c>
      <c r="B1203" t="s">
        <v>2569</v>
      </c>
    </row>
    <row r="1204" spans="1:2" x14ac:dyDescent="0.3">
      <c r="A1204" t="s">
        <v>1355</v>
      </c>
      <c r="B1204" t="s">
        <v>2570</v>
      </c>
    </row>
    <row r="1205" spans="1:2" x14ac:dyDescent="0.3">
      <c r="A1205" t="s">
        <v>1351</v>
      </c>
      <c r="B1205" t="s">
        <v>2571</v>
      </c>
    </row>
    <row r="1206" spans="1:2" x14ac:dyDescent="0.3">
      <c r="A1206" t="s">
        <v>1359</v>
      </c>
      <c r="B1206" t="s">
        <v>2572</v>
      </c>
    </row>
    <row r="1207" spans="1:2" x14ac:dyDescent="0.3">
      <c r="A1207" t="s">
        <v>1364</v>
      </c>
      <c r="B1207" t="s">
        <v>2573</v>
      </c>
    </row>
    <row r="1208" spans="1:2" x14ac:dyDescent="0.3">
      <c r="A1208" t="s">
        <v>1357</v>
      </c>
      <c r="B1208" t="s">
        <v>2574</v>
      </c>
    </row>
    <row r="1209" spans="1:2" x14ac:dyDescent="0.3">
      <c r="A1209" t="s">
        <v>1739</v>
      </c>
      <c r="B1209" t="s">
        <v>2575</v>
      </c>
    </row>
    <row r="1210" spans="1:2" x14ac:dyDescent="0.3">
      <c r="A1210" t="s">
        <v>1740</v>
      </c>
      <c r="B1210" t="s">
        <v>2576</v>
      </c>
    </row>
    <row r="1211" spans="1:2" x14ac:dyDescent="0.3">
      <c r="A1211" t="s">
        <v>1376</v>
      </c>
      <c r="B1211" t="s">
        <v>2577</v>
      </c>
    </row>
    <row r="1212" spans="1:2" x14ac:dyDescent="0.3">
      <c r="A1212" t="s">
        <v>1358</v>
      </c>
      <c r="B1212" t="s">
        <v>2578</v>
      </c>
    </row>
    <row r="1213" spans="1:2" x14ac:dyDescent="0.3">
      <c r="A1213" t="s">
        <v>1371</v>
      </c>
      <c r="B1213" t="s">
        <v>2579</v>
      </c>
    </row>
    <row r="1214" spans="1:2" x14ac:dyDescent="0.3">
      <c r="A1214" t="s">
        <v>1360</v>
      </c>
      <c r="B1214" t="s">
        <v>2580</v>
      </c>
    </row>
    <row r="1215" spans="1:2" x14ac:dyDescent="0.3">
      <c r="A1215" t="s">
        <v>1367</v>
      </c>
      <c r="B1215" t="s">
        <v>2581</v>
      </c>
    </row>
    <row r="1216" spans="1:2" x14ac:dyDescent="0.3">
      <c r="A1216" t="s">
        <v>1361</v>
      </c>
      <c r="B1216" t="s">
        <v>2582</v>
      </c>
    </row>
    <row r="1217" spans="1:2" x14ac:dyDescent="0.3">
      <c r="A1217" t="s">
        <v>1362</v>
      </c>
      <c r="B1217" t="s">
        <v>2583</v>
      </c>
    </row>
    <row r="1218" spans="1:2" x14ac:dyDescent="0.3">
      <c r="A1218" t="s">
        <v>1741</v>
      </c>
      <c r="B1218" t="s">
        <v>2584</v>
      </c>
    </row>
    <row r="1219" spans="1:2" x14ac:dyDescent="0.3">
      <c r="A1219" t="s">
        <v>1363</v>
      </c>
      <c r="B1219" t="s">
        <v>2585</v>
      </c>
    </row>
    <row r="1220" spans="1:2" x14ac:dyDescent="0.3">
      <c r="A1220" t="s">
        <v>1365</v>
      </c>
      <c r="B1220" t="s">
        <v>2586</v>
      </c>
    </row>
    <row r="1221" spans="1:2" x14ac:dyDescent="0.3">
      <c r="A1221" t="s">
        <v>1366</v>
      </c>
      <c r="B1221" t="s">
        <v>2587</v>
      </c>
    </row>
    <row r="1222" spans="1:2" x14ac:dyDescent="0.3">
      <c r="A1222" t="s">
        <v>1742</v>
      </c>
      <c r="B1222" t="s">
        <v>1962</v>
      </c>
    </row>
    <row r="1223" spans="1:2" x14ac:dyDescent="0.3">
      <c r="A1223" t="s">
        <v>1377</v>
      </c>
      <c r="B1223" t="s">
        <v>2588</v>
      </c>
    </row>
    <row r="1224" spans="1:2" x14ac:dyDescent="0.3">
      <c r="A1224" t="s">
        <v>1370</v>
      </c>
      <c r="B1224" t="s">
        <v>2589</v>
      </c>
    </row>
    <row r="1225" spans="1:2" x14ac:dyDescent="0.3">
      <c r="A1225" t="s">
        <v>1743</v>
      </c>
      <c r="B1225" t="s">
        <v>2590</v>
      </c>
    </row>
    <row r="1226" spans="1:2" x14ac:dyDescent="0.3">
      <c r="A1226" t="s">
        <v>1372</v>
      </c>
      <c r="B1226" t="s">
        <v>2591</v>
      </c>
    </row>
    <row r="1227" spans="1:2" x14ac:dyDescent="0.3">
      <c r="A1227" t="s">
        <v>1373</v>
      </c>
      <c r="B1227" t="s">
        <v>2592</v>
      </c>
    </row>
    <row r="1228" spans="1:2" x14ac:dyDescent="0.3">
      <c r="A1228" t="s">
        <v>1744</v>
      </c>
      <c r="B1228" t="s">
        <v>2593</v>
      </c>
    </row>
    <row r="1229" spans="1:2" x14ac:dyDescent="0.3">
      <c r="A1229" t="s">
        <v>1374</v>
      </c>
      <c r="B1229" t="s">
        <v>2594</v>
      </c>
    </row>
    <row r="1230" spans="1:2" x14ac:dyDescent="0.3">
      <c r="A1230" t="s">
        <v>1746</v>
      </c>
      <c r="B1230" t="s">
        <v>2595</v>
      </c>
    </row>
    <row r="1231" spans="1:2" x14ac:dyDescent="0.3">
      <c r="A1231" t="s">
        <v>1747</v>
      </c>
      <c r="B1231" t="s">
        <v>2596</v>
      </c>
    </row>
    <row r="1232" spans="1:2" x14ac:dyDescent="0.3">
      <c r="A1232" t="s">
        <v>1397</v>
      </c>
      <c r="B1232" t="s">
        <v>2597</v>
      </c>
    </row>
    <row r="1233" spans="1:2" x14ac:dyDescent="0.3">
      <c r="A1233" t="s">
        <v>1385</v>
      </c>
      <c r="B1233" t="s">
        <v>2598</v>
      </c>
    </row>
    <row r="1234" spans="1:2" x14ac:dyDescent="0.3">
      <c r="A1234" t="s">
        <v>1388</v>
      </c>
      <c r="B1234" t="s">
        <v>2599</v>
      </c>
    </row>
    <row r="1235" spans="1:2" x14ac:dyDescent="0.3">
      <c r="A1235" t="s">
        <v>1381</v>
      </c>
      <c r="B1235" t="s">
        <v>2600</v>
      </c>
    </row>
    <row r="1236" spans="1:2" x14ac:dyDescent="0.3">
      <c r="A1236" t="s">
        <v>1378</v>
      </c>
      <c r="B1236" t="s">
        <v>2601</v>
      </c>
    </row>
    <row r="1237" spans="1:2" x14ac:dyDescent="0.3">
      <c r="A1237" t="s">
        <v>1379</v>
      </c>
      <c r="B1237" t="s">
        <v>2602</v>
      </c>
    </row>
    <row r="1238" spans="1:2" x14ac:dyDescent="0.3">
      <c r="A1238" t="s">
        <v>1748</v>
      </c>
      <c r="B1238" t="s">
        <v>2603</v>
      </c>
    </row>
    <row r="1239" spans="1:2" x14ac:dyDescent="0.3">
      <c r="A1239" t="s">
        <v>1395</v>
      </c>
      <c r="B1239" t="s">
        <v>2604</v>
      </c>
    </row>
    <row r="1240" spans="1:2" x14ac:dyDescent="0.3">
      <c r="A1240" t="s">
        <v>1751</v>
      </c>
      <c r="B1240" t="s">
        <v>2605</v>
      </c>
    </row>
    <row r="1241" spans="1:2" x14ac:dyDescent="0.3">
      <c r="A1241" t="s">
        <v>1396</v>
      </c>
      <c r="B1241" t="s">
        <v>2606</v>
      </c>
    </row>
    <row r="1242" spans="1:2" x14ac:dyDescent="0.3">
      <c r="A1242" t="s">
        <v>1380</v>
      </c>
      <c r="B1242" t="s">
        <v>2607</v>
      </c>
    </row>
    <row r="1243" spans="1:2" x14ac:dyDescent="0.3">
      <c r="A1243" t="s">
        <v>1382</v>
      </c>
      <c r="B1243" t="s">
        <v>2608</v>
      </c>
    </row>
    <row r="1244" spans="1:2" x14ac:dyDescent="0.3">
      <c r="A1244" t="s">
        <v>1383</v>
      </c>
      <c r="B1244" t="s">
        <v>2609</v>
      </c>
    </row>
    <row r="1245" spans="1:2" x14ac:dyDescent="0.3">
      <c r="A1245" t="s">
        <v>1384</v>
      </c>
      <c r="B1245" t="s">
        <v>2610</v>
      </c>
    </row>
    <row r="1246" spans="1:2" x14ac:dyDescent="0.3">
      <c r="A1246" t="s">
        <v>1386</v>
      </c>
      <c r="B1246" t="s">
        <v>2611</v>
      </c>
    </row>
    <row r="1247" spans="1:2" x14ac:dyDescent="0.3">
      <c r="A1247" t="s">
        <v>1749</v>
      </c>
      <c r="B1247" t="s">
        <v>2612</v>
      </c>
    </row>
    <row r="1248" spans="1:2" x14ac:dyDescent="0.3">
      <c r="A1248" t="s">
        <v>1389</v>
      </c>
      <c r="B1248" t="s">
        <v>2613</v>
      </c>
    </row>
    <row r="1249" spans="1:2" x14ac:dyDescent="0.3">
      <c r="A1249" t="s">
        <v>1387</v>
      </c>
      <c r="B1249" t="s">
        <v>2614</v>
      </c>
    </row>
    <row r="1250" spans="1:2" x14ac:dyDescent="0.3">
      <c r="A1250" t="s">
        <v>1390</v>
      </c>
      <c r="B1250" t="s">
        <v>2615</v>
      </c>
    </row>
    <row r="1251" spans="1:2" x14ac:dyDescent="0.3">
      <c r="A1251" t="s">
        <v>1394</v>
      </c>
      <c r="B1251" t="s">
        <v>2616</v>
      </c>
    </row>
    <row r="1252" spans="1:2" x14ac:dyDescent="0.3">
      <c r="A1252" t="s">
        <v>1392</v>
      </c>
      <c r="B1252" t="s">
        <v>2617</v>
      </c>
    </row>
    <row r="1253" spans="1:2" x14ac:dyDescent="0.3">
      <c r="A1253" t="s">
        <v>1391</v>
      </c>
      <c r="B1253" t="s">
        <v>2617</v>
      </c>
    </row>
    <row r="1254" spans="1:2" x14ac:dyDescent="0.3">
      <c r="A1254" t="s">
        <v>1750</v>
      </c>
      <c r="B1254" t="s">
        <v>2618</v>
      </c>
    </row>
    <row r="1255" spans="1:2" x14ac:dyDescent="0.3">
      <c r="A1255" t="s">
        <v>1393</v>
      </c>
      <c r="B1255" t="s">
        <v>2619</v>
      </c>
    </row>
    <row r="1256" spans="1:2" x14ac:dyDescent="0.3">
      <c r="A1256" t="s">
        <v>1398</v>
      </c>
      <c r="B1256" t="s">
        <v>2620</v>
      </c>
    </row>
    <row r="1257" spans="1:2" x14ac:dyDescent="0.3">
      <c r="A1257" t="s">
        <v>1405</v>
      </c>
      <c r="B1257" t="s">
        <v>2621</v>
      </c>
    </row>
    <row r="1258" spans="1:2" x14ac:dyDescent="0.3">
      <c r="A1258" t="s">
        <v>1399</v>
      </c>
      <c r="B1258" t="s">
        <v>2622</v>
      </c>
    </row>
    <row r="1259" spans="1:2" x14ac:dyDescent="0.3">
      <c r="A1259" t="s">
        <v>1400</v>
      </c>
      <c r="B1259" t="s">
        <v>2623</v>
      </c>
    </row>
    <row r="1260" spans="1:2" x14ac:dyDescent="0.3">
      <c r="A1260" t="s">
        <v>1401</v>
      </c>
      <c r="B1260" t="s">
        <v>2624</v>
      </c>
    </row>
    <row r="1261" spans="1:2" x14ac:dyDescent="0.3">
      <c r="A1261" t="s">
        <v>1402</v>
      </c>
      <c r="B1261" t="s">
        <v>2625</v>
      </c>
    </row>
    <row r="1262" spans="1:2" x14ac:dyDescent="0.3">
      <c r="A1262" t="s">
        <v>1403</v>
      </c>
      <c r="B1262" t="s">
        <v>2626</v>
      </c>
    </row>
    <row r="1263" spans="1:2" x14ac:dyDescent="0.3">
      <c r="A1263" t="s">
        <v>1406</v>
      </c>
      <c r="B1263" t="s">
        <v>2627</v>
      </c>
    </row>
    <row r="1264" spans="1:2" x14ac:dyDescent="0.3">
      <c r="A1264" t="s">
        <v>1763</v>
      </c>
      <c r="B1264" t="s">
        <v>2628</v>
      </c>
    </row>
    <row r="1265" spans="1:2" x14ac:dyDescent="0.3">
      <c r="A1265" t="s">
        <v>1404</v>
      </c>
      <c r="B1265" t="s">
        <v>2628</v>
      </c>
    </row>
    <row r="1266" spans="1:2" x14ac:dyDescent="0.3">
      <c r="A1266" t="s">
        <v>1752</v>
      </c>
      <c r="B1266" t="s">
        <v>2629</v>
      </c>
    </row>
    <row r="1267" spans="1:2" x14ac:dyDescent="0.3">
      <c r="A1267" t="s">
        <v>1407</v>
      </c>
      <c r="B1267" t="s">
        <v>2630</v>
      </c>
    </row>
    <row r="1268" spans="1:2" x14ac:dyDescent="0.3">
      <c r="A1268" t="s">
        <v>1408</v>
      </c>
      <c r="B1268" t="s">
        <v>2631</v>
      </c>
    </row>
    <row r="1269" spans="1:2" x14ac:dyDescent="0.3">
      <c r="A1269" t="s">
        <v>1409</v>
      </c>
      <c r="B1269" t="s">
        <v>2632</v>
      </c>
    </row>
    <row r="1270" spans="1:2" x14ac:dyDescent="0.3">
      <c r="A1270" t="s">
        <v>1757</v>
      </c>
      <c r="B1270" t="s">
        <v>2633</v>
      </c>
    </row>
    <row r="1271" spans="1:2" x14ac:dyDescent="0.3">
      <c r="A1271" t="s">
        <v>1755</v>
      </c>
      <c r="B1271" t="s">
        <v>2634</v>
      </c>
    </row>
    <row r="1272" spans="1:2" x14ac:dyDescent="0.3">
      <c r="A1272" t="s">
        <v>1419</v>
      </c>
      <c r="B1272" t="s">
        <v>2635</v>
      </c>
    </row>
    <row r="1273" spans="1:2" x14ac:dyDescent="0.3">
      <c r="A1273" t="s">
        <v>1410</v>
      </c>
      <c r="B1273" t="s">
        <v>2636</v>
      </c>
    </row>
    <row r="1274" spans="1:2" x14ac:dyDescent="0.3">
      <c r="A1274" t="s">
        <v>1413</v>
      </c>
      <c r="B1274" t="s">
        <v>2637</v>
      </c>
    </row>
    <row r="1275" spans="1:2" x14ac:dyDescent="0.3">
      <c r="A1275" t="s">
        <v>1411</v>
      </c>
      <c r="B1275" t="s">
        <v>2638</v>
      </c>
    </row>
    <row r="1276" spans="1:2" x14ac:dyDescent="0.3">
      <c r="A1276" t="s">
        <v>1754</v>
      </c>
      <c r="B1276" t="s">
        <v>2639</v>
      </c>
    </row>
    <row r="1277" spans="1:2" x14ac:dyDescent="0.3">
      <c r="A1277" t="s">
        <v>1412</v>
      </c>
      <c r="B1277" t="s">
        <v>2640</v>
      </c>
    </row>
    <row r="1278" spans="1:2" x14ac:dyDescent="0.3">
      <c r="A1278" t="s">
        <v>1414</v>
      </c>
      <c r="B1278" t="s">
        <v>2641</v>
      </c>
    </row>
    <row r="1279" spans="1:2" x14ac:dyDescent="0.3">
      <c r="A1279" t="s">
        <v>1415</v>
      </c>
      <c r="B1279" t="s">
        <v>2642</v>
      </c>
    </row>
    <row r="1280" spans="1:2" x14ac:dyDescent="0.3">
      <c r="A1280" t="s">
        <v>1418</v>
      </c>
      <c r="B1280" t="s">
        <v>2643</v>
      </c>
    </row>
    <row r="1281" spans="1:2" x14ac:dyDescent="0.3">
      <c r="A1281" t="s">
        <v>1416</v>
      </c>
      <c r="B1281" t="s">
        <v>2644</v>
      </c>
    </row>
    <row r="1282" spans="1:2" x14ac:dyDescent="0.3">
      <c r="A1282" t="s">
        <v>1417</v>
      </c>
      <c r="B1282" t="s">
        <v>2645</v>
      </c>
    </row>
    <row r="1283" spans="1:2" x14ac:dyDescent="0.3">
      <c r="A1283" t="s">
        <v>1753</v>
      </c>
      <c r="B1283" t="s">
        <v>2646</v>
      </c>
    </row>
    <row r="1284" spans="1:2" x14ac:dyDescent="0.3">
      <c r="A1284" t="s">
        <v>1758</v>
      </c>
      <c r="B1284" t="s">
        <v>2647</v>
      </c>
    </row>
    <row r="1285" spans="1:2" x14ac:dyDescent="0.3">
      <c r="A1285" t="s">
        <v>1426</v>
      </c>
      <c r="B1285" t="s">
        <v>2647</v>
      </c>
    </row>
    <row r="1286" spans="1:2" x14ac:dyDescent="0.3">
      <c r="A1286" t="s">
        <v>1420</v>
      </c>
      <c r="B1286" t="s">
        <v>2648</v>
      </c>
    </row>
    <row r="1287" spans="1:2" x14ac:dyDescent="0.3">
      <c r="A1287" t="s">
        <v>1759</v>
      </c>
      <c r="B1287" t="s">
        <v>2649</v>
      </c>
    </row>
    <row r="1288" spans="1:2" x14ac:dyDescent="0.3">
      <c r="A1288" t="s">
        <v>1425</v>
      </c>
      <c r="B1288" t="s">
        <v>2650</v>
      </c>
    </row>
    <row r="1289" spans="1:2" x14ac:dyDescent="0.3">
      <c r="A1289" t="s">
        <v>1756</v>
      </c>
      <c r="B1289" t="s">
        <v>2651</v>
      </c>
    </row>
    <row r="1290" spans="1:2" x14ac:dyDescent="0.3">
      <c r="A1290" t="s">
        <v>1760</v>
      </c>
      <c r="B1290" t="s">
        <v>2652</v>
      </c>
    </row>
    <row r="1291" spans="1:2" x14ac:dyDescent="0.3">
      <c r="A1291" t="s">
        <v>1421</v>
      </c>
      <c r="B1291" t="s">
        <v>2653</v>
      </c>
    </row>
    <row r="1292" spans="1:2" x14ac:dyDescent="0.3">
      <c r="A1292" t="s">
        <v>1423</v>
      </c>
      <c r="B1292" t="s">
        <v>2654</v>
      </c>
    </row>
    <row r="1293" spans="1:2" x14ac:dyDescent="0.3">
      <c r="A1293" t="s">
        <v>1761</v>
      </c>
      <c r="B1293" t="s">
        <v>1879</v>
      </c>
    </row>
    <row r="1294" spans="1:2" x14ac:dyDescent="0.3">
      <c r="A1294" t="s">
        <v>1424</v>
      </c>
      <c r="B1294" t="s">
        <v>2655</v>
      </c>
    </row>
    <row r="1295" spans="1:2" x14ac:dyDescent="0.3">
      <c r="A1295" t="s">
        <v>1427</v>
      </c>
      <c r="B1295" t="s">
        <v>2656</v>
      </c>
    </row>
    <row r="1296" spans="1:2" x14ac:dyDescent="0.3">
      <c r="A1296" t="s">
        <v>1428</v>
      </c>
      <c r="B1296" t="s">
        <v>2657</v>
      </c>
    </row>
    <row r="1297" spans="1:2" x14ac:dyDescent="0.3">
      <c r="A1297" t="s">
        <v>1429</v>
      </c>
      <c r="B1297" t="s">
        <v>2658</v>
      </c>
    </row>
    <row r="1298" spans="1:2" x14ac:dyDescent="0.3">
      <c r="A1298" t="s">
        <v>1430</v>
      </c>
      <c r="B1298" t="s">
        <v>2659</v>
      </c>
    </row>
    <row r="1299" spans="1:2" x14ac:dyDescent="0.3">
      <c r="A1299" t="s">
        <v>1431</v>
      </c>
      <c r="B1299" t="s">
        <v>2660</v>
      </c>
    </row>
    <row r="1300" spans="1:2" x14ac:dyDescent="0.3">
      <c r="A1300" t="s">
        <v>1434</v>
      </c>
      <c r="B1300" t="s">
        <v>2661</v>
      </c>
    </row>
    <row r="1301" spans="1:2" x14ac:dyDescent="0.3">
      <c r="A1301" t="s">
        <v>1432</v>
      </c>
      <c r="B1301" t="s">
        <v>2662</v>
      </c>
    </row>
    <row r="1302" spans="1:2" x14ac:dyDescent="0.3">
      <c r="A1302" t="s">
        <v>1433</v>
      </c>
      <c r="B1302" t="s">
        <v>2663</v>
      </c>
    </row>
    <row r="1303" spans="1:2" x14ac:dyDescent="0.3">
      <c r="A1303" t="s">
        <v>1762</v>
      </c>
      <c r="B1303" t="s">
        <v>2664</v>
      </c>
    </row>
    <row r="1304" spans="1:2" x14ac:dyDescent="0.3">
      <c r="A1304" t="s">
        <v>1435</v>
      </c>
      <c r="B1304" t="s">
        <v>2665</v>
      </c>
    </row>
    <row r="1305" spans="1:2" x14ac:dyDescent="0.3">
      <c r="A1305" t="s">
        <v>1764</v>
      </c>
      <c r="B1305" t="s">
        <v>2666</v>
      </c>
    </row>
    <row r="1306" spans="1:2" x14ac:dyDescent="0.3">
      <c r="A1306" t="s">
        <v>1442</v>
      </c>
      <c r="B1306" t="s">
        <v>2667</v>
      </c>
    </row>
    <row r="1307" spans="1:2" x14ac:dyDescent="0.3">
      <c r="A1307" t="s">
        <v>1765</v>
      </c>
      <c r="B1307" t="s">
        <v>2668</v>
      </c>
    </row>
    <row r="1308" spans="1:2" x14ac:dyDescent="0.3">
      <c r="A1308" t="s">
        <v>1436</v>
      </c>
      <c r="B1308" t="s">
        <v>2669</v>
      </c>
    </row>
    <row r="1309" spans="1:2" x14ac:dyDescent="0.3">
      <c r="A1309" t="s">
        <v>1766</v>
      </c>
      <c r="B1309" t="s">
        <v>2670</v>
      </c>
    </row>
    <row r="1310" spans="1:2" x14ac:dyDescent="0.3">
      <c r="A1310" t="s">
        <v>1437</v>
      </c>
      <c r="B1310" t="s">
        <v>2671</v>
      </c>
    </row>
    <row r="1311" spans="1:2" x14ac:dyDescent="0.3">
      <c r="A1311" t="s">
        <v>1767</v>
      </c>
      <c r="B1311" t="s">
        <v>2672</v>
      </c>
    </row>
    <row r="1312" spans="1:2" x14ac:dyDescent="0.3">
      <c r="A1312" t="s">
        <v>1441</v>
      </c>
      <c r="B1312" t="s">
        <v>2673</v>
      </c>
    </row>
    <row r="1313" spans="1:2" x14ac:dyDescent="0.3">
      <c r="A1313" t="s">
        <v>1438</v>
      </c>
      <c r="B1313" t="s">
        <v>2674</v>
      </c>
    </row>
    <row r="1314" spans="1:2" x14ac:dyDescent="0.3">
      <c r="A1314" t="s">
        <v>1439</v>
      </c>
      <c r="B1314" t="s">
        <v>2675</v>
      </c>
    </row>
    <row r="1315" spans="1:2" x14ac:dyDescent="0.3">
      <c r="A1315" t="s">
        <v>1769</v>
      </c>
      <c r="B1315" t="s">
        <v>2676</v>
      </c>
    </row>
    <row r="1316" spans="1:2" x14ac:dyDescent="0.3">
      <c r="A1316" t="s">
        <v>1440</v>
      </c>
      <c r="B1316" t="s">
        <v>2677</v>
      </c>
    </row>
    <row r="1317" spans="1:2" x14ac:dyDescent="0.3">
      <c r="A1317" t="s">
        <v>1768</v>
      </c>
      <c r="B1317" t="s">
        <v>2678</v>
      </c>
    </row>
    <row r="1318" spans="1:2" x14ac:dyDescent="0.3">
      <c r="A1318" t="s">
        <v>1443</v>
      </c>
      <c r="B1318" t="s">
        <v>2679</v>
      </c>
    </row>
    <row r="1319" spans="1:2" x14ac:dyDescent="0.3">
      <c r="A1319" t="s">
        <v>1454</v>
      </c>
      <c r="B1319" t="s">
        <v>2680</v>
      </c>
    </row>
    <row r="1320" spans="1:2" x14ac:dyDescent="0.3">
      <c r="A1320" t="s">
        <v>1445</v>
      </c>
      <c r="B1320" t="s">
        <v>2681</v>
      </c>
    </row>
    <row r="1321" spans="1:2" x14ac:dyDescent="0.3">
      <c r="A1321" t="s">
        <v>1444</v>
      </c>
      <c r="B1321" t="s">
        <v>2682</v>
      </c>
    </row>
    <row r="1322" spans="1:2" x14ac:dyDescent="0.3">
      <c r="A1322" t="s">
        <v>1446</v>
      </c>
      <c r="B1322" t="s">
        <v>2683</v>
      </c>
    </row>
    <row r="1323" spans="1:2" x14ac:dyDescent="0.3">
      <c r="A1323" t="s">
        <v>1447</v>
      </c>
      <c r="B1323" t="s">
        <v>2684</v>
      </c>
    </row>
    <row r="1324" spans="1:2" x14ac:dyDescent="0.3">
      <c r="A1324" t="s">
        <v>1448</v>
      </c>
      <c r="B1324" t="s">
        <v>1899</v>
      </c>
    </row>
    <row r="1325" spans="1:2" x14ac:dyDescent="0.3">
      <c r="A1325" t="s">
        <v>1449</v>
      </c>
      <c r="B1325" t="s">
        <v>2685</v>
      </c>
    </row>
    <row r="1326" spans="1:2" x14ac:dyDescent="0.3">
      <c r="A1326" t="s">
        <v>1450</v>
      </c>
      <c r="B1326" t="s">
        <v>2686</v>
      </c>
    </row>
    <row r="1327" spans="1:2" x14ac:dyDescent="0.3">
      <c r="A1327" t="s">
        <v>1452</v>
      </c>
      <c r="B1327" t="s">
        <v>2687</v>
      </c>
    </row>
    <row r="1328" spans="1:2" x14ac:dyDescent="0.3">
      <c r="A1328" t="s">
        <v>1451</v>
      </c>
      <c r="B1328" t="s">
        <v>2688</v>
      </c>
    </row>
    <row r="1329" spans="1:2" x14ac:dyDescent="0.3">
      <c r="A1329" t="s">
        <v>1770</v>
      </c>
      <c r="B1329" t="s">
        <v>1900</v>
      </c>
    </row>
    <row r="1330" spans="1:2" x14ac:dyDescent="0.3">
      <c r="A1330" t="s">
        <v>1453</v>
      </c>
      <c r="B1330" t="s">
        <v>2689</v>
      </c>
    </row>
    <row r="1331" spans="1:2" x14ac:dyDescent="0.3">
      <c r="A1331" t="s">
        <v>1455</v>
      </c>
      <c r="B1331" t="s">
        <v>2690</v>
      </c>
    </row>
    <row r="1332" spans="1:2" x14ac:dyDescent="0.3">
      <c r="A1332" t="s">
        <v>1456</v>
      </c>
      <c r="B1332" t="s">
        <v>2691</v>
      </c>
    </row>
    <row r="1333" spans="1:2" x14ac:dyDescent="0.3">
      <c r="A1333" t="s">
        <v>1771</v>
      </c>
      <c r="B1333" t="s">
        <v>2692</v>
      </c>
    </row>
    <row r="1334" spans="1:2" x14ac:dyDescent="0.3">
      <c r="A1334" t="s">
        <v>1457</v>
      </c>
      <c r="B1334" t="s">
        <v>2693</v>
      </c>
    </row>
    <row r="1335" spans="1:2" x14ac:dyDescent="0.3">
      <c r="A1335" t="s">
        <v>1772</v>
      </c>
      <c r="B1335" t="s">
        <v>1901</v>
      </c>
    </row>
    <row r="1336" spans="1:2" x14ac:dyDescent="0.3">
      <c r="A1336" t="s">
        <v>1463</v>
      </c>
      <c r="B1336" t="s">
        <v>2694</v>
      </c>
    </row>
    <row r="1337" spans="1:2" x14ac:dyDescent="0.3">
      <c r="A1337" t="s">
        <v>1459</v>
      </c>
      <c r="B1337" t="s">
        <v>2695</v>
      </c>
    </row>
    <row r="1338" spans="1:2" x14ac:dyDescent="0.3">
      <c r="A1338" t="s">
        <v>1482</v>
      </c>
      <c r="B1338" t="s">
        <v>2696</v>
      </c>
    </row>
    <row r="1339" spans="1:2" x14ac:dyDescent="0.3">
      <c r="A1339" t="s">
        <v>1775</v>
      </c>
      <c r="B1339" t="s">
        <v>2697</v>
      </c>
    </row>
    <row r="1340" spans="1:2" x14ac:dyDescent="0.3">
      <c r="A1340" t="s">
        <v>1460</v>
      </c>
      <c r="B1340" t="s">
        <v>2698</v>
      </c>
    </row>
    <row r="1341" spans="1:2" x14ac:dyDescent="0.3">
      <c r="A1341" t="s">
        <v>1481</v>
      </c>
      <c r="B1341" t="s">
        <v>2699</v>
      </c>
    </row>
    <row r="1342" spans="1:2" x14ac:dyDescent="0.3">
      <c r="A1342" t="s">
        <v>1462</v>
      </c>
      <c r="B1342" t="s">
        <v>1902</v>
      </c>
    </row>
    <row r="1343" spans="1:2" x14ac:dyDescent="0.3">
      <c r="A1343" t="s">
        <v>1773</v>
      </c>
      <c r="B1343" t="s">
        <v>1982</v>
      </c>
    </row>
    <row r="1344" spans="1:2" x14ac:dyDescent="0.3">
      <c r="A1344" t="s">
        <v>1774</v>
      </c>
      <c r="B1344" t="s">
        <v>2700</v>
      </c>
    </row>
    <row r="1345" spans="1:2" x14ac:dyDescent="0.3">
      <c r="A1345" t="s">
        <v>1480</v>
      </c>
      <c r="B1345" t="s">
        <v>2701</v>
      </c>
    </row>
    <row r="1346" spans="1:2" x14ac:dyDescent="0.3">
      <c r="A1346" t="s">
        <v>1472</v>
      </c>
      <c r="B1346" t="s">
        <v>2702</v>
      </c>
    </row>
    <row r="1347" spans="1:2" x14ac:dyDescent="0.3">
      <c r="A1347" t="s">
        <v>1464</v>
      </c>
      <c r="B1347" t="s">
        <v>2703</v>
      </c>
    </row>
    <row r="1348" spans="1:2" x14ac:dyDescent="0.3">
      <c r="A1348" t="s">
        <v>1465</v>
      </c>
      <c r="B1348" t="s">
        <v>2704</v>
      </c>
    </row>
    <row r="1349" spans="1:2" x14ac:dyDescent="0.3">
      <c r="A1349" t="s">
        <v>1466</v>
      </c>
      <c r="B1349" t="s">
        <v>2705</v>
      </c>
    </row>
    <row r="1350" spans="1:2" x14ac:dyDescent="0.3">
      <c r="A1350" t="s">
        <v>1458</v>
      </c>
      <c r="B1350" t="s">
        <v>2706</v>
      </c>
    </row>
    <row r="1351" spans="1:2" x14ac:dyDescent="0.3">
      <c r="A1351" t="s">
        <v>1467</v>
      </c>
      <c r="B1351" t="s">
        <v>2707</v>
      </c>
    </row>
    <row r="1352" spans="1:2" x14ac:dyDescent="0.3">
      <c r="A1352" t="s">
        <v>1473</v>
      </c>
      <c r="B1352" t="s">
        <v>2708</v>
      </c>
    </row>
    <row r="1353" spans="1:2" x14ac:dyDescent="0.3">
      <c r="A1353" t="s">
        <v>1468</v>
      </c>
      <c r="B1353" t="s">
        <v>2709</v>
      </c>
    </row>
    <row r="1354" spans="1:2" x14ac:dyDescent="0.3">
      <c r="A1354" t="s">
        <v>1469</v>
      </c>
      <c r="B1354" t="s">
        <v>2710</v>
      </c>
    </row>
    <row r="1355" spans="1:2" x14ac:dyDescent="0.3">
      <c r="A1355" t="s">
        <v>1470</v>
      </c>
      <c r="B1355" t="s">
        <v>2711</v>
      </c>
    </row>
    <row r="1356" spans="1:2" x14ac:dyDescent="0.3">
      <c r="A1356" t="s">
        <v>1471</v>
      </c>
      <c r="B1356" t="s">
        <v>2712</v>
      </c>
    </row>
    <row r="1357" spans="1:2" x14ac:dyDescent="0.3">
      <c r="A1357" t="s">
        <v>1776</v>
      </c>
      <c r="B1357" t="s">
        <v>2713</v>
      </c>
    </row>
    <row r="1358" spans="1:2" x14ac:dyDescent="0.3">
      <c r="A1358" t="s">
        <v>1477</v>
      </c>
      <c r="B1358" t="s">
        <v>2714</v>
      </c>
    </row>
    <row r="1359" spans="1:2" x14ac:dyDescent="0.3">
      <c r="A1359" t="s">
        <v>1474</v>
      </c>
      <c r="B1359" t="s">
        <v>2715</v>
      </c>
    </row>
    <row r="1360" spans="1:2" x14ac:dyDescent="0.3">
      <c r="A1360" t="s">
        <v>1777</v>
      </c>
      <c r="B1360" t="s">
        <v>2716</v>
      </c>
    </row>
    <row r="1361" spans="1:2" x14ac:dyDescent="0.3">
      <c r="A1361" t="s">
        <v>1476</v>
      </c>
      <c r="B1361" t="s">
        <v>2717</v>
      </c>
    </row>
    <row r="1362" spans="1:2" x14ac:dyDescent="0.3">
      <c r="A1362" t="s">
        <v>1778</v>
      </c>
      <c r="B1362" t="s">
        <v>2718</v>
      </c>
    </row>
    <row r="1363" spans="1:2" x14ac:dyDescent="0.3">
      <c r="A1363" t="s">
        <v>1475</v>
      </c>
      <c r="B1363" t="s">
        <v>2719</v>
      </c>
    </row>
    <row r="1364" spans="1:2" x14ac:dyDescent="0.3">
      <c r="A1364" t="s">
        <v>1478</v>
      </c>
      <c r="B1364" t="s">
        <v>2720</v>
      </c>
    </row>
    <row r="1365" spans="1:2" x14ac:dyDescent="0.3">
      <c r="A1365" t="s">
        <v>1479</v>
      </c>
      <c r="B1365" t="s">
        <v>2721</v>
      </c>
    </row>
    <row r="1366" spans="1:2" x14ac:dyDescent="0.3">
      <c r="A1366" t="s">
        <v>1779</v>
      </c>
      <c r="B1366" t="s">
        <v>1903</v>
      </c>
    </row>
    <row r="1367" spans="1:2" x14ac:dyDescent="0.3">
      <c r="A1367" t="s">
        <v>1483</v>
      </c>
      <c r="B1367" t="s">
        <v>2722</v>
      </c>
    </row>
    <row r="1368" spans="1:2" x14ac:dyDescent="0.3">
      <c r="A1368" t="s">
        <v>1499</v>
      </c>
      <c r="B1368" t="s">
        <v>2723</v>
      </c>
    </row>
    <row r="1369" spans="1:2" x14ac:dyDescent="0.3">
      <c r="A1369" t="s">
        <v>1780</v>
      </c>
      <c r="B1369" t="s">
        <v>2724</v>
      </c>
    </row>
    <row r="1370" spans="1:2" x14ac:dyDescent="0.3">
      <c r="A1370" t="s">
        <v>1484</v>
      </c>
      <c r="B1370" t="s">
        <v>2725</v>
      </c>
    </row>
    <row r="1371" spans="1:2" x14ac:dyDescent="0.3">
      <c r="A1371" t="s">
        <v>1781</v>
      </c>
      <c r="B1371" t="s">
        <v>2726</v>
      </c>
    </row>
    <row r="1372" spans="1:2" x14ac:dyDescent="0.3">
      <c r="A1372" t="s">
        <v>1486</v>
      </c>
      <c r="B1372" t="s">
        <v>2727</v>
      </c>
    </row>
    <row r="1373" spans="1:2" x14ac:dyDescent="0.3">
      <c r="A1373" t="s">
        <v>1487</v>
      </c>
      <c r="B1373" t="s">
        <v>2728</v>
      </c>
    </row>
    <row r="1374" spans="1:2" x14ac:dyDescent="0.3">
      <c r="A1374" t="s">
        <v>1488</v>
      </c>
      <c r="B1374" t="s">
        <v>2729</v>
      </c>
    </row>
    <row r="1375" spans="1:2" x14ac:dyDescent="0.3">
      <c r="A1375" t="s">
        <v>1512</v>
      </c>
      <c r="B1375" t="s">
        <v>2730</v>
      </c>
    </row>
    <row r="1376" spans="1:2" x14ac:dyDescent="0.3">
      <c r="A1376" t="s">
        <v>1545</v>
      </c>
      <c r="B1376" t="s">
        <v>2731</v>
      </c>
    </row>
    <row r="1377" spans="1:2" x14ac:dyDescent="0.3">
      <c r="A1377" t="s">
        <v>1532</v>
      </c>
      <c r="B1377" t="s">
        <v>2732</v>
      </c>
    </row>
    <row r="1378" spans="1:2" x14ac:dyDescent="0.3">
      <c r="A1378" t="s">
        <v>1489</v>
      </c>
      <c r="B1378" t="s">
        <v>2733</v>
      </c>
    </row>
    <row r="1379" spans="1:2" x14ac:dyDescent="0.3">
      <c r="A1379" t="s">
        <v>1490</v>
      </c>
      <c r="B1379" t="s">
        <v>1904</v>
      </c>
    </row>
    <row r="1380" spans="1:2" x14ac:dyDescent="0.3">
      <c r="A1380" t="s">
        <v>1491</v>
      </c>
      <c r="B1380" t="s">
        <v>2734</v>
      </c>
    </row>
    <row r="1381" spans="1:2" x14ac:dyDescent="0.3">
      <c r="A1381" t="s">
        <v>1549</v>
      </c>
      <c r="B1381" t="s">
        <v>2735</v>
      </c>
    </row>
    <row r="1382" spans="1:2" x14ac:dyDescent="0.3">
      <c r="A1382" t="s">
        <v>1492</v>
      </c>
      <c r="B1382" t="s">
        <v>2736</v>
      </c>
    </row>
    <row r="1383" spans="1:2" x14ac:dyDescent="0.3">
      <c r="A1383" t="s">
        <v>1782</v>
      </c>
      <c r="B1383" t="s">
        <v>1963</v>
      </c>
    </row>
    <row r="1384" spans="1:2" x14ac:dyDescent="0.3">
      <c r="A1384" t="s">
        <v>1493</v>
      </c>
      <c r="B1384" t="s">
        <v>2737</v>
      </c>
    </row>
    <row r="1385" spans="1:2" x14ac:dyDescent="0.3">
      <c r="A1385" t="s">
        <v>1494</v>
      </c>
      <c r="B1385" t="s">
        <v>2738</v>
      </c>
    </row>
    <row r="1386" spans="1:2" x14ac:dyDescent="0.3">
      <c r="A1386" t="s">
        <v>1495</v>
      </c>
      <c r="B1386" t="s">
        <v>2739</v>
      </c>
    </row>
    <row r="1387" spans="1:2" x14ac:dyDescent="0.3">
      <c r="A1387" t="s">
        <v>1496</v>
      </c>
      <c r="B1387" t="s">
        <v>2740</v>
      </c>
    </row>
    <row r="1388" spans="1:2" x14ac:dyDescent="0.3">
      <c r="A1388" t="s">
        <v>1497</v>
      </c>
      <c r="B1388" t="s">
        <v>2741</v>
      </c>
    </row>
    <row r="1389" spans="1:2" x14ac:dyDescent="0.3">
      <c r="A1389" t="s">
        <v>1783</v>
      </c>
      <c r="B1389" t="s">
        <v>2742</v>
      </c>
    </row>
    <row r="1390" spans="1:2" x14ac:dyDescent="0.3">
      <c r="A1390" t="s">
        <v>1498</v>
      </c>
      <c r="B1390" t="s">
        <v>2743</v>
      </c>
    </row>
    <row r="1391" spans="1:2" x14ac:dyDescent="0.3">
      <c r="A1391" t="s">
        <v>1500</v>
      </c>
      <c r="B1391" t="s">
        <v>2744</v>
      </c>
    </row>
    <row r="1392" spans="1:2" x14ac:dyDescent="0.3">
      <c r="A1392" t="s">
        <v>1552</v>
      </c>
      <c r="B1392" t="s">
        <v>2745</v>
      </c>
    </row>
    <row r="1393" spans="1:2" x14ac:dyDescent="0.3">
      <c r="A1393" t="s">
        <v>1791</v>
      </c>
      <c r="B1393" t="s">
        <v>2746</v>
      </c>
    </row>
    <row r="1394" spans="1:2" x14ac:dyDescent="0.3">
      <c r="A1394" t="s">
        <v>1524</v>
      </c>
      <c r="B1394" t="s">
        <v>2747</v>
      </c>
    </row>
    <row r="1395" spans="1:2" x14ac:dyDescent="0.3">
      <c r="A1395" t="s">
        <v>1523</v>
      </c>
      <c r="B1395" t="s">
        <v>2748</v>
      </c>
    </row>
    <row r="1396" spans="1:2" x14ac:dyDescent="0.3">
      <c r="A1396" t="s">
        <v>1501</v>
      </c>
      <c r="B1396" t="s">
        <v>2749</v>
      </c>
    </row>
    <row r="1397" spans="1:2" x14ac:dyDescent="0.3">
      <c r="A1397" t="s">
        <v>1502</v>
      </c>
      <c r="B1397" t="s">
        <v>2750</v>
      </c>
    </row>
    <row r="1398" spans="1:2" x14ac:dyDescent="0.3">
      <c r="A1398" t="s">
        <v>1519</v>
      </c>
      <c r="B1398" t="s">
        <v>2751</v>
      </c>
    </row>
    <row r="1399" spans="1:2" x14ac:dyDescent="0.3">
      <c r="A1399" t="s">
        <v>1506</v>
      </c>
      <c r="B1399" t="s">
        <v>2752</v>
      </c>
    </row>
    <row r="1400" spans="1:2" x14ac:dyDescent="0.3">
      <c r="A1400" t="s">
        <v>1503</v>
      </c>
      <c r="B1400" t="s">
        <v>2753</v>
      </c>
    </row>
    <row r="1401" spans="1:2" x14ac:dyDescent="0.3">
      <c r="A1401" t="s">
        <v>1504</v>
      </c>
      <c r="B1401" t="s">
        <v>2754</v>
      </c>
    </row>
    <row r="1402" spans="1:2" x14ac:dyDescent="0.3">
      <c r="A1402" t="s">
        <v>1505</v>
      </c>
      <c r="B1402" t="s">
        <v>2755</v>
      </c>
    </row>
    <row r="1403" spans="1:2" x14ac:dyDescent="0.3">
      <c r="A1403" t="s">
        <v>1522</v>
      </c>
      <c r="B1403" t="s">
        <v>2756</v>
      </c>
    </row>
    <row r="1404" spans="1:2" x14ac:dyDescent="0.3">
      <c r="A1404" t="s">
        <v>1507</v>
      </c>
      <c r="B1404" t="s">
        <v>2757</v>
      </c>
    </row>
    <row r="1405" spans="1:2" x14ac:dyDescent="0.3">
      <c r="A1405" t="s">
        <v>1485</v>
      </c>
      <c r="B1405" t="s">
        <v>2758</v>
      </c>
    </row>
    <row r="1406" spans="1:2" x14ac:dyDescent="0.3">
      <c r="A1406" t="s">
        <v>1510</v>
      </c>
      <c r="B1406" t="s">
        <v>2759</v>
      </c>
    </row>
    <row r="1407" spans="1:2" x14ac:dyDescent="0.3">
      <c r="A1407" t="s">
        <v>1511</v>
      </c>
      <c r="B1407" t="s">
        <v>2760</v>
      </c>
    </row>
    <row r="1408" spans="1:2" x14ac:dyDescent="0.3">
      <c r="A1408" t="s">
        <v>1514</v>
      </c>
      <c r="B1408" t="s">
        <v>2761</v>
      </c>
    </row>
    <row r="1409" spans="1:2" x14ac:dyDescent="0.3">
      <c r="A1409" t="s">
        <v>1515</v>
      </c>
      <c r="B1409" t="s">
        <v>2762</v>
      </c>
    </row>
    <row r="1410" spans="1:2" x14ac:dyDescent="0.3">
      <c r="A1410" t="s">
        <v>1516</v>
      </c>
      <c r="B1410" t="s">
        <v>2763</v>
      </c>
    </row>
    <row r="1411" spans="1:2" x14ac:dyDescent="0.3">
      <c r="A1411" t="s">
        <v>1517</v>
      </c>
      <c r="B1411" t="s">
        <v>2764</v>
      </c>
    </row>
    <row r="1412" spans="1:2" x14ac:dyDescent="0.3">
      <c r="A1412" t="s">
        <v>1518</v>
      </c>
      <c r="B1412" t="s">
        <v>2765</v>
      </c>
    </row>
    <row r="1413" spans="1:2" x14ac:dyDescent="0.3">
      <c r="A1413" t="s">
        <v>1787</v>
      </c>
      <c r="B1413" t="s">
        <v>2766</v>
      </c>
    </row>
    <row r="1414" spans="1:2" x14ac:dyDescent="0.3">
      <c r="A1414" t="s">
        <v>1520</v>
      </c>
      <c r="B1414" t="s">
        <v>2767</v>
      </c>
    </row>
    <row r="1415" spans="1:2" x14ac:dyDescent="0.3">
      <c r="A1415" t="s">
        <v>1521</v>
      </c>
      <c r="B1415" t="s">
        <v>2768</v>
      </c>
    </row>
    <row r="1416" spans="1:2" x14ac:dyDescent="0.3">
      <c r="A1416" t="s">
        <v>1526</v>
      </c>
      <c r="B1416" t="s">
        <v>2769</v>
      </c>
    </row>
    <row r="1417" spans="1:2" x14ac:dyDescent="0.3">
      <c r="A1417" t="s">
        <v>1789</v>
      </c>
      <c r="B1417" t="s">
        <v>2770</v>
      </c>
    </row>
    <row r="1418" spans="1:2" x14ac:dyDescent="0.3">
      <c r="A1418" t="s">
        <v>1527</v>
      </c>
      <c r="B1418" t="s">
        <v>2771</v>
      </c>
    </row>
    <row r="1419" spans="1:2" x14ac:dyDescent="0.3">
      <c r="A1419" t="s">
        <v>1539</v>
      </c>
      <c r="B1419" t="s">
        <v>2772</v>
      </c>
    </row>
    <row r="1420" spans="1:2" x14ac:dyDescent="0.3">
      <c r="A1420" t="s">
        <v>1529</v>
      </c>
      <c r="B1420" t="s">
        <v>2773</v>
      </c>
    </row>
    <row r="1421" spans="1:2" x14ac:dyDescent="0.3">
      <c r="A1421" t="s">
        <v>1530</v>
      </c>
      <c r="B1421" t="s">
        <v>2774</v>
      </c>
    </row>
    <row r="1422" spans="1:2" x14ac:dyDescent="0.3">
      <c r="A1422" t="s">
        <v>1531</v>
      </c>
      <c r="B1422" t="s">
        <v>2775</v>
      </c>
    </row>
    <row r="1423" spans="1:2" x14ac:dyDescent="0.3">
      <c r="A1423" t="s">
        <v>1535</v>
      </c>
      <c r="B1423" t="s">
        <v>2776</v>
      </c>
    </row>
    <row r="1424" spans="1:2" x14ac:dyDescent="0.3">
      <c r="A1424" t="s">
        <v>1533</v>
      </c>
      <c r="B1424" t="s">
        <v>2777</v>
      </c>
    </row>
    <row r="1425" spans="1:2" x14ac:dyDescent="0.3">
      <c r="A1425" t="s">
        <v>1534</v>
      </c>
      <c r="B1425" t="s">
        <v>2778</v>
      </c>
    </row>
    <row r="1426" spans="1:2" x14ac:dyDescent="0.3">
      <c r="A1426" t="s">
        <v>1536</v>
      </c>
      <c r="B1426" t="s">
        <v>2779</v>
      </c>
    </row>
    <row r="1427" spans="1:2" x14ac:dyDescent="0.3">
      <c r="A1427" t="s">
        <v>1537</v>
      </c>
      <c r="B1427" t="s">
        <v>2780</v>
      </c>
    </row>
    <row r="1428" spans="1:2" x14ac:dyDescent="0.3">
      <c r="A1428" t="s">
        <v>1547</v>
      </c>
      <c r="B1428" t="s">
        <v>2781</v>
      </c>
    </row>
    <row r="1429" spans="1:2" x14ac:dyDescent="0.3">
      <c r="A1429" t="s">
        <v>1544</v>
      </c>
      <c r="B1429" t="s">
        <v>2782</v>
      </c>
    </row>
    <row r="1430" spans="1:2" x14ac:dyDescent="0.3">
      <c r="A1430" t="s">
        <v>1538</v>
      </c>
      <c r="B1430" t="s">
        <v>2783</v>
      </c>
    </row>
    <row r="1431" spans="1:2" x14ac:dyDescent="0.3">
      <c r="A1431" t="s">
        <v>1540</v>
      </c>
      <c r="B1431" t="s">
        <v>2784</v>
      </c>
    </row>
    <row r="1432" spans="1:2" x14ac:dyDescent="0.3">
      <c r="A1432" t="s">
        <v>1542</v>
      </c>
      <c r="B1432" t="s">
        <v>2785</v>
      </c>
    </row>
    <row r="1433" spans="1:2" x14ac:dyDescent="0.3">
      <c r="A1433" t="s">
        <v>1543</v>
      </c>
      <c r="B1433" t="s">
        <v>2786</v>
      </c>
    </row>
    <row r="1434" spans="1:2" x14ac:dyDescent="0.3">
      <c r="A1434" t="s">
        <v>1550</v>
      </c>
      <c r="B1434" t="s">
        <v>2787</v>
      </c>
    </row>
    <row r="1435" spans="1:2" x14ac:dyDescent="0.3">
      <c r="A1435" t="s">
        <v>1546</v>
      </c>
      <c r="B1435" t="s">
        <v>2788</v>
      </c>
    </row>
    <row r="1436" spans="1:2" x14ac:dyDescent="0.3">
      <c r="A1436" t="s">
        <v>1551</v>
      </c>
      <c r="B1436" t="s">
        <v>2789</v>
      </c>
    </row>
    <row r="1437" spans="1:2" x14ac:dyDescent="0.3">
      <c r="A1437" t="s">
        <v>1555</v>
      </c>
      <c r="B1437" t="s">
        <v>2790</v>
      </c>
    </row>
    <row r="1438" spans="1:2" x14ac:dyDescent="0.3">
      <c r="A1438" t="s">
        <v>1792</v>
      </c>
      <c r="B1438" t="s">
        <v>2791</v>
      </c>
    </row>
    <row r="1439" spans="1:2" x14ac:dyDescent="0.3">
      <c r="A1439" t="s">
        <v>1556</v>
      </c>
      <c r="B1439" t="s">
        <v>2792</v>
      </c>
    </row>
    <row r="1440" spans="1:2" x14ac:dyDescent="0.3">
      <c r="A1440" t="s">
        <v>1557</v>
      </c>
      <c r="B1440" t="s">
        <v>2793</v>
      </c>
    </row>
    <row r="1441" spans="1:2" x14ac:dyDescent="0.3">
      <c r="A1441" t="s">
        <v>1558</v>
      </c>
      <c r="B1441" t="s">
        <v>2794</v>
      </c>
    </row>
    <row r="1442" spans="1:2" x14ac:dyDescent="0.3">
      <c r="A1442" t="s">
        <v>1572</v>
      </c>
      <c r="B1442" t="s">
        <v>2795</v>
      </c>
    </row>
    <row r="1443" spans="1:2" x14ac:dyDescent="0.3">
      <c r="A1443" t="s">
        <v>1562</v>
      </c>
      <c r="B1443" t="s">
        <v>2796</v>
      </c>
    </row>
    <row r="1444" spans="1:2" x14ac:dyDescent="0.3">
      <c r="A1444" t="s">
        <v>1560</v>
      </c>
      <c r="B1444" t="s">
        <v>2797</v>
      </c>
    </row>
    <row r="1445" spans="1:2" x14ac:dyDescent="0.3">
      <c r="A1445" t="s">
        <v>1561</v>
      </c>
      <c r="B1445" t="s">
        <v>2798</v>
      </c>
    </row>
    <row r="1446" spans="1:2" x14ac:dyDescent="0.3">
      <c r="A1446" t="s">
        <v>1566</v>
      </c>
      <c r="B1446" t="s">
        <v>2799</v>
      </c>
    </row>
    <row r="1447" spans="1:2" x14ac:dyDescent="0.3">
      <c r="A1447" t="s">
        <v>1793</v>
      </c>
      <c r="B1447" t="s">
        <v>2800</v>
      </c>
    </row>
    <row r="1448" spans="1:2" x14ac:dyDescent="0.3">
      <c r="A1448" t="s">
        <v>1564</v>
      </c>
      <c r="B1448" t="s">
        <v>2801</v>
      </c>
    </row>
    <row r="1449" spans="1:2" x14ac:dyDescent="0.3">
      <c r="A1449" t="s">
        <v>1578</v>
      </c>
      <c r="B1449" t="s">
        <v>2802</v>
      </c>
    </row>
    <row r="1450" spans="1:2" x14ac:dyDescent="0.3">
      <c r="A1450" t="s">
        <v>1567</v>
      </c>
      <c r="B1450" t="s">
        <v>2803</v>
      </c>
    </row>
    <row r="1451" spans="1:2" x14ac:dyDescent="0.3">
      <c r="A1451" t="s">
        <v>1569</v>
      </c>
      <c r="B1451" t="s">
        <v>2804</v>
      </c>
    </row>
    <row r="1452" spans="1:2" x14ac:dyDescent="0.3">
      <c r="A1452" t="s">
        <v>1570</v>
      </c>
      <c r="B1452" t="s">
        <v>2805</v>
      </c>
    </row>
    <row r="1453" spans="1:2" x14ac:dyDescent="0.3">
      <c r="A1453" t="s">
        <v>1586</v>
      </c>
      <c r="B1453" t="s">
        <v>2806</v>
      </c>
    </row>
    <row r="1454" spans="1:2" x14ac:dyDescent="0.3">
      <c r="A1454" t="s">
        <v>1573</v>
      </c>
      <c r="B1454" t="s">
        <v>2807</v>
      </c>
    </row>
    <row r="1455" spans="1:2" x14ac:dyDescent="0.3">
      <c r="A1455" t="s">
        <v>1575</v>
      </c>
      <c r="B1455" t="s">
        <v>2808</v>
      </c>
    </row>
    <row r="1456" spans="1:2" x14ac:dyDescent="0.3">
      <c r="A1456" t="s">
        <v>1582</v>
      </c>
      <c r="B1456" t="s">
        <v>2809</v>
      </c>
    </row>
    <row r="1457" spans="1:2" x14ac:dyDescent="0.3">
      <c r="A1457" t="s">
        <v>1576</v>
      </c>
      <c r="B1457" t="s">
        <v>2810</v>
      </c>
    </row>
    <row r="1458" spans="1:2" x14ac:dyDescent="0.3">
      <c r="A1458" t="s">
        <v>1559</v>
      </c>
      <c r="B1458" t="s">
        <v>2811</v>
      </c>
    </row>
    <row r="1459" spans="1:2" x14ac:dyDescent="0.3">
      <c r="A1459" t="s">
        <v>1565</v>
      </c>
      <c r="B1459" t="s">
        <v>2812</v>
      </c>
    </row>
    <row r="1460" spans="1:2" x14ac:dyDescent="0.3">
      <c r="A1460" t="s">
        <v>1580</v>
      </c>
      <c r="B1460" t="s">
        <v>2813</v>
      </c>
    </row>
    <row r="1461" spans="1:2" x14ac:dyDescent="0.3">
      <c r="A1461" t="s">
        <v>1587</v>
      </c>
      <c r="B1461" t="s">
        <v>2814</v>
      </c>
    </row>
    <row r="1462" spans="1:2" x14ac:dyDescent="0.3">
      <c r="A1462" t="s">
        <v>1585</v>
      </c>
      <c r="B1462" t="s">
        <v>2815</v>
      </c>
    </row>
    <row r="1463" spans="1:2" x14ac:dyDescent="0.3">
      <c r="A1463" t="s">
        <v>1579</v>
      </c>
      <c r="B1463" t="s">
        <v>2816</v>
      </c>
    </row>
    <row r="1464" spans="1:2" x14ac:dyDescent="0.3">
      <c r="A1464" t="s">
        <v>1581</v>
      </c>
      <c r="B1464" t="s">
        <v>2817</v>
      </c>
    </row>
    <row r="1465" spans="1:2" x14ac:dyDescent="0.3">
      <c r="A1465" t="s">
        <v>1588</v>
      </c>
      <c r="B1465" t="s">
        <v>2818</v>
      </c>
    </row>
    <row r="1466" spans="1:2" x14ac:dyDescent="0.3">
      <c r="A1466" t="s">
        <v>1583</v>
      </c>
      <c r="B1466" t="s">
        <v>2819</v>
      </c>
    </row>
    <row r="1467" spans="1:2" x14ac:dyDescent="0.3">
      <c r="A1467" t="s">
        <v>1589</v>
      </c>
      <c r="B1467" t="s">
        <v>2820</v>
      </c>
    </row>
    <row r="1468" spans="1:2" x14ac:dyDescent="0.3">
      <c r="A1468" t="s">
        <v>1590</v>
      </c>
      <c r="B1468" t="s">
        <v>2821</v>
      </c>
    </row>
    <row r="1469" spans="1:2" x14ac:dyDescent="0.3">
      <c r="A1469" t="s">
        <v>1592</v>
      </c>
      <c r="B1469" t="s">
        <v>2822</v>
      </c>
    </row>
    <row r="1470" spans="1:2" x14ac:dyDescent="0.3">
      <c r="A1470" t="s">
        <v>1604</v>
      </c>
      <c r="B1470" t="s">
        <v>2823</v>
      </c>
    </row>
    <row r="1471" spans="1:2" x14ac:dyDescent="0.3">
      <c r="A1471" t="s">
        <v>1595</v>
      </c>
      <c r="B1471" t="s">
        <v>2824</v>
      </c>
    </row>
    <row r="1472" spans="1:2" x14ac:dyDescent="0.3">
      <c r="A1472" t="s">
        <v>1800</v>
      </c>
      <c r="B1472" t="s">
        <v>2825</v>
      </c>
    </row>
    <row r="1473" spans="1:2" x14ac:dyDescent="0.3">
      <c r="A1473" t="s">
        <v>1591</v>
      </c>
      <c r="B1473" t="s">
        <v>2826</v>
      </c>
    </row>
    <row r="1474" spans="1:2" x14ac:dyDescent="0.3">
      <c r="A1474" t="s">
        <v>1593</v>
      </c>
      <c r="B1474" t="s">
        <v>2827</v>
      </c>
    </row>
    <row r="1475" spans="1:2" x14ac:dyDescent="0.3">
      <c r="A1475" t="s">
        <v>1797</v>
      </c>
      <c r="B1475" t="s">
        <v>2828</v>
      </c>
    </row>
    <row r="1476" spans="1:2" x14ac:dyDescent="0.3">
      <c r="A1476" t="s">
        <v>1594</v>
      </c>
      <c r="B1476" t="s">
        <v>2829</v>
      </c>
    </row>
    <row r="1477" spans="1:2" x14ac:dyDescent="0.3">
      <c r="A1477" t="s">
        <v>1600</v>
      </c>
      <c r="B1477" t="s">
        <v>2830</v>
      </c>
    </row>
    <row r="1478" spans="1:2" x14ac:dyDescent="0.3">
      <c r="A1478" t="s">
        <v>1608</v>
      </c>
      <c r="B1478" t="s">
        <v>2831</v>
      </c>
    </row>
    <row r="1479" spans="1:2" x14ac:dyDescent="0.3">
      <c r="A1479" t="s">
        <v>1610</v>
      </c>
      <c r="B1479" t="s">
        <v>2832</v>
      </c>
    </row>
    <row r="1480" spans="1:2" x14ac:dyDescent="0.3">
      <c r="A1480" t="s">
        <v>1598</v>
      </c>
      <c r="B1480" t="s">
        <v>2833</v>
      </c>
    </row>
    <row r="1481" spans="1:2" x14ac:dyDescent="0.3">
      <c r="A1481" t="s">
        <v>1596</v>
      </c>
      <c r="B1481" t="s">
        <v>2834</v>
      </c>
    </row>
    <row r="1482" spans="1:2" x14ac:dyDescent="0.3">
      <c r="A1482" t="s">
        <v>1597</v>
      </c>
      <c r="B1482" t="s">
        <v>2835</v>
      </c>
    </row>
    <row r="1483" spans="1:2" x14ac:dyDescent="0.3">
      <c r="A1483" t="s">
        <v>1599</v>
      </c>
      <c r="B1483" t="s">
        <v>2836</v>
      </c>
    </row>
    <row r="1484" spans="1:2" x14ac:dyDescent="0.3">
      <c r="A1484" t="s">
        <v>1601</v>
      </c>
      <c r="B1484" t="s">
        <v>2837</v>
      </c>
    </row>
    <row r="1485" spans="1:2" x14ac:dyDescent="0.3">
      <c r="A1485" t="s">
        <v>1607</v>
      </c>
      <c r="B1485" t="s">
        <v>2838</v>
      </c>
    </row>
    <row r="1486" spans="1:2" x14ac:dyDescent="0.3">
      <c r="A1486" t="s">
        <v>1606</v>
      </c>
      <c r="B1486" t="s">
        <v>2839</v>
      </c>
    </row>
    <row r="1487" spans="1:2" x14ac:dyDescent="0.3">
      <c r="A1487" t="s">
        <v>1612</v>
      </c>
      <c r="B1487" t="s">
        <v>2840</v>
      </c>
    </row>
    <row r="1488" spans="1:2" x14ac:dyDescent="0.3">
      <c r="A1488" t="s">
        <v>1805</v>
      </c>
      <c r="B1488" t="s">
        <v>2841</v>
      </c>
    </row>
    <row r="1489" spans="1:2" x14ac:dyDescent="0.3">
      <c r="A1489" t="s">
        <v>1806</v>
      </c>
      <c r="B1489" t="s">
        <v>1911</v>
      </c>
    </row>
    <row r="1490" spans="1:2" x14ac:dyDescent="0.3">
      <c r="A1490" t="s">
        <v>1807</v>
      </c>
      <c r="B1490" t="s">
        <v>1964</v>
      </c>
    </row>
    <row r="1491" spans="1:2" x14ac:dyDescent="0.3">
      <c r="A1491" t="s">
        <v>1808</v>
      </c>
      <c r="B1491" t="s">
        <v>1965</v>
      </c>
    </row>
    <row r="2356" spans="1:2" x14ac:dyDescent="0.3">
      <c r="A2356" t="s">
        <v>1508</v>
      </c>
      <c r="B2356" t="s">
        <v>1905</v>
      </c>
    </row>
    <row r="2357" spans="1:2" x14ac:dyDescent="0.3">
      <c r="A2357" t="s">
        <v>1784</v>
      </c>
      <c r="B2357" t="s">
        <v>1906</v>
      </c>
    </row>
    <row r="2358" spans="1:2" x14ac:dyDescent="0.3">
      <c r="A2358" t="s">
        <v>1509</v>
      </c>
      <c r="B2358" t="s">
        <v>1907</v>
      </c>
    </row>
    <row r="2359" spans="1:2" x14ac:dyDescent="0.3">
      <c r="A2359" t="s">
        <v>1785</v>
      </c>
      <c r="B2359" t="s">
        <v>1908</v>
      </c>
    </row>
    <row r="2365" spans="1:2" x14ac:dyDescent="0.3">
      <c r="A2365" t="s">
        <v>1786</v>
      </c>
      <c r="B2365" t="s">
        <v>1909</v>
      </c>
    </row>
    <row r="2369" spans="1:2" x14ac:dyDescent="0.3">
      <c r="A2369" t="s">
        <v>1513</v>
      </c>
      <c r="B2369" t="s">
        <v>1880</v>
      </c>
    </row>
    <row r="2391" spans="1:2" x14ac:dyDescent="0.3">
      <c r="A2391" t="s">
        <v>1525</v>
      </c>
      <c r="B2391" t="s">
        <v>1881</v>
      </c>
    </row>
    <row r="2392" spans="1:2" x14ac:dyDescent="0.3">
      <c r="A2392" t="s">
        <v>1788</v>
      </c>
      <c r="B2392" t="s">
        <v>1881</v>
      </c>
    </row>
    <row r="2400" spans="1:2" x14ac:dyDescent="0.3">
      <c r="A2400" t="s">
        <v>1528</v>
      </c>
      <c r="B2400" t="s">
        <v>1910</v>
      </c>
    </row>
    <row r="2404" spans="1:2" x14ac:dyDescent="0.3">
      <c r="A2404" t="s">
        <v>1790</v>
      </c>
      <c r="B2404" t="s">
        <v>1911</v>
      </c>
    </row>
    <row r="2433" spans="1:2" x14ac:dyDescent="0.3">
      <c r="A2433" t="s">
        <v>1541</v>
      </c>
      <c r="B2433" t="s">
        <v>1912</v>
      </c>
    </row>
    <row r="2444" spans="1:2" x14ac:dyDescent="0.3">
      <c r="A2444" t="s">
        <v>1548</v>
      </c>
      <c r="B2444" t="s">
        <v>1882</v>
      </c>
    </row>
    <row r="2452" spans="1:2" x14ac:dyDescent="0.3">
      <c r="A2452" t="s">
        <v>1553</v>
      </c>
      <c r="B2452" t="s">
        <v>1913</v>
      </c>
    </row>
    <row r="2455" spans="1:2" x14ac:dyDescent="0.3">
      <c r="A2455" t="s">
        <v>1554</v>
      </c>
      <c r="B2455" t="s">
        <v>1914</v>
      </c>
    </row>
    <row r="2471" spans="1:2" x14ac:dyDescent="0.3">
      <c r="A2471" t="s">
        <v>1574</v>
      </c>
      <c r="B2471" t="s">
        <v>1915</v>
      </c>
    </row>
    <row r="2477" spans="1:2" x14ac:dyDescent="0.3">
      <c r="A2477" t="s">
        <v>1563</v>
      </c>
      <c r="B2477" t="s">
        <v>1916</v>
      </c>
    </row>
    <row r="2492" spans="1:2" x14ac:dyDescent="0.3">
      <c r="A2492" t="s">
        <v>1568</v>
      </c>
      <c r="B2492" t="s">
        <v>1917</v>
      </c>
    </row>
    <row r="2498" spans="1:2" x14ac:dyDescent="0.3">
      <c r="A2498" t="s">
        <v>1584</v>
      </c>
      <c r="B2498" t="s">
        <v>1918</v>
      </c>
    </row>
    <row r="2502" spans="1:2" x14ac:dyDescent="0.3">
      <c r="A2502" t="s">
        <v>1571</v>
      </c>
      <c r="B2502" t="s">
        <v>1883</v>
      </c>
    </row>
    <row r="2522" spans="1:2" x14ac:dyDescent="0.3">
      <c r="A2522" t="s">
        <v>1577</v>
      </c>
      <c r="B2522" t="s">
        <v>1919</v>
      </c>
    </row>
    <row r="2531" spans="1:2" x14ac:dyDescent="0.3">
      <c r="A2531" t="s">
        <v>1794</v>
      </c>
      <c r="B2531" t="s">
        <v>1884</v>
      </c>
    </row>
    <row r="2536" spans="1:2" x14ac:dyDescent="0.3">
      <c r="A2536" t="s">
        <v>1795</v>
      </c>
      <c r="B2536" t="s">
        <v>1920</v>
      </c>
    </row>
    <row r="2549" spans="1:2" x14ac:dyDescent="0.3">
      <c r="A2549" t="s">
        <v>1796</v>
      </c>
      <c r="B2549" t="s">
        <v>1921</v>
      </c>
    </row>
    <row r="2565" spans="1:2" x14ac:dyDescent="0.3">
      <c r="A2565" t="s">
        <v>1798</v>
      </c>
      <c r="B2565" t="s">
        <v>1922</v>
      </c>
    </row>
    <row r="2567" spans="1:2" x14ac:dyDescent="0.3">
      <c r="A2567" t="s">
        <v>1799</v>
      </c>
      <c r="B2567" t="s">
        <v>1923</v>
      </c>
    </row>
    <row r="2570" spans="1:2" x14ac:dyDescent="0.3">
      <c r="A2570" t="s">
        <v>664</v>
      </c>
      <c r="B2570" t="s">
        <v>1924</v>
      </c>
    </row>
    <row r="2585" spans="1:2" x14ac:dyDescent="0.3">
      <c r="A2585" t="s">
        <v>665</v>
      </c>
      <c r="B2585" t="s">
        <v>1925</v>
      </c>
    </row>
    <row r="2590" spans="1:2" x14ac:dyDescent="0.3">
      <c r="A2590" t="s">
        <v>1602</v>
      </c>
      <c r="B2590" t="s">
        <v>1926</v>
      </c>
    </row>
    <row r="2592" spans="1:2" x14ac:dyDescent="0.3">
      <c r="A2592" t="s">
        <v>1603</v>
      </c>
      <c r="B2592" t="s">
        <v>1927</v>
      </c>
    </row>
    <row r="2593" spans="1:2" x14ac:dyDescent="0.3">
      <c r="A2593" t="s">
        <v>1801</v>
      </c>
      <c r="B2593" t="s">
        <v>1928</v>
      </c>
    </row>
    <row r="2598" spans="1:2" x14ac:dyDescent="0.3">
      <c r="A2598" t="s">
        <v>1605</v>
      </c>
      <c r="B2598" t="s">
        <v>1929</v>
      </c>
    </row>
    <row r="2602" spans="1:2" x14ac:dyDescent="0.3">
      <c r="A2602" t="s">
        <v>1802</v>
      </c>
      <c r="B2602" t="s">
        <v>1930</v>
      </c>
    </row>
    <row r="2605" spans="1:2" x14ac:dyDescent="0.3">
      <c r="A2605" t="s">
        <v>1609</v>
      </c>
      <c r="B2605" t="s">
        <v>1931</v>
      </c>
    </row>
    <row r="2610" spans="1:2" x14ac:dyDescent="0.3">
      <c r="A2610" t="s">
        <v>663</v>
      </c>
      <c r="B2610" t="s">
        <v>1932</v>
      </c>
    </row>
    <row r="2611" spans="1:2" x14ac:dyDescent="0.3">
      <c r="A2611" t="s">
        <v>1611</v>
      </c>
      <c r="B2611" t="s">
        <v>1933</v>
      </c>
    </row>
    <row r="2612" spans="1:2" x14ac:dyDescent="0.3">
      <c r="A2612" t="s">
        <v>1803</v>
      </c>
      <c r="B2612" t="s">
        <v>1933</v>
      </c>
    </row>
    <row r="2614" spans="1:2" x14ac:dyDescent="0.3">
      <c r="A2614" t="s">
        <v>1804</v>
      </c>
      <c r="B2614" t="s">
        <v>1934</v>
      </c>
    </row>
    <row r="2616" spans="1:2" x14ac:dyDescent="0.3">
      <c r="A2616" t="s">
        <v>1613</v>
      </c>
      <c r="B2616" t="s">
        <v>1935</v>
      </c>
    </row>
    <row r="2617" spans="1:2" x14ac:dyDescent="0.3">
      <c r="A2617" t="s">
        <v>1614</v>
      </c>
      <c r="B2617" t="s">
        <v>1936</v>
      </c>
    </row>
    <row r="2619" spans="1:2" x14ac:dyDescent="0.3">
      <c r="A2619" t="s">
        <v>1615</v>
      </c>
      <c r="B2619" t="s">
        <v>1937</v>
      </c>
    </row>
    <row r="2621" spans="1:2" x14ac:dyDescent="0.3">
      <c r="A2621" t="s">
        <v>1616</v>
      </c>
      <c r="B2621" t="s">
        <v>1938</v>
      </c>
    </row>
    <row r="2623" spans="1:2" x14ac:dyDescent="0.3">
      <c r="A2623" t="s">
        <v>1617</v>
      </c>
      <c r="B2623" t="s">
        <v>1939</v>
      </c>
    </row>
    <row r="2624" spans="1:2" x14ac:dyDescent="0.3">
      <c r="A2624" t="s">
        <v>1809</v>
      </c>
      <c r="B2624" t="s">
        <v>1939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2"/>
  <sheetViews>
    <sheetView topLeftCell="Z1" workbookViewId="0">
      <selection activeCell="AN11" sqref="AN11:AN12"/>
    </sheetView>
  </sheetViews>
  <sheetFormatPr defaultRowHeight="14.4" x14ac:dyDescent="0.3"/>
  <cols>
    <col min="1" max="25" width="0" hidden="1" customWidth="1"/>
    <col min="30" max="38" width="0" hidden="1" customWidth="1"/>
    <col min="40" max="41" width="20.77734375" bestFit="1" customWidth="1"/>
  </cols>
  <sheetData>
    <row r="1" spans="1:4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N1" t="s">
        <v>125</v>
      </c>
      <c r="AO1" t="s">
        <v>126</v>
      </c>
    </row>
    <row r="2" spans="1:41" x14ac:dyDescent="0.3">
      <c r="A2">
        <v>3869</v>
      </c>
      <c r="B2">
        <v>4</v>
      </c>
      <c r="C2">
        <v>4032259</v>
      </c>
      <c r="D2">
        <v>27123</v>
      </c>
      <c r="E2">
        <v>2</v>
      </c>
      <c r="F2">
        <v>670050</v>
      </c>
      <c r="G2" t="s">
        <v>38</v>
      </c>
      <c r="H2" t="s">
        <v>41</v>
      </c>
      <c r="I2">
        <v>0</v>
      </c>
      <c r="J2" s="1">
        <v>405000</v>
      </c>
      <c r="K2" s="1">
        <v>281718.33199999999</v>
      </c>
      <c r="L2" s="1">
        <v>404635.15600000002</v>
      </c>
      <c r="M2" s="1">
        <v>282126.31599999999</v>
      </c>
      <c r="N2" t="s">
        <v>40</v>
      </c>
      <c r="P2" t="s">
        <v>40</v>
      </c>
      <c r="Q2">
        <v>0</v>
      </c>
      <c r="R2">
        <v>0</v>
      </c>
      <c r="S2">
        <v>0</v>
      </c>
      <c r="T2">
        <v>6</v>
      </c>
      <c r="U2">
        <v>6</v>
      </c>
      <c r="V2">
        <v>1</v>
      </c>
      <c r="W2">
        <v>2</v>
      </c>
      <c r="X2" t="s">
        <v>40</v>
      </c>
      <c r="Y2">
        <v>3</v>
      </c>
      <c r="Z2">
        <v>89</v>
      </c>
      <c r="AA2">
        <v>1</v>
      </c>
      <c r="AB2">
        <v>0</v>
      </c>
      <c r="AC2">
        <v>19.998000000000001</v>
      </c>
      <c r="AD2">
        <v>5059</v>
      </c>
      <c r="AH2">
        <v>0</v>
      </c>
      <c r="AI2">
        <v>0</v>
      </c>
      <c r="AL2" t="s">
        <v>40</v>
      </c>
      <c r="AM2" t="str">
        <f t="shared" ref="AM2:AM12" si="0">CONCATENATE(Z2, " ",AA2)</f>
        <v>89 1</v>
      </c>
      <c r="AN2" t="str">
        <f>ROUND(J2+1,3)&amp;","&amp;ROUND(K2,3)</f>
        <v>405001,281718.332</v>
      </c>
      <c r="AO2" t="str">
        <f>ROUND(L2+1,3)&amp;","&amp;ROUND(M2,3)</f>
        <v>404636.156,282126.316</v>
      </c>
    </row>
    <row r="3" spans="1:41" x14ac:dyDescent="0.3">
      <c r="A3">
        <v>3869</v>
      </c>
      <c r="B3">
        <v>4</v>
      </c>
      <c r="C3">
        <v>4032436</v>
      </c>
      <c r="D3">
        <v>28094</v>
      </c>
      <c r="E3">
        <v>2</v>
      </c>
      <c r="F3">
        <v>670050</v>
      </c>
      <c r="G3" t="s">
        <v>38</v>
      </c>
      <c r="H3" t="s">
        <v>42</v>
      </c>
      <c r="I3">
        <v>0</v>
      </c>
      <c r="J3" s="1">
        <v>405000</v>
      </c>
      <c r="K3" s="1">
        <v>281718.33199999999</v>
      </c>
      <c r="L3" s="1">
        <v>404846.86</v>
      </c>
      <c r="M3" s="1">
        <v>282000</v>
      </c>
      <c r="N3" t="s">
        <v>40</v>
      </c>
      <c r="P3" t="s">
        <v>40</v>
      </c>
      <c r="Q3">
        <v>0</v>
      </c>
      <c r="R3">
        <v>0</v>
      </c>
      <c r="S3">
        <v>0</v>
      </c>
      <c r="T3">
        <v>6</v>
      </c>
      <c r="U3">
        <v>6</v>
      </c>
      <c r="V3">
        <v>1</v>
      </c>
      <c r="W3">
        <v>2</v>
      </c>
      <c r="X3" t="s">
        <v>40</v>
      </c>
      <c r="Y3">
        <v>3</v>
      </c>
      <c r="Z3">
        <v>89</v>
      </c>
      <c r="AA3">
        <v>1</v>
      </c>
      <c r="AB3">
        <v>0</v>
      </c>
      <c r="AC3">
        <v>129.45400000000001</v>
      </c>
      <c r="AD3">
        <v>5059</v>
      </c>
      <c r="AH3">
        <v>0</v>
      </c>
      <c r="AI3">
        <v>0</v>
      </c>
      <c r="AL3" t="s">
        <v>40</v>
      </c>
      <c r="AM3" t="str">
        <f t="shared" si="0"/>
        <v>89 1</v>
      </c>
      <c r="AN3" t="str">
        <f>AN2</f>
        <v>405001,281718.332</v>
      </c>
      <c r="AO3" t="str">
        <f t="shared" ref="AO3" si="1">ROUND(L3,3)&amp;","&amp;ROUND(M3,3)</f>
        <v>404846.86,282000</v>
      </c>
    </row>
    <row r="4" spans="1:41" x14ac:dyDescent="0.3">
      <c r="A4">
        <v>3869</v>
      </c>
      <c r="B4">
        <v>4</v>
      </c>
      <c r="C4">
        <v>4032436</v>
      </c>
      <c r="D4">
        <v>28094</v>
      </c>
      <c r="E4">
        <v>2</v>
      </c>
      <c r="F4">
        <v>670050</v>
      </c>
      <c r="G4" t="s">
        <v>38</v>
      </c>
      <c r="H4" t="s">
        <v>42</v>
      </c>
      <c r="I4">
        <v>0</v>
      </c>
      <c r="J4" s="1">
        <v>405000</v>
      </c>
      <c r="K4" s="1">
        <v>281718.33199999999</v>
      </c>
      <c r="L4" s="1">
        <v>404846.86</v>
      </c>
      <c r="M4" s="1">
        <v>282000</v>
      </c>
      <c r="N4" t="s">
        <v>40</v>
      </c>
      <c r="P4" t="s">
        <v>40</v>
      </c>
      <c r="Q4">
        <v>0</v>
      </c>
      <c r="R4">
        <v>0</v>
      </c>
      <c r="S4">
        <v>0</v>
      </c>
      <c r="T4">
        <v>6</v>
      </c>
      <c r="U4">
        <v>6</v>
      </c>
      <c r="V4">
        <v>1</v>
      </c>
      <c r="W4">
        <v>2</v>
      </c>
      <c r="X4" t="s">
        <v>40</v>
      </c>
      <c r="Y4">
        <v>3</v>
      </c>
      <c r="Z4">
        <v>89</v>
      </c>
      <c r="AA4">
        <v>1</v>
      </c>
      <c r="AB4">
        <v>0</v>
      </c>
      <c r="AC4">
        <v>129.45400000000001</v>
      </c>
      <c r="AD4">
        <v>5059</v>
      </c>
      <c r="AH4">
        <v>0</v>
      </c>
      <c r="AI4">
        <v>0</v>
      </c>
      <c r="AL4" t="s">
        <v>40</v>
      </c>
      <c r="AM4" t="str">
        <f t="shared" si="0"/>
        <v>89 1</v>
      </c>
      <c r="AN4" s="5">
        <v>405000281718</v>
      </c>
      <c r="AO4" s="5">
        <v>404846282000</v>
      </c>
    </row>
    <row r="5" spans="1:41" x14ac:dyDescent="0.3">
      <c r="A5">
        <v>3869</v>
      </c>
      <c r="B5">
        <v>4</v>
      </c>
      <c r="C5">
        <v>4032436</v>
      </c>
      <c r="D5">
        <v>28094</v>
      </c>
      <c r="E5">
        <v>2</v>
      </c>
      <c r="F5">
        <v>670050</v>
      </c>
      <c r="G5" t="s">
        <v>38</v>
      </c>
      <c r="H5" t="s">
        <v>42</v>
      </c>
      <c r="I5">
        <v>0</v>
      </c>
      <c r="J5" s="1">
        <v>405000</v>
      </c>
      <c r="K5" s="1">
        <v>281718.33199999999</v>
      </c>
      <c r="L5" s="1">
        <v>404846.86</v>
      </c>
      <c r="M5" s="1">
        <v>282000</v>
      </c>
      <c r="N5" t="s">
        <v>40</v>
      </c>
      <c r="P5" t="s">
        <v>40</v>
      </c>
      <c r="Q5">
        <v>0</v>
      </c>
      <c r="R5">
        <v>0</v>
      </c>
      <c r="S5">
        <v>0</v>
      </c>
      <c r="T5">
        <v>6</v>
      </c>
      <c r="U5">
        <v>6</v>
      </c>
      <c r="V5">
        <v>1</v>
      </c>
      <c r="W5">
        <v>2</v>
      </c>
      <c r="X5" t="s">
        <v>40</v>
      </c>
      <c r="Y5">
        <v>3</v>
      </c>
      <c r="Z5">
        <v>89</v>
      </c>
      <c r="AA5">
        <v>0</v>
      </c>
      <c r="AB5">
        <v>0</v>
      </c>
      <c r="AC5">
        <v>129.45400000000001</v>
      </c>
      <c r="AD5">
        <v>5059</v>
      </c>
      <c r="AH5">
        <v>0</v>
      </c>
      <c r="AI5">
        <v>0</v>
      </c>
      <c r="AL5" t="s">
        <v>40</v>
      </c>
      <c r="AM5" t="str">
        <f t="shared" si="0"/>
        <v>89 0</v>
      </c>
      <c r="AN5" s="5">
        <v>405000281718</v>
      </c>
      <c r="AO5" s="5">
        <v>404846282001</v>
      </c>
    </row>
    <row r="6" spans="1:41" ht="15" customHeight="1" x14ac:dyDescent="0.3">
      <c r="A6">
        <v>3869</v>
      </c>
      <c r="B6">
        <v>4</v>
      </c>
      <c r="C6">
        <v>4032436</v>
      </c>
      <c r="D6">
        <v>28094</v>
      </c>
      <c r="E6">
        <v>2</v>
      </c>
      <c r="F6">
        <v>670050</v>
      </c>
      <c r="G6" t="s">
        <v>38</v>
      </c>
      <c r="H6" t="s">
        <v>42</v>
      </c>
      <c r="I6">
        <v>0</v>
      </c>
      <c r="J6" s="1">
        <v>405000</v>
      </c>
      <c r="K6" s="1">
        <v>281718.33199999999</v>
      </c>
      <c r="L6" s="1">
        <v>404846.86</v>
      </c>
      <c r="M6" s="1">
        <v>282000</v>
      </c>
      <c r="N6" t="s">
        <v>40</v>
      </c>
      <c r="P6" t="s">
        <v>40</v>
      </c>
      <c r="Q6">
        <v>0</v>
      </c>
      <c r="R6">
        <v>0</v>
      </c>
      <c r="S6">
        <v>0</v>
      </c>
      <c r="T6">
        <v>6</v>
      </c>
      <c r="U6">
        <v>6</v>
      </c>
      <c r="V6">
        <v>1</v>
      </c>
      <c r="W6">
        <v>2</v>
      </c>
      <c r="X6" t="s">
        <v>40</v>
      </c>
      <c r="Y6">
        <v>3</v>
      </c>
      <c r="Z6">
        <v>89</v>
      </c>
      <c r="AA6">
        <v>1</v>
      </c>
      <c r="AB6">
        <v>0</v>
      </c>
      <c r="AC6">
        <v>129.45400000000001</v>
      </c>
      <c r="AD6">
        <v>5059</v>
      </c>
      <c r="AH6">
        <v>0</v>
      </c>
      <c r="AI6">
        <v>0</v>
      </c>
      <c r="AL6" t="s">
        <v>40</v>
      </c>
      <c r="AM6" t="str">
        <f t="shared" si="0"/>
        <v>89 1</v>
      </c>
      <c r="AN6" s="5">
        <v>405000281718</v>
      </c>
      <c r="AO6" s="5">
        <v>404846282002</v>
      </c>
    </row>
    <row r="7" spans="1:41" ht="13.8" customHeight="1" x14ac:dyDescent="0.3">
      <c r="A7">
        <v>3869</v>
      </c>
      <c r="B7">
        <v>4</v>
      </c>
      <c r="C7">
        <v>4032259</v>
      </c>
      <c r="D7">
        <v>27123</v>
      </c>
      <c r="E7">
        <v>2</v>
      </c>
      <c r="F7">
        <v>670050</v>
      </c>
      <c r="G7" t="s">
        <v>38</v>
      </c>
      <c r="H7" t="s">
        <v>41</v>
      </c>
      <c r="I7">
        <v>0</v>
      </c>
      <c r="J7" s="1">
        <v>405000</v>
      </c>
      <c r="K7" s="1">
        <v>281718.33199999999</v>
      </c>
      <c r="L7" s="1">
        <v>404635.15600000002</v>
      </c>
      <c r="M7" s="1">
        <v>282126.31599999999</v>
      </c>
      <c r="N7" t="s">
        <v>40</v>
      </c>
      <c r="P7" t="s">
        <v>40</v>
      </c>
      <c r="Q7">
        <v>0</v>
      </c>
      <c r="R7">
        <v>0</v>
      </c>
      <c r="S7">
        <v>0</v>
      </c>
      <c r="T7">
        <v>6</v>
      </c>
      <c r="U7">
        <v>6</v>
      </c>
      <c r="V7">
        <v>1</v>
      </c>
      <c r="W7">
        <v>2</v>
      </c>
      <c r="X7" t="s">
        <v>40</v>
      </c>
      <c r="Y7">
        <v>3</v>
      </c>
      <c r="Z7">
        <v>89</v>
      </c>
      <c r="AA7">
        <v>1</v>
      </c>
      <c r="AB7">
        <v>0</v>
      </c>
      <c r="AC7">
        <v>19.998000000000001</v>
      </c>
      <c r="AD7">
        <v>5059</v>
      </c>
      <c r="AH7">
        <v>0</v>
      </c>
      <c r="AI7">
        <v>0</v>
      </c>
      <c r="AL7" t="s">
        <v>40</v>
      </c>
      <c r="AM7" t="str">
        <f t="shared" si="0"/>
        <v>89 1</v>
      </c>
      <c r="AN7" t="str">
        <f t="shared" ref="AN7" si="2">ROUND(J7,3)&amp;","&amp;ROUND(K7,3)</f>
        <v>405000,281718.332</v>
      </c>
      <c r="AO7" t="str">
        <f t="shared" ref="AO7" si="3">ROUND(L7,3)&amp;","&amp;ROUND(M7,3)</f>
        <v>404635.156,282126.316</v>
      </c>
    </row>
    <row r="8" spans="1:41" x14ac:dyDescent="0.3">
      <c r="A8">
        <v>3869</v>
      </c>
      <c r="B8">
        <v>4</v>
      </c>
      <c r="C8">
        <v>4032436</v>
      </c>
      <c r="D8">
        <v>28094</v>
      </c>
      <c r="E8">
        <v>2</v>
      </c>
      <c r="F8">
        <v>670050</v>
      </c>
      <c r="G8" t="s">
        <v>38</v>
      </c>
      <c r="H8" t="s">
        <v>42</v>
      </c>
      <c r="I8">
        <v>0</v>
      </c>
      <c r="J8" s="1">
        <v>405000</v>
      </c>
      <c r="K8" s="1">
        <v>281718.33199999999</v>
      </c>
      <c r="L8" s="1">
        <v>404846.86</v>
      </c>
      <c r="M8" s="1">
        <v>282000</v>
      </c>
      <c r="N8" t="s">
        <v>40</v>
      </c>
      <c r="P8" t="s">
        <v>40</v>
      </c>
      <c r="Q8">
        <v>0</v>
      </c>
      <c r="R8">
        <v>0</v>
      </c>
      <c r="S8">
        <v>0</v>
      </c>
      <c r="T8">
        <v>6</v>
      </c>
      <c r="U8">
        <v>6</v>
      </c>
      <c r="V8">
        <v>1</v>
      </c>
      <c r="W8">
        <v>2</v>
      </c>
      <c r="X8" t="s">
        <v>40</v>
      </c>
      <c r="Y8">
        <v>3</v>
      </c>
      <c r="Z8">
        <v>89</v>
      </c>
      <c r="AA8">
        <v>1</v>
      </c>
      <c r="AB8">
        <v>0</v>
      </c>
      <c r="AC8">
        <v>129.45400000000001</v>
      </c>
      <c r="AD8">
        <v>5059</v>
      </c>
      <c r="AH8">
        <v>0</v>
      </c>
      <c r="AI8">
        <v>0</v>
      </c>
      <c r="AL8" t="s">
        <v>40</v>
      </c>
      <c r="AM8" t="str">
        <f t="shared" si="0"/>
        <v>89 1</v>
      </c>
      <c r="AN8" t="str">
        <f>ROUND(J8,3)&amp;","&amp;ROUND(K8,3)-10</f>
        <v>405000,281708.332</v>
      </c>
      <c r="AO8" t="str">
        <f>AO7</f>
        <v>404635.156,282126.316</v>
      </c>
    </row>
    <row r="9" spans="1:41" ht="13.8" customHeight="1" x14ac:dyDescent="0.3">
      <c r="A9">
        <v>3869</v>
      </c>
      <c r="B9">
        <v>4</v>
      </c>
      <c r="C9">
        <v>4032259</v>
      </c>
      <c r="D9">
        <v>27123</v>
      </c>
      <c r="E9">
        <v>2</v>
      </c>
      <c r="F9">
        <v>670050</v>
      </c>
      <c r="G9" t="s">
        <v>38</v>
      </c>
      <c r="H9" t="s">
        <v>41</v>
      </c>
      <c r="I9">
        <v>0</v>
      </c>
      <c r="J9" s="1">
        <v>405000</v>
      </c>
      <c r="K9" s="1">
        <v>281718.33199999999</v>
      </c>
      <c r="L9" s="1">
        <v>404635.15600000002</v>
      </c>
      <c r="M9" s="1">
        <v>282126.31599999999</v>
      </c>
      <c r="N9" t="s">
        <v>40</v>
      </c>
      <c r="P9" t="s">
        <v>40</v>
      </c>
      <c r="Q9">
        <v>0</v>
      </c>
      <c r="R9">
        <v>0</v>
      </c>
      <c r="S9">
        <v>0</v>
      </c>
      <c r="T9">
        <v>6</v>
      </c>
      <c r="U9">
        <v>6</v>
      </c>
      <c r="V9">
        <v>1</v>
      </c>
      <c r="W9">
        <v>2</v>
      </c>
      <c r="X9" t="s">
        <v>40</v>
      </c>
      <c r="Y9">
        <v>3</v>
      </c>
      <c r="Z9">
        <v>89</v>
      </c>
      <c r="AA9">
        <v>1</v>
      </c>
      <c r="AB9">
        <v>0</v>
      </c>
      <c r="AC9">
        <v>19.998000000000001</v>
      </c>
      <c r="AD9">
        <v>5059</v>
      </c>
      <c r="AH9">
        <v>0</v>
      </c>
      <c r="AI9">
        <v>0</v>
      </c>
      <c r="AL9" t="s">
        <v>40</v>
      </c>
      <c r="AM9" t="str">
        <f t="shared" si="0"/>
        <v>89 1</v>
      </c>
      <c r="AN9" t="str">
        <f>ROUND(J9,3)&amp;","&amp;ROUND(K9,3)-20</f>
        <v>405000,281698.332</v>
      </c>
      <c r="AO9" t="s">
        <v>1887</v>
      </c>
    </row>
    <row r="10" spans="1:41" x14ac:dyDescent="0.3">
      <c r="A10">
        <v>3869</v>
      </c>
      <c r="B10">
        <v>4</v>
      </c>
      <c r="C10">
        <v>4032436</v>
      </c>
      <c r="D10">
        <v>28094</v>
      </c>
      <c r="E10">
        <v>2</v>
      </c>
      <c r="F10">
        <v>670050</v>
      </c>
      <c r="G10" t="s">
        <v>38</v>
      </c>
      <c r="H10" t="s">
        <v>42</v>
      </c>
      <c r="I10">
        <v>0</v>
      </c>
      <c r="J10" s="1">
        <v>405000</v>
      </c>
      <c r="K10" s="1">
        <v>281718.33199999999</v>
      </c>
      <c r="L10" s="1">
        <v>404846.86</v>
      </c>
      <c r="M10" s="1">
        <v>282000</v>
      </c>
      <c r="N10" t="s">
        <v>40</v>
      </c>
      <c r="P10" t="s">
        <v>40</v>
      </c>
      <c r="Q10">
        <v>0</v>
      </c>
      <c r="R10">
        <v>0</v>
      </c>
      <c r="S10">
        <v>0</v>
      </c>
      <c r="T10">
        <v>6</v>
      </c>
      <c r="U10">
        <v>6</v>
      </c>
      <c r="V10">
        <v>1</v>
      </c>
      <c r="W10">
        <v>2</v>
      </c>
      <c r="X10" t="s">
        <v>40</v>
      </c>
      <c r="Y10">
        <v>3</v>
      </c>
      <c r="Z10">
        <v>89</v>
      </c>
      <c r="AA10">
        <v>1</v>
      </c>
      <c r="AB10">
        <v>0</v>
      </c>
      <c r="AC10">
        <v>129.45400000000001</v>
      </c>
      <c r="AD10">
        <v>5059</v>
      </c>
      <c r="AH10">
        <v>0</v>
      </c>
      <c r="AI10">
        <v>0</v>
      </c>
      <c r="AL10" t="s">
        <v>40</v>
      </c>
      <c r="AM10" t="str">
        <f t="shared" si="0"/>
        <v>89 1</v>
      </c>
      <c r="AN10" t="str">
        <f>AO9</f>
        <v>404625.156,282126.316</v>
      </c>
      <c r="AO10" t="s">
        <v>1886</v>
      </c>
    </row>
    <row r="11" spans="1:41" ht="13.8" customHeight="1" x14ac:dyDescent="0.3">
      <c r="A11">
        <v>3869</v>
      </c>
      <c r="B11">
        <v>4</v>
      </c>
      <c r="C11">
        <v>4032259</v>
      </c>
      <c r="D11">
        <v>27123</v>
      </c>
      <c r="E11">
        <v>2</v>
      </c>
      <c r="F11">
        <v>670050</v>
      </c>
      <c r="G11" t="s">
        <v>38</v>
      </c>
      <c r="H11" t="s">
        <v>41</v>
      </c>
      <c r="I11">
        <v>0</v>
      </c>
      <c r="J11" s="1">
        <v>405000</v>
      </c>
      <c r="K11" s="1">
        <v>281718.33199999999</v>
      </c>
      <c r="L11" s="1">
        <v>404635.15600000002</v>
      </c>
      <c r="M11" s="1">
        <v>282126.31599999999</v>
      </c>
      <c r="N11" t="s">
        <v>40</v>
      </c>
      <c r="P11" t="s">
        <v>40</v>
      </c>
      <c r="Q11">
        <v>0</v>
      </c>
      <c r="R11">
        <v>0</v>
      </c>
      <c r="S11">
        <v>0</v>
      </c>
      <c r="T11">
        <v>6</v>
      </c>
      <c r="U11">
        <v>6</v>
      </c>
      <c r="V11">
        <v>1</v>
      </c>
      <c r="W11">
        <v>2</v>
      </c>
      <c r="X11" t="s">
        <v>40</v>
      </c>
      <c r="Y11">
        <v>3</v>
      </c>
      <c r="Z11">
        <v>89</v>
      </c>
      <c r="AA11">
        <v>1</v>
      </c>
      <c r="AB11">
        <v>0</v>
      </c>
      <c r="AC11">
        <v>19.998000000000001</v>
      </c>
      <c r="AD11">
        <v>5059</v>
      </c>
      <c r="AH11">
        <v>0</v>
      </c>
      <c r="AI11">
        <v>0</v>
      </c>
      <c r="AL11" t="s">
        <v>40</v>
      </c>
      <c r="AM11" t="str">
        <f t="shared" si="0"/>
        <v>89 1</v>
      </c>
      <c r="AN11" t="str">
        <f>AO12</f>
        <v>404846.86,282110</v>
      </c>
      <c r="AO11" t="str">
        <f>ROUND(K11+20,3)&amp;","&amp;ROUND(L11,3)</f>
        <v>281738.332,404635.156</v>
      </c>
    </row>
    <row r="12" spans="1:41" x14ac:dyDescent="0.3">
      <c r="A12">
        <v>3869</v>
      </c>
      <c r="B12">
        <v>4</v>
      </c>
      <c r="C12">
        <v>4032436</v>
      </c>
      <c r="D12">
        <v>28094</v>
      </c>
      <c r="E12">
        <v>2</v>
      </c>
      <c r="F12">
        <v>670050</v>
      </c>
      <c r="G12" t="s">
        <v>38</v>
      </c>
      <c r="H12" t="s">
        <v>42</v>
      </c>
      <c r="I12">
        <v>0</v>
      </c>
      <c r="J12" s="1">
        <v>405000</v>
      </c>
      <c r="K12" s="1">
        <v>281718.33199999999</v>
      </c>
      <c r="L12" s="1">
        <v>404846.86</v>
      </c>
      <c r="M12" s="1">
        <v>282000</v>
      </c>
      <c r="N12" t="s">
        <v>40</v>
      </c>
      <c r="P12" t="s">
        <v>40</v>
      </c>
      <c r="Q12">
        <v>0</v>
      </c>
      <c r="R12">
        <v>0</v>
      </c>
      <c r="S12">
        <v>0</v>
      </c>
      <c r="T12">
        <v>6</v>
      </c>
      <c r="U12">
        <v>6</v>
      </c>
      <c r="V12">
        <v>1</v>
      </c>
      <c r="W12">
        <v>2</v>
      </c>
      <c r="X12" t="s">
        <v>40</v>
      </c>
      <c r="Y12">
        <v>3</v>
      </c>
      <c r="Z12">
        <v>89</v>
      </c>
      <c r="AA12">
        <v>1</v>
      </c>
      <c r="AB12">
        <v>0</v>
      </c>
      <c r="AC12">
        <v>129.45400000000001</v>
      </c>
      <c r="AD12">
        <v>5059</v>
      </c>
      <c r="AH12">
        <v>0</v>
      </c>
      <c r="AI12">
        <v>0</v>
      </c>
      <c r="AL12" t="s">
        <v>40</v>
      </c>
      <c r="AM12" t="str">
        <f t="shared" si="0"/>
        <v>89 1</v>
      </c>
      <c r="AN12" t="str">
        <f>ROUND(J12+20,3)&amp;","&amp;ROUND(K12,3)</f>
        <v>405020,281718.332</v>
      </c>
      <c r="AO12" t="s">
        <v>1888</v>
      </c>
    </row>
  </sheetData>
  <conditionalFormatting sqref="AN11">
    <cfRule type="cellIs" dxfId="23" priority="4" operator="equal">
      <formula>"405102.72,281000"</formula>
    </cfRule>
  </conditionalFormatting>
  <conditionalFormatting sqref="AO11">
    <cfRule type="cellIs" dxfId="22" priority="2" operator="equal">
      <formula>"405102.72,281000"</formula>
    </cfRule>
  </conditionalFormatting>
  <conditionalFormatting sqref="AN9:AO9">
    <cfRule type="cellIs" dxfId="21" priority="6" operator="equal">
      <formula>"405102.72,281000"</formula>
    </cfRule>
  </conditionalFormatting>
  <conditionalFormatting sqref="AN7:AO7">
    <cfRule type="cellIs" dxfId="20" priority="8" operator="equal">
      <formula>"405102.72,281000"</formula>
    </cfRule>
  </conditionalFormatting>
  <conditionalFormatting sqref="AN5:AO5">
    <cfRule type="cellIs" dxfId="19" priority="10" operator="equal">
      <formula>"405102.72,281000"</formula>
    </cfRule>
  </conditionalFormatting>
  <conditionalFormatting sqref="AN6:AO6">
    <cfRule type="cellIs" dxfId="18" priority="9" operator="equal">
      <formula>"405102.72,281000"</formula>
    </cfRule>
  </conditionalFormatting>
  <conditionalFormatting sqref="AN2:AO2 AN4:AO4">
    <cfRule type="cellIs" dxfId="17" priority="12" operator="equal">
      <formula>"405102.72,281000"</formula>
    </cfRule>
  </conditionalFormatting>
  <conditionalFormatting sqref="AN3:AO3">
    <cfRule type="cellIs" dxfId="16" priority="11" operator="equal">
      <formula>"405102.72,281000"</formula>
    </cfRule>
  </conditionalFormatting>
  <conditionalFormatting sqref="AN8:AO8">
    <cfRule type="cellIs" dxfId="15" priority="7" operator="equal">
      <formula>"405102.72,281000"</formula>
    </cfRule>
  </conditionalFormatting>
  <conditionalFormatting sqref="AN10:AO10">
    <cfRule type="cellIs" dxfId="14" priority="5" operator="equal">
      <formula>"405102.72,281000"</formula>
    </cfRule>
  </conditionalFormatting>
  <conditionalFormatting sqref="AO12">
    <cfRule type="cellIs" dxfId="13" priority="3" operator="equal">
      <formula>"405102.72,281000"</formula>
    </cfRule>
  </conditionalFormatting>
  <conditionalFormatting sqref="AN12">
    <cfRule type="cellIs" dxfId="12" priority="1" operator="equal">
      <formula>"405102.72,281000"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12"/>
  <sheetViews>
    <sheetView topLeftCell="Z1" workbookViewId="0">
      <selection sqref="A1:XFD1048576"/>
    </sheetView>
  </sheetViews>
  <sheetFormatPr defaultRowHeight="14.4" x14ac:dyDescent="0.3"/>
  <cols>
    <col min="1" max="25" width="0" hidden="1" customWidth="1"/>
    <col min="30" max="38" width="0" hidden="1" customWidth="1"/>
    <col min="40" max="41" width="20.77734375" bestFit="1" customWidth="1"/>
  </cols>
  <sheetData>
    <row r="1" spans="1:4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N1" t="s">
        <v>125</v>
      </c>
      <c r="AO1" t="s">
        <v>126</v>
      </c>
    </row>
    <row r="2" spans="1:41" x14ac:dyDescent="0.3">
      <c r="A2">
        <v>3869</v>
      </c>
      <c r="B2">
        <v>4</v>
      </c>
      <c r="C2">
        <v>4032259</v>
      </c>
      <c r="D2">
        <v>27123</v>
      </c>
      <c r="E2">
        <v>2</v>
      </c>
      <c r="F2">
        <v>670050</v>
      </c>
      <c r="G2" t="s">
        <v>38</v>
      </c>
      <c r="H2" t="s">
        <v>41</v>
      </c>
      <c r="I2">
        <v>0</v>
      </c>
      <c r="J2" s="1">
        <v>405000</v>
      </c>
      <c r="K2" s="1">
        <v>281718.33199999999</v>
      </c>
      <c r="L2" s="1">
        <v>404635.15600000002</v>
      </c>
      <c r="M2" s="1">
        <v>282126.31599999999</v>
      </c>
      <c r="N2" t="s">
        <v>40</v>
      </c>
      <c r="P2" t="s">
        <v>40</v>
      </c>
      <c r="Q2">
        <v>0</v>
      </c>
      <c r="R2">
        <v>0</v>
      </c>
      <c r="S2">
        <v>0</v>
      </c>
      <c r="T2">
        <v>6</v>
      </c>
      <c r="U2">
        <v>6</v>
      </c>
      <c r="V2">
        <v>1</v>
      </c>
      <c r="W2">
        <v>2</v>
      </c>
      <c r="X2" t="s">
        <v>40</v>
      </c>
      <c r="Y2">
        <v>3</v>
      </c>
      <c r="Z2">
        <v>89</v>
      </c>
      <c r="AA2">
        <v>1</v>
      </c>
      <c r="AB2">
        <v>0</v>
      </c>
      <c r="AC2">
        <v>19.998000000000001</v>
      </c>
      <c r="AD2">
        <v>5059</v>
      </c>
      <c r="AH2">
        <v>0</v>
      </c>
      <c r="AI2">
        <v>0</v>
      </c>
      <c r="AL2" t="s">
        <v>40</v>
      </c>
      <c r="AM2" t="str">
        <f t="shared" ref="AM2:AM4" si="0">CONCATENATE(Z2, " ",AA2)</f>
        <v>89 1</v>
      </c>
      <c r="AN2" t="str">
        <f>ROUND(J2+1,3)&amp;","&amp;ROUND(K2,3)</f>
        <v>405001,281718.332</v>
      </c>
      <c r="AO2" t="str">
        <f>ROUND(L2+1,3)&amp;","&amp;ROUND(M2,3)</f>
        <v>404636.156,282126.316</v>
      </c>
    </row>
    <row r="3" spans="1:41" x14ac:dyDescent="0.3">
      <c r="A3">
        <v>3869</v>
      </c>
      <c r="B3">
        <v>4</v>
      </c>
      <c r="C3">
        <v>4032436</v>
      </c>
      <c r="D3">
        <v>28094</v>
      </c>
      <c r="E3">
        <v>2</v>
      </c>
      <c r="F3">
        <v>670050</v>
      </c>
      <c r="G3" t="s">
        <v>38</v>
      </c>
      <c r="H3" t="s">
        <v>42</v>
      </c>
      <c r="I3">
        <v>0</v>
      </c>
      <c r="J3" s="1">
        <v>405000</v>
      </c>
      <c r="K3" s="1">
        <v>281718.33199999999</v>
      </c>
      <c r="L3" s="1">
        <v>404846.86</v>
      </c>
      <c r="M3" s="1">
        <v>282000</v>
      </c>
      <c r="N3" t="s">
        <v>40</v>
      </c>
      <c r="P3" t="s">
        <v>40</v>
      </c>
      <c r="Q3">
        <v>0</v>
      </c>
      <c r="R3">
        <v>0</v>
      </c>
      <c r="S3">
        <v>0</v>
      </c>
      <c r="T3">
        <v>6</v>
      </c>
      <c r="U3">
        <v>6</v>
      </c>
      <c r="V3">
        <v>1</v>
      </c>
      <c r="W3">
        <v>2</v>
      </c>
      <c r="X3" t="s">
        <v>40</v>
      </c>
      <c r="Y3">
        <v>3</v>
      </c>
      <c r="Z3">
        <v>89</v>
      </c>
      <c r="AA3">
        <v>1</v>
      </c>
      <c r="AB3">
        <v>0</v>
      </c>
      <c r="AC3">
        <v>129.45400000000001</v>
      </c>
      <c r="AD3">
        <v>5059</v>
      </c>
      <c r="AH3">
        <v>0</v>
      </c>
      <c r="AI3">
        <v>0</v>
      </c>
      <c r="AL3" t="s">
        <v>40</v>
      </c>
      <c r="AM3" t="str">
        <f t="shared" ref="AM3" si="1">CONCATENATE(Z3, " ",AA3)</f>
        <v>89 1</v>
      </c>
      <c r="AN3" t="str">
        <f>AN2</f>
        <v>405001,281718.332</v>
      </c>
      <c r="AO3" t="str">
        <f t="shared" ref="AO3" si="2">ROUND(L3,3)&amp;","&amp;ROUND(M3,3)</f>
        <v>404846.86,282000</v>
      </c>
    </row>
    <row r="4" spans="1:41" x14ac:dyDescent="0.3">
      <c r="A4">
        <v>3869</v>
      </c>
      <c r="B4">
        <v>4</v>
      </c>
      <c r="C4">
        <v>4032436</v>
      </c>
      <c r="D4">
        <v>28094</v>
      </c>
      <c r="E4">
        <v>2</v>
      </c>
      <c r="F4">
        <v>670050</v>
      </c>
      <c r="G4" t="s">
        <v>38</v>
      </c>
      <c r="H4" t="s">
        <v>42</v>
      </c>
      <c r="I4">
        <v>0</v>
      </c>
      <c r="J4" s="1">
        <v>405000</v>
      </c>
      <c r="K4" s="1">
        <v>281718.33199999999</v>
      </c>
      <c r="L4" s="1">
        <v>404846.86</v>
      </c>
      <c r="M4" s="1">
        <v>282000</v>
      </c>
      <c r="N4" t="s">
        <v>40</v>
      </c>
      <c r="P4" t="s">
        <v>40</v>
      </c>
      <c r="Q4">
        <v>0</v>
      </c>
      <c r="R4">
        <v>0</v>
      </c>
      <c r="S4">
        <v>0</v>
      </c>
      <c r="T4">
        <v>6</v>
      </c>
      <c r="U4">
        <v>6</v>
      </c>
      <c r="V4">
        <v>1</v>
      </c>
      <c r="W4">
        <v>2</v>
      </c>
      <c r="X4" t="s">
        <v>40</v>
      </c>
      <c r="Y4">
        <v>3</v>
      </c>
      <c r="Z4">
        <v>89</v>
      </c>
      <c r="AA4">
        <v>1</v>
      </c>
      <c r="AB4">
        <v>0</v>
      </c>
      <c r="AC4">
        <v>129.45400000000001</v>
      </c>
      <c r="AD4">
        <v>5059</v>
      </c>
      <c r="AH4">
        <v>0</v>
      </c>
      <c r="AI4">
        <v>0</v>
      </c>
      <c r="AL4" t="s">
        <v>40</v>
      </c>
      <c r="AM4" t="str">
        <f t="shared" si="0"/>
        <v>89 1</v>
      </c>
      <c r="AN4" s="5">
        <v>405000281718</v>
      </c>
      <c r="AO4" s="5">
        <v>404846282000</v>
      </c>
    </row>
    <row r="5" spans="1:41" x14ac:dyDescent="0.3">
      <c r="A5">
        <v>3869</v>
      </c>
      <c r="B5">
        <v>4</v>
      </c>
      <c r="C5">
        <v>4032436</v>
      </c>
      <c r="D5">
        <v>28094</v>
      </c>
      <c r="E5">
        <v>2</v>
      </c>
      <c r="F5">
        <v>670050</v>
      </c>
      <c r="G5" t="s">
        <v>38</v>
      </c>
      <c r="H5" t="s">
        <v>42</v>
      </c>
      <c r="I5">
        <v>0</v>
      </c>
      <c r="J5" s="1">
        <v>405000</v>
      </c>
      <c r="K5" s="1">
        <v>281718.33199999999</v>
      </c>
      <c r="L5" s="1">
        <v>404846.86</v>
      </c>
      <c r="M5" s="1">
        <v>282000</v>
      </c>
      <c r="N5" t="s">
        <v>40</v>
      </c>
      <c r="P5" t="s">
        <v>40</v>
      </c>
      <c r="Q5">
        <v>0</v>
      </c>
      <c r="R5">
        <v>0</v>
      </c>
      <c r="S5">
        <v>0</v>
      </c>
      <c r="T5">
        <v>6</v>
      </c>
      <c r="U5">
        <v>6</v>
      </c>
      <c r="V5">
        <v>1</v>
      </c>
      <c r="W5">
        <v>2</v>
      </c>
      <c r="X5" t="s">
        <v>40</v>
      </c>
      <c r="Y5">
        <v>3</v>
      </c>
      <c r="Z5">
        <v>89</v>
      </c>
      <c r="AA5">
        <v>0</v>
      </c>
      <c r="AB5">
        <v>0</v>
      </c>
      <c r="AC5">
        <v>129.45400000000001</v>
      </c>
      <c r="AD5">
        <v>5059</v>
      </c>
      <c r="AH5">
        <v>0</v>
      </c>
      <c r="AI5">
        <v>0</v>
      </c>
      <c r="AL5" t="s">
        <v>40</v>
      </c>
      <c r="AM5" t="str">
        <f t="shared" ref="AM5" si="3">CONCATENATE(Z5, " ",AA5)</f>
        <v>89 0</v>
      </c>
      <c r="AN5" s="5">
        <v>405000281718</v>
      </c>
      <c r="AO5" s="5">
        <v>404846282001</v>
      </c>
    </row>
    <row r="6" spans="1:41" ht="15" customHeight="1" x14ac:dyDescent="0.3">
      <c r="A6">
        <v>3869</v>
      </c>
      <c r="B6">
        <v>4</v>
      </c>
      <c r="C6">
        <v>4032436</v>
      </c>
      <c r="D6">
        <v>28094</v>
      </c>
      <c r="E6">
        <v>2</v>
      </c>
      <c r="F6">
        <v>670050</v>
      </c>
      <c r="G6" t="s">
        <v>38</v>
      </c>
      <c r="H6" t="s">
        <v>42</v>
      </c>
      <c r="I6">
        <v>0</v>
      </c>
      <c r="J6" s="1">
        <v>405000</v>
      </c>
      <c r="K6" s="1">
        <v>281718.33199999999</v>
      </c>
      <c r="L6" s="1">
        <v>404846.86</v>
      </c>
      <c r="M6" s="1">
        <v>282000</v>
      </c>
      <c r="N6" t="s">
        <v>40</v>
      </c>
      <c r="P6" t="s">
        <v>40</v>
      </c>
      <c r="Q6">
        <v>0</v>
      </c>
      <c r="R6">
        <v>0</v>
      </c>
      <c r="S6">
        <v>0</v>
      </c>
      <c r="T6">
        <v>6</v>
      </c>
      <c r="U6">
        <v>6</v>
      </c>
      <c r="V6">
        <v>1</v>
      </c>
      <c r="W6">
        <v>2</v>
      </c>
      <c r="X6" t="s">
        <v>40</v>
      </c>
      <c r="Y6">
        <v>3</v>
      </c>
      <c r="Z6">
        <v>89</v>
      </c>
      <c r="AA6">
        <v>1</v>
      </c>
      <c r="AB6">
        <v>0</v>
      </c>
      <c r="AC6">
        <v>129.45400000000001</v>
      </c>
      <c r="AD6">
        <v>5059</v>
      </c>
      <c r="AH6">
        <v>0</v>
      </c>
      <c r="AI6">
        <v>0</v>
      </c>
      <c r="AL6" t="s">
        <v>40</v>
      </c>
      <c r="AM6" t="str">
        <f t="shared" ref="AM6:AM8" si="4">CONCATENATE(Z6, " ",AA6)</f>
        <v>89 1</v>
      </c>
      <c r="AN6" s="5">
        <v>405000281718</v>
      </c>
      <c r="AO6" s="5">
        <v>404846282002</v>
      </c>
    </row>
    <row r="7" spans="1:41" ht="13.8" customHeight="1" x14ac:dyDescent="0.3">
      <c r="A7">
        <v>3869</v>
      </c>
      <c r="B7">
        <v>4</v>
      </c>
      <c r="C7">
        <v>4032259</v>
      </c>
      <c r="D7">
        <v>27123</v>
      </c>
      <c r="E7">
        <v>2</v>
      </c>
      <c r="F7">
        <v>670050</v>
      </c>
      <c r="G7" t="s">
        <v>38</v>
      </c>
      <c r="H7" t="s">
        <v>41</v>
      </c>
      <c r="I7">
        <v>0</v>
      </c>
      <c r="J7" s="1">
        <v>405000</v>
      </c>
      <c r="K7" s="1">
        <v>281718.33199999999</v>
      </c>
      <c r="L7" s="1">
        <v>404635.15600000002</v>
      </c>
      <c r="M7" s="1">
        <v>282126.31599999999</v>
      </c>
      <c r="N7" t="s">
        <v>40</v>
      </c>
      <c r="P7" t="s">
        <v>40</v>
      </c>
      <c r="Q7">
        <v>0</v>
      </c>
      <c r="R7">
        <v>0</v>
      </c>
      <c r="S7">
        <v>0</v>
      </c>
      <c r="T7">
        <v>6</v>
      </c>
      <c r="U7">
        <v>6</v>
      </c>
      <c r="V7">
        <v>1</v>
      </c>
      <c r="W7">
        <v>2</v>
      </c>
      <c r="X7" t="s">
        <v>40</v>
      </c>
      <c r="Y7">
        <v>3</v>
      </c>
      <c r="Z7">
        <v>89</v>
      </c>
      <c r="AA7">
        <v>1</v>
      </c>
      <c r="AB7">
        <v>0</v>
      </c>
      <c r="AC7">
        <v>19.998000000000001</v>
      </c>
      <c r="AD7">
        <v>5059</v>
      </c>
      <c r="AH7">
        <v>0</v>
      </c>
      <c r="AI7">
        <v>0</v>
      </c>
      <c r="AL7" t="s">
        <v>40</v>
      </c>
      <c r="AM7" t="str">
        <f t="shared" si="4"/>
        <v>89 1</v>
      </c>
      <c r="AN7" t="str">
        <f t="shared" ref="AN7" si="5">ROUND(J7,3)&amp;","&amp;ROUND(K7,3)</f>
        <v>405000,281718.332</v>
      </c>
      <c r="AO7" t="str">
        <f t="shared" ref="AO7" si="6">ROUND(L7,3)&amp;","&amp;ROUND(M7,3)</f>
        <v>404635.156,282126.316</v>
      </c>
    </row>
    <row r="8" spans="1:41" x14ac:dyDescent="0.3">
      <c r="A8">
        <v>3869</v>
      </c>
      <c r="B8">
        <v>4</v>
      </c>
      <c r="C8">
        <v>4032436</v>
      </c>
      <c r="D8">
        <v>28094</v>
      </c>
      <c r="E8">
        <v>2</v>
      </c>
      <c r="F8">
        <v>670050</v>
      </c>
      <c r="G8" t="s">
        <v>38</v>
      </c>
      <c r="H8" t="s">
        <v>42</v>
      </c>
      <c r="I8">
        <v>0</v>
      </c>
      <c r="J8" s="1">
        <v>405000</v>
      </c>
      <c r="K8" s="1">
        <v>281718.33199999999</v>
      </c>
      <c r="L8" s="1">
        <v>404846.86</v>
      </c>
      <c r="M8" s="1">
        <v>282000</v>
      </c>
      <c r="N8" t="s">
        <v>40</v>
      </c>
      <c r="P8" t="s">
        <v>40</v>
      </c>
      <c r="Q8">
        <v>0</v>
      </c>
      <c r="R8">
        <v>0</v>
      </c>
      <c r="S8">
        <v>0</v>
      </c>
      <c r="T8">
        <v>6</v>
      </c>
      <c r="U8">
        <v>6</v>
      </c>
      <c r="V8">
        <v>1</v>
      </c>
      <c r="W8">
        <v>2</v>
      </c>
      <c r="X8" t="s">
        <v>40</v>
      </c>
      <c r="Y8">
        <v>3</v>
      </c>
      <c r="Z8">
        <v>89</v>
      </c>
      <c r="AA8">
        <v>1</v>
      </c>
      <c r="AB8">
        <v>0</v>
      </c>
      <c r="AC8">
        <v>129.45400000000001</v>
      </c>
      <c r="AD8">
        <v>5059</v>
      </c>
      <c r="AH8">
        <v>0</v>
      </c>
      <c r="AI8">
        <v>0</v>
      </c>
      <c r="AL8" t="s">
        <v>40</v>
      </c>
      <c r="AM8" t="str">
        <f t="shared" si="4"/>
        <v>89 1</v>
      </c>
      <c r="AN8" t="str">
        <f>ROUND(J8,3)&amp;","&amp;ROUND(K8,3)-10</f>
        <v>405000,281708.332</v>
      </c>
      <c r="AO8" t="str">
        <f>AO7</f>
        <v>404635.156,282126.316</v>
      </c>
    </row>
    <row r="9" spans="1:41" ht="13.8" customHeight="1" x14ac:dyDescent="0.3">
      <c r="A9">
        <v>3869</v>
      </c>
      <c r="B9">
        <v>4</v>
      </c>
      <c r="C9">
        <v>4032259</v>
      </c>
      <c r="D9">
        <v>27123</v>
      </c>
      <c r="E9">
        <v>2</v>
      </c>
      <c r="F9">
        <v>670050</v>
      </c>
      <c r="G9" t="s">
        <v>38</v>
      </c>
      <c r="H9" t="s">
        <v>41</v>
      </c>
      <c r="I9">
        <v>0</v>
      </c>
      <c r="J9" s="1">
        <v>405000</v>
      </c>
      <c r="K9" s="1">
        <v>281718.33199999999</v>
      </c>
      <c r="L9" s="1">
        <v>404635.15600000002</v>
      </c>
      <c r="M9" s="1">
        <v>282126.31599999999</v>
      </c>
      <c r="N9" t="s">
        <v>40</v>
      </c>
      <c r="P9" t="s">
        <v>40</v>
      </c>
      <c r="Q9">
        <v>0</v>
      </c>
      <c r="R9">
        <v>0</v>
      </c>
      <c r="S9">
        <v>0</v>
      </c>
      <c r="T9">
        <v>6</v>
      </c>
      <c r="U9">
        <v>6</v>
      </c>
      <c r="V9">
        <v>1</v>
      </c>
      <c r="W9">
        <v>2</v>
      </c>
      <c r="X9" t="s">
        <v>40</v>
      </c>
      <c r="Y9">
        <v>3</v>
      </c>
      <c r="Z9">
        <v>89</v>
      </c>
      <c r="AA9">
        <v>1</v>
      </c>
      <c r="AB9">
        <v>0</v>
      </c>
      <c r="AC9">
        <v>19.998000000000001</v>
      </c>
      <c r="AD9">
        <v>5059</v>
      </c>
      <c r="AH9">
        <v>0</v>
      </c>
      <c r="AI9">
        <v>0</v>
      </c>
      <c r="AL9" t="s">
        <v>40</v>
      </c>
      <c r="AM9" t="str">
        <f t="shared" ref="AM9:AM10" si="7">CONCATENATE(Z9, " ",AA9)</f>
        <v>89 1</v>
      </c>
      <c r="AN9" t="str">
        <f>ROUND(J9,3)&amp;","&amp;ROUND(K9,3)-20</f>
        <v>405000,281698.332</v>
      </c>
      <c r="AO9" t="s">
        <v>1887</v>
      </c>
    </row>
    <row r="10" spans="1:41" x14ac:dyDescent="0.3">
      <c r="A10">
        <v>3869</v>
      </c>
      <c r="B10">
        <v>4</v>
      </c>
      <c r="C10">
        <v>4032436</v>
      </c>
      <c r="D10">
        <v>28094</v>
      </c>
      <c r="E10">
        <v>2</v>
      </c>
      <c r="F10">
        <v>670050</v>
      </c>
      <c r="G10" t="s">
        <v>38</v>
      </c>
      <c r="H10" t="s">
        <v>42</v>
      </c>
      <c r="I10">
        <v>0</v>
      </c>
      <c r="J10" s="1">
        <v>405000</v>
      </c>
      <c r="K10" s="1">
        <v>281718.33199999999</v>
      </c>
      <c r="L10" s="1">
        <v>404846.86</v>
      </c>
      <c r="M10" s="1">
        <v>282000</v>
      </c>
      <c r="N10" t="s">
        <v>40</v>
      </c>
      <c r="P10" t="s">
        <v>40</v>
      </c>
      <c r="Q10">
        <v>0</v>
      </c>
      <c r="R10">
        <v>0</v>
      </c>
      <c r="S10">
        <v>0</v>
      </c>
      <c r="T10">
        <v>6</v>
      </c>
      <c r="U10">
        <v>6</v>
      </c>
      <c r="V10">
        <v>1</v>
      </c>
      <c r="W10">
        <v>2</v>
      </c>
      <c r="X10" t="s">
        <v>40</v>
      </c>
      <c r="Y10">
        <v>3</v>
      </c>
      <c r="Z10">
        <v>89</v>
      </c>
      <c r="AA10">
        <v>1</v>
      </c>
      <c r="AB10">
        <v>0</v>
      </c>
      <c r="AC10">
        <v>129.45400000000001</v>
      </c>
      <c r="AD10">
        <v>5059</v>
      </c>
      <c r="AH10">
        <v>0</v>
      </c>
      <c r="AI10">
        <v>0</v>
      </c>
      <c r="AL10" t="s">
        <v>40</v>
      </c>
      <c r="AM10" t="str">
        <f t="shared" si="7"/>
        <v>89 1</v>
      </c>
      <c r="AN10" t="str">
        <f>AO9</f>
        <v>404625.156,282126.316</v>
      </c>
      <c r="AO10" t="s">
        <v>1886</v>
      </c>
    </row>
    <row r="11" spans="1:41" ht="13.8" customHeight="1" x14ac:dyDescent="0.3">
      <c r="A11">
        <v>3869</v>
      </c>
      <c r="B11">
        <v>4</v>
      </c>
      <c r="C11">
        <v>4032259</v>
      </c>
      <c r="D11">
        <v>27123</v>
      </c>
      <c r="E11">
        <v>2</v>
      </c>
      <c r="F11">
        <v>670050</v>
      </c>
      <c r="G11" t="s">
        <v>38</v>
      </c>
      <c r="H11" t="s">
        <v>41</v>
      </c>
      <c r="I11">
        <v>0</v>
      </c>
      <c r="J11" s="1">
        <v>405000</v>
      </c>
      <c r="K11" s="1">
        <v>281718.33199999999</v>
      </c>
      <c r="L11" s="1">
        <v>404635.15600000002</v>
      </c>
      <c r="M11" s="1">
        <v>282126.31599999999</v>
      </c>
      <c r="N11" t="s">
        <v>40</v>
      </c>
      <c r="P11" t="s">
        <v>40</v>
      </c>
      <c r="Q11">
        <v>0</v>
      </c>
      <c r="R11">
        <v>0</v>
      </c>
      <c r="S11">
        <v>0</v>
      </c>
      <c r="T11">
        <v>6</v>
      </c>
      <c r="U11">
        <v>6</v>
      </c>
      <c r="V11">
        <v>1</v>
      </c>
      <c r="W11">
        <v>2</v>
      </c>
      <c r="X11" t="s">
        <v>40</v>
      </c>
      <c r="Y11">
        <v>3</v>
      </c>
      <c r="Z11">
        <v>89</v>
      </c>
      <c r="AA11">
        <v>1</v>
      </c>
      <c r="AB11">
        <v>0</v>
      </c>
      <c r="AC11">
        <v>19.998000000000001</v>
      </c>
      <c r="AD11">
        <v>5059</v>
      </c>
      <c r="AH11">
        <v>0</v>
      </c>
      <c r="AI11">
        <v>0</v>
      </c>
      <c r="AL11" t="s">
        <v>40</v>
      </c>
      <c r="AM11" t="str">
        <f t="shared" ref="AM11:AM12" si="8">CONCATENATE(Z11, " ",AA11)</f>
        <v>89 1</v>
      </c>
      <c r="AN11" t="str">
        <f>AO12</f>
        <v>404846.86,282110</v>
      </c>
      <c r="AO11" t="str">
        <f>ROUND(K11+20,3)&amp;","&amp;ROUND(L11,3)</f>
        <v>281738.332,404635.156</v>
      </c>
    </row>
    <row r="12" spans="1:41" x14ac:dyDescent="0.3">
      <c r="A12">
        <v>3869</v>
      </c>
      <c r="B12">
        <v>4</v>
      </c>
      <c r="C12">
        <v>4032436</v>
      </c>
      <c r="D12">
        <v>28094</v>
      </c>
      <c r="E12">
        <v>2</v>
      </c>
      <c r="F12">
        <v>670050</v>
      </c>
      <c r="G12" t="s">
        <v>38</v>
      </c>
      <c r="H12" t="s">
        <v>42</v>
      </c>
      <c r="I12">
        <v>0</v>
      </c>
      <c r="J12" s="1">
        <v>405000</v>
      </c>
      <c r="K12" s="1">
        <v>281718.33199999999</v>
      </c>
      <c r="L12" s="1">
        <v>404846.86</v>
      </c>
      <c r="M12" s="1">
        <v>282000</v>
      </c>
      <c r="N12" t="s">
        <v>40</v>
      </c>
      <c r="P12" t="s">
        <v>40</v>
      </c>
      <c r="Q12">
        <v>0</v>
      </c>
      <c r="R12">
        <v>0</v>
      </c>
      <c r="S12">
        <v>0</v>
      </c>
      <c r="T12">
        <v>6</v>
      </c>
      <c r="U12">
        <v>6</v>
      </c>
      <c r="V12">
        <v>1</v>
      </c>
      <c r="W12">
        <v>2</v>
      </c>
      <c r="X12" t="s">
        <v>40</v>
      </c>
      <c r="Y12">
        <v>3</v>
      </c>
      <c r="Z12">
        <v>89</v>
      </c>
      <c r="AA12">
        <v>1</v>
      </c>
      <c r="AB12">
        <v>0</v>
      </c>
      <c r="AC12">
        <v>129.45400000000001</v>
      </c>
      <c r="AD12">
        <v>5059</v>
      </c>
      <c r="AH12">
        <v>0</v>
      </c>
      <c r="AI12">
        <v>0</v>
      </c>
      <c r="AL12" t="s">
        <v>40</v>
      </c>
      <c r="AM12" t="str">
        <f t="shared" si="8"/>
        <v>89 1</v>
      </c>
      <c r="AN12" t="str">
        <f>ROUND(J12+20,3)&amp;","&amp;ROUND(K12,3)</f>
        <v>405020,281718.332</v>
      </c>
      <c r="AO12" t="s">
        <v>1888</v>
      </c>
    </row>
  </sheetData>
  <conditionalFormatting sqref="AN2:AO2 AN4:AO4">
    <cfRule type="cellIs" dxfId="11" priority="18" operator="equal">
      <formula>"405102.72,281000"</formula>
    </cfRule>
  </conditionalFormatting>
  <conditionalFormatting sqref="AN5:AO5">
    <cfRule type="cellIs" dxfId="10" priority="11" operator="equal">
      <formula>"405102.72,281000"</formula>
    </cfRule>
  </conditionalFormatting>
  <conditionalFormatting sqref="AN3:AO3">
    <cfRule type="cellIs" dxfId="9" priority="12" operator="equal">
      <formula>"405102.72,281000"</formula>
    </cfRule>
  </conditionalFormatting>
  <conditionalFormatting sqref="AN6:AO6">
    <cfRule type="cellIs" dxfId="8" priority="10" operator="equal">
      <formula>"405102.72,281000"</formula>
    </cfRule>
  </conditionalFormatting>
  <conditionalFormatting sqref="AN7:AO7">
    <cfRule type="cellIs" dxfId="7" priority="9" operator="equal">
      <formula>"405102.72,281000"</formula>
    </cfRule>
  </conditionalFormatting>
  <conditionalFormatting sqref="AN8:AO8">
    <cfRule type="cellIs" dxfId="6" priority="8" operator="equal">
      <formula>"405102.72,281000"</formula>
    </cfRule>
  </conditionalFormatting>
  <conditionalFormatting sqref="AN9:AO9">
    <cfRule type="cellIs" dxfId="5" priority="7" operator="equal">
      <formula>"405102.72,281000"</formula>
    </cfRule>
  </conditionalFormatting>
  <conditionalFormatting sqref="AN10:AO10">
    <cfRule type="cellIs" dxfId="4" priority="6" operator="equal">
      <formula>"405102.72,281000"</formula>
    </cfRule>
  </conditionalFormatting>
  <conditionalFormatting sqref="AN11">
    <cfRule type="cellIs" dxfId="3" priority="5" operator="equal">
      <formula>"405102.72,281000"</formula>
    </cfRule>
  </conditionalFormatting>
  <conditionalFormatting sqref="AO12">
    <cfRule type="cellIs" dxfId="2" priority="4" operator="equal">
      <formula>"405102.72,281000"</formula>
    </cfRule>
  </conditionalFormatting>
  <conditionalFormatting sqref="AN12">
    <cfRule type="cellIs" dxfId="1" priority="1" operator="equal">
      <formula>"405102.72,281000"</formula>
    </cfRule>
  </conditionalFormatting>
  <conditionalFormatting sqref="AO11">
    <cfRule type="cellIs" dxfId="0" priority="3" operator="equal">
      <formula>"405102.72,281000"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qry_UgCable</vt:lpstr>
      <vt:lpstr>Sheet1</vt:lpstr>
      <vt:lpstr>test</vt:lpstr>
      <vt:lpstr>data</vt:lpstr>
      <vt:lpstr>qry_UgCable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Proffitt, Alex</dc:creator>
  <cp:lastModifiedBy>Yuchen Wang</cp:lastModifiedBy>
  <dcterms:created xsi:type="dcterms:W3CDTF">2013-06-11T13:43:06Z</dcterms:created>
  <dcterms:modified xsi:type="dcterms:W3CDTF">2016-06-10T15:18:46Z</dcterms:modified>
</cp:coreProperties>
</file>