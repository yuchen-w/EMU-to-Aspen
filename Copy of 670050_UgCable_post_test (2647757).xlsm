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 activeTab="2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N7" i="3" l="1"/>
  <c r="AM7" i="3"/>
  <c r="AO6" i="3"/>
  <c r="AO7" i="3" s="1"/>
  <c r="AN6" i="3"/>
  <c r="AM6" i="3"/>
  <c r="AM5" i="3"/>
  <c r="AM4" i="3"/>
  <c r="AM3" i="3"/>
  <c r="AM2" i="3"/>
  <c r="AO8" i="4"/>
  <c r="AN8" i="4"/>
  <c r="AM8" i="4"/>
  <c r="AO7" i="4"/>
  <c r="AN7" i="4"/>
  <c r="AM7" i="4"/>
  <c r="AO3" i="4"/>
  <c r="AN3" i="4"/>
  <c r="AM3" i="4"/>
  <c r="AM6" i="4"/>
  <c r="AM5" i="4"/>
  <c r="AM4" i="4"/>
  <c r="AO2" i="4"/>
  <c r="AN2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<sst xmlns="http://schemas.openxmlformats.org/spreadsheetml/2006/main" count="16412" uniqueCount="4128">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</sst>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opLeftCell="F1" workbookViewId="0">
      <selection activeCell="J2" sqref="J2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  <c r="AQ2" t="s">
        <v>152</v>
      </c>
      <c r="AR2" t="s">
        <v>3571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  <c r="AQ3" t="s">
        <v>152</v>
      </c>
      <c r="AR3" t="s">
        <v>141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  <c r="AQ4" t="s">
        <v>141</v>
      </c>
      <c r="AR4" t="s">
        <v>3572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  <c r="AQ5" t="s">
        <v>3572</v>
      </c>
      <c r="AR5" t="s">
        <v>153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  <c r="AQ6" t="s">
        <v>153</v>
      </c>
      <c r="AR6" t="s">
        <v>710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  <c r="AQ7" t="s">
        <v>154</v>
      </c>
      <c r="AR7" t="s">
        <v>132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  <c r="AQ8" t="s">
        <v>155</v>
      </c>
      <c r="AR8" t="s">
        <v>132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 t="s">
        <v>156</v>
      </c>
      <c r="AR9" s="2" t="s">
        <v>156</v>
      </c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 t="s">
        <v>157</v>
      </c>
      <c r="AR10" s="2" t="s">
        <v>156</v>
      </c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  <c r="AQ11" t="s">
        <v>157</v>
      </c>
      <c r="AR11" t="s">
        <v>154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  <c r="AQ12" t="s">
        <v>3573</v>
      </c>
      <c r="AR12" t="s">
        <v>155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  <c r="AQ13" t="s">
        <v>3574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13" priority="5" operator="containsText" text="Joint16">
      <formula>NOT(ISERROR(SEARCH("Joint16",AQ2)))</formula>
    </cfRule>
  </conditionalFormatting>
  <conditionalFormatting sqref="AN2:AO1915">
    <cfRule type="cellIs" dxfId="12" priority="3" operator="equal">
      <formula>"405102.72,281000"</formula>
    </cfRule>
  </conditionalFormatting>
  <conditionalFormatting sqref="AQ1:AR1048576">
    <cfRule type="expression" dxfId="11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7"/>
  <sheetViews>
    <sheetView tabSelected="1" topLeftCell="Y1" workbookViewId="0">
      <selection activeCell="AD2" sqref="AD2"/>
    </sheetView>
  </sheetViews>
  <sheetFormatPr defaultRowHeight="14.4" x14ac:dyDescent="0.3"/>
  <cols>
    <col min="1" max="25" width="8.88671875" customWidth="1"/>
    <col min="30" max="38" width="8.88671875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12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10118</v>
      </c>
      <c r="AH2">
        <v>0</v>
      </c>
      <c r="AI2">
        <v>0</v>
      </c>
      <c r="AL2" t="s">
        <v>40</v>
      </c>
      <c r="AM2" t="str">
        <f t="shared" ref="AM2:AM7" si="0">CONCATENATE(Z2, " ",AA2)</f>
        <v>89 1</v>
      </c>
      <c r="AN2" t="s">
        <v>931</v>
      </c>
      <c r="AO2" t="s">
        <v>139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s="5">
        <v>405000281718</v>
      </c>
      <c r="AO3" s="5">
        <v>404846282000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0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89 0</v>
      </c>
      <c r="AN4" s="5">
        <v>405000281718</v>
      </c>
      <c r="AO4" s="5">
        <v>404846282001</v>
      </c>
    </row>
    <row r="5" spans="1:41" ht="15" customHeight="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1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89 1</v>
      </c>
      <c r="AN5" s="5">
        <v>405000281718</v>
      </c>
      <c r="AO5" s="5">
        <v>404846282002</v>
      </c>
    </row>
    <row r="6" spans="1:41" ht="13.8" customHeight="1" x14ac:dyDescent="0.3">
      <c r="A6">
        <v>3869</v>
      </c>
      <c r="B6">
        <v>4</v>
      </c>
      <c r="C6">
        <v>4032259</v>
      </c>
      <c r="D6">
        <v>27123</v>
      </c>
      <c r="E6">
        <v>2</v>
      </c>
      <c r="F6">
        <v>670050</v>
      </c>
      <c r="G6" t="s">
        <v>38</v>
      </c>
      <c r="H6" t="s">
        <v>41</v>
      </c>
      <c r="I6">
        <v>0</v>
      </c>
      <c r="J6" s="1">
        <v>405000</v>
      </c>
      <c r="K6" s="1">
        <v>281718.33199999999</v>
      </c>
      <c r="L6" s="1">
        <v>404635.15600000002</v>
      </c>
      <c r="M6" s="1">
        <v>282126.31599999999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19.998000000000001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t="str">
        <f t="shared" ref="AN6:AN7" si="1">ROUND(J6,3)&amp;","&amp;ROUND(K6,3)</f>
        <v>405000,281718.332</v>
      </c>
      <c r="AO6" t="str">
        <f t="shared" ref="AO6:AO7" si="2">ROUND(L6,3)&amp;","&amp;ROUND(M6,3)</f>
        <v>404635.156,282126.316</v>
      </c>
    </row>
    <row r="7" spans="1:41" x14ac:dyDescent="0.3">
      <c r="A7">
        <v>3869</v>
      </c>
      <c r="B7">
        <v>4</v>
      </c>
      <c r="C7">
        <v>4032436</v>
      </c>
      <c r="D7">
        <v>28094</v>
      </c>
      <c r="E7">
        <v>2</v>
      </c>
      <c r="F7">
        <v>670050</v>
      </c>
      <c r="G7" t="s">
        <v>38</v>
      </c>
      <c r="H7" t="s">
        <v>42</v>
      </c>
      <c r="I7">
        <v>0</v>
      </c>
      <c r="J7" s="1">
        <v>405000</v>
      </c>
      <c r="K7" s="1">
        <v>281718.33199999999</v>
      </c>
      <c r="L7" s="1">
        <v>404846.86</v>
      </c>
      <c r="M7" s="1">
        <v>282000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129.45400000000001</v>
      </c>
      <c r="AD7">
        <v>5059</v>
      </c>
      <c r="AH7">
        <v>0</v>
      </c>
      <c r="AI7">
        <v>0</v>
      </c>
      <c r="AL7" t="s">
        <v>40</v>
      </c>
      <c r="AM7" t="str">
        <f t="shared" si="0"/>
        <v>89 1</v>
      </c>
      <c r="AN7" t="str">
        <f>ROUND(J7,3)&amp;","&amp;ROUND(K7,3)-10</f>
        <v>405000,281708.332</v>
      </c>
      <c r="AO7" t="str">
        <f>AO6</f>
        <v>404635.156,282126.316</v>
      </c>
    </row>
  </sheetData>
  <conditionalFormatting sqref="AN5:AO5">
    <cfRule type="cellIs" dxfId="10" priority="3" operator="equal">
      <formula>"405102.72,281000"</formula>
    </cfRule>
  </conditionalFormatting>
  <conditionalFormatting sqref="AN7:AO7">
    <cfRule type="cellIs" dxfId="9" priority="1" operator="equal">
      <formula>"405102.72,281000"</formula>
    </cfRule>
  </conditionalFormatting>
  <conditionalFormatting sqref="AN4:AO4">
    <cfRule type="cellIs" dxfId="8" priority="4" operator="equal">
      <formula>"405102.72,281000"</formula>
    </cfRule>
  </conditionalFormatting>
  <conditionalFormatting sqref="AN6:AO6">
    <cfRule type="cellIs" dxfId="7" priority="2" operator="equal">
      <formula>"405102.72,281000"</formula>
    </cfRule>
  </conditionalFormatting>
  <conditionalFormatting sqref="AN2:AO3">
    <cfRule type="cellIs" dxfId="6" priority="6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8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 t="shared" ref="AN2:AN4" si="1">ROUND(J2,3)&amp;","&amp;ROUND(K2,3)</f>
        <v>405000,281718.332</v>
      </c>
      <c r="AO2" t="str">
        <f t="shared" ref="AO2:AO4" si="2">ROUND(L2,3)&amp;","&amp;ROUND(M2,3)</f>
        <v>404635.156,282126.316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3">CONCATENATE(Z3, " ",AA3)</f>
        <v>89 1</v>
      </c>
      <c r="AN3" t="str">
        <f t="shared" ref="AN3" si="4">ROUND(J3,3)&amp;","&amp;ROUND(K3,3)</f>
        <v>405000,281718.332</v>
      </c>
      <c r="AO3" t="str">
        <f t="shared" ref="AO3" si="5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6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7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7"/>
        <v>89 1</v>
      </c>
      <c r="AN7" t="str">
        <f t="shared" ref="AN7:AN8" si="8">ROUND(J7,3)&amp;","&amp;ROUND(K7,3)</f>
        <v>405000,281718.332</v>
      </c>
      <c r="AO7" t="str">
        <f t="shared" ref="AO7:AO8" si="9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7"/>
        <v>89 1</v>
      </c>
      <c r="AN8" t="str">
        <f>ROUND(J8,3)&amp;","&amp;ROUND(K8,3)-10</f>
        <v>405000,281708.332</v>
      </c>
      <c r="AO8" t="str">
        <f>AO7</f>
        <v>404635.156,282126.316</v>
      </c>
    </row>
  </sheetData>
  <conditionalFormatting sqref="AN2:AO2 AN4:AO4">
    <cfRule type="cellIs" dxfId="5" priority="11" operator="equal">
      <formula>"405102.72,281000"</formula>
    </cfRule>
  </conditionalFormatting>
  <conditionalFormatting sqref="AN5:AO5">
    <cfRule type="cellIs" dxfId="4" priority="4" operator="equal">
      <formula>"405102.72,281000"</formula>
    </cfRule>
  </conditionalFormatting>
  <conditionalFormatting sqref="AN3:AO3">
    <cfRule type="cellIs" dxfId="3" priority="5" operator="equal">
      <formula>"405102.72,281000"</formula>
    </cfRule>
  </conditionalFormatting>
  <conditionalFormatting sqref="AN6:AO6">
    <cfRule type="cellIs" dxfId="2" priority="3" operator="equal">
      <formula>"405102.72,281000"</formula>
    </cfRule>
  </conditionalFormatting>
  <conditionalFormatting sqref="AN7:AO7">
    <cfRule type="cellIs" dxfId="1" priority="2" operator="equal">
      <formula>"405102.72,281000"</formula>
    </cfRule>
  </conditionalFormatting>
  <conditionalFormatting sqref="AN8:AO8">
    <cfRule type="cellIs" dxfId="0" priority="1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2016-06-09T23:01:57Z</dcterms:modified>
</cp:coreProperties>
</file>